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SEVEN_1st\PSA_PSGC\"/>
    </mc:Choice>
  </mc:AlternateContent>
  <xr:revisionPtr revIDLastSave="0" documentId="13_ncr:1_{011D2A49-88DD-471F-A280-AA20F3AC416E}" xr6:coauthVersionLast="47" xr6:coauthVersionMax="47" xr10:uidLastSave="{00000000-0000-0000-0000-000000000000}"/>
  <bookViews>
    <workbookView xWindow="-120" yWindow="-120" windowWidth="29040" windowHeight="15720" activeTab="9" xr2:uid="{1AE68515-3514-4677-B641-29C54A83B456}"/>
  </bookViews>
  <sheets>
    <sheet name="2016" sheetId="1" r:id="rId1"/>
    <sheet name="2017" sheetId="2" r:id="rId2"/>
    <sheet name="2018" sheetId="5" r:id="rId3"/>
    <sheet name="2019" sheetId="6" r:id="rId4"/>
    <sheet name="2020" sheetId="7" r:id="rId5"/>
    <sheet name="2021" sheetId="3" r:id="rId6"/>
    <sheet name="2022" sheetId="8" r:id="rId7"/>
    <sheet name="2023" sheetId="9" r:id="rId8"/>
    <sheet name="2024" sheetId="4" r:id="rId9"/>
    <sheet name="2025" sheetId="10" r:id="rId10"/>
  </sheets>
  <definedNames>
    <definedName name="_xlnm.Print_Area" localSheetId="9">'2025'!$A$1:$T$178</definedName>
    <definedName name="_xlnm.Print_Titles" localSheetId="0">'2016'!$A:$A,'2016'!$1:$6</definedName>
    <definedName name="_xlnm.Print_Titles" localSheetId="1">'2017'!$A:$A,'2017'!$1:$6</definedName>
    <definedName name="_xlnm.Print_Titles" localSheetId="2">'2018'!$A:$A,'2018'!$1:$6</definedName>
    <definedName name="_xlnm.Print_Titles" localSheetId="3">'2019'!$A:$A,'2019'!$1:$6</definedName>
    <definedName name="_xlnm.Print_Titles" localSheetId="4">'2020'!$A:$A,'2020'!$1:$6</definedName>
    <definedName name="_xlnm.Print_Titles" localSheetId="5">'2021'!$A:$A,'2021'!$1:$6</definedName>
    <definedName name="_xlnm.Print_Titles" localSheetId="6">'2022'!$A:$A,'2022'!$1:$6</definedName>
    <definedName name="_xlnm.Print_Titles" localSheetId="7">'2023'!$A:$A,'2023'!$1:$6</definedName>
    <definedName name="_xlnm.Print_Titles" localSheetId="8">'2024'!$A:$A,'2024'!$1:$6</definedName>
    <definedName name="_xlnm.Print_Titles" localSheetId="9">'2025'!$A:$A,'2025'!$1:$6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73" i="10" l="1"/>
  <c r="V173" i="10" s="1"/>
  <c r="U172" i="10"/>
  <c r="R172" i="10"/>
  <c r="N172" i="10"/>
  <c r="S172" i="10" s="1"/>
  <c r="J172" i="10"/>
  <c r="T172" i="10" s="1"/>
  <c r="V172" i="10" s="1"/>
  <c r="I172" i="10"/>
  <c r="E172" i="10"/>
  <c r="U171" i="10"/>
  <c r="V171" i="10" s="1"/>
  <c r="U169" i="10"/>
  <c r="V169" i="10" s="1"/>
  <c r="U168" i="10"/>
  <c r="R168" i="10"/>
  <c r="N168" i="10"/>
  <c r="S168" i="10" s="1"/>
  <c r="I168" i="10"/>
  <c r="J168" i="10" s="1"/>
  <c r="T168" i="10" s="1"/>
  <c r="E168" i="10"/>
  <c r="U167" i="10"/>
  <c r="V167" i="10" s="1"/>
  <c r="U166" i="10"/>
  <c r="S166" i="10"/>
  <c r="T166" i="10" s="1"/>
  <c r="R166" i="10"/>
  <c r="N166" i="10"/>
  <c r="I166" i="10"/>
  <c r="E166" i="10"/>
  <c r="J166" i="10" s="1"/>
  <c r="U165" i="10"/>
  <c r="V165" i="10" s="1"/>
  <c r="U163" i="10"/>
  <c r="V163" i="10" s="1"/>
  <c r="U162" i="10"/>
  <c r="V162" i="10" s="1"/>
  <c r="U161" i="10"/>
  <c r="S161" i="10"/>
  <c r="R161" i="10"/>
  <c r="N161" i="10"/>
  <c r="J161" i="10"/>
  <c r="T161" i="10" s="1"/>
  <c r="V161" i="10" s="1"/>
  <c r="I161" i="10"/>
  <c r="E161" i="10"/>
  <c r="V160" i="10"/>
  <c r="U160" i="10"/>
  <c r="U159" i="10"/>
  <c r="R159" i="10"/>
  <c r="S159" i="10" s="1"/>
  <c r="N159" i="10"/>
  <c r="I159" i="10"/>
  <c r="E159" i="10"/>
  <c r="U158" i="10"/>
  <c r="V158" i="10" s="1"/>
  <c r="R158" i="10"/>
  <c r="N158" i="10"/>
  <c r="S158" i="10" s="1"/>
  <c r="I158" i="10"/>
  <c r="J158" i="10" s="1"/>
  <c r="T158" i="10" s="1"/>
  <c r="E158" i="10"/>
  <c r="U157" i="10"/>
  <c r="V157" i="10" s="1"/>
  <c r="U156" i="10"/>
  <c r="R156" i="10"/>
  <c r="R155" i="10" s="1"/>
  <c r="N156" i="10"/>
  <c r="I156" i="10"/>
  <c r="E156" i="10"/>
  <c r="Q155" i="10"/>
  <c r="P155" i="10"/>
  <c r="O155" i="10"/>
  <c r="N155" i="10"/>
  <c r="M155" i="10"/>
  <c r="L155" i="10"/>
  <c r="K155" i="10"/>
  <c r="H155" i="10"/>
  <c r="G155" i="10"/>
  <c r="F155" i="10"/>
  <c r="D155" i="10"/>
  <c r="C155" i="10"/>
  <c r="B155" i="10"/>
  <c r="V154" i="10"/>
  <c r="U154" i="10"/>
  <c r="U153" i="10"/>
  <c r="R153" i="10"/>
  <c r="S153" i="10" s="1"/>
  <c r="N153" i="10"/>
  <c r="I153" i="10"/>
  <c r="E153" i="10"/>
  <c r="J153" i="10" s="1"/>
  <c r="U152" i="10"/>
  <c r="V152" i="10" s="1"/>
  <c r="U151" i="10"/>
  <c r="R151" i="10"/>
  <c r="R147" i="10" s="1"/>
  <c r="N151" i="10"/>
  <c r="I151" i="10"/>
  <c r="J151" i="10" s="1"/>
  <c r="E151" i="10"/>
  <c r="U150" i="10"/>
  <c r="S150" i="10"/>
  <c r="R150" i="10"/>
  <c r="N150" i="10"/>
  <c r="I150" i="10"/>
  <c r="E150" i="10"/>
  <c r="J150" i="10" s="1"/>
  <c r="U149" i="10"/>
  <c r="V149" i="10" s="1"/>
  <c r="U148" i="10"/>
  <c r="R148" i="10"/>
  <c r="N148" i="10"/>
  <c r="I148" i="10"/>
  <c r="E148" i="10"/>
  <c r="Q147" i="10"/>
  <c r="P147" i="10"/>
  <c r="O147" i="10"/>
  <c r="M147" i="10"/>
  <c r="L147" i="10"/>
  <c r="K147" i="10"/>
  <c r="I147" i="10"/>
  <c r="H147" i="10"/>
  <c r="G147" i="10"/>
  <c r="F147" i="10"/>
  <c r="D147" i="10"/>
  <c r="C147" i="10"/>
  <c r="B147" i="10"/>
  <c r="U146" i="10"/>
  <c r="V146" i="10" s="1"/>
  <c r="U145" i="10"/>
  <c r="V145" i="10" s="1"/>
  <c r="U144" i="10"/>
  <c r="R144" i="10"/>
  <c r="S144" i="10" s="1"/>
  <c r="N144" i="10"/>
  <c r="I144" i="10"/>
  <c r="J144" i="10" s="1"/>
  <c r="E144" i="10"/>
  <c r="U143" i="10"/>
  <c r="R143" i="10"/>
  <c r="N143" i="10"/>
  <c r="S143" i="10" s="1"/>
  <c r="I143" i="10"/>
  <c r="E143" i="10"/>
  <c r="J143" i="10" s="1"/>
  <c r="T143" i="10" s="1"/>
  <c r="U142" i="10"/>
  <c r="R142" i="10"/>
  <c r="N142" i="10"/>
  <c r="I142" i="10"/>
  <c r="E142" i="10"/>
  <c r="U141" i="10"/>
  <c r="R141" i="10"/>
  <c r="N141" i="10"/>
  <c r="I141" i="10"/>
  <c r="E141" i="10"/>
  <c r="J141" i="10" s="1"/>
  <c r="U140" i="10"/>
  <c r="Q140" i="10"/>
  <c r="P140" i="10"/>
  <c r="O140" i="10"/>
  <c r="M140" i="10"/>
  <c r="L140" i="10"/>
  <c r="K140" i="10"/>
  <c r="H140" i="10"/>
  <c r="G140" i="10"/>
  <c r="F140" i="10"/>
  <c r="D140" i="10"/>
  <c r="C140" i="10"/>
  <c r="B140" i="10"/>
  <c r="U139" i="10"/>
  <c r="V139" i="10" s="1"/>
  <c r="U138" i="10"/>
  <c r="R138" i="10"/>
  <c r="N138" i="10"/>
  <c r="S138" i="10" s="1"/>
  <c r="J138" i="10"/>
  <c r="T138" i="10" s="1"/>
  <c r="I138" i="10"/>
  <c r="E138" i="10"/>
  <c r="U137" i="10"/>
  <c r="S137" i="10"/>
  <c r="R137" i="10"/>
  <c r="N137" i="10"/>
  <c r="I137" i="10"/>
  <c r="E137" i="10"/>
  <c r="J137" i="10" s="1"/>
  <c r="T137" i="10" s="1"/>
  <c r="U136" i="10"/>
  <c r="T136" i="10"/>
  <c r="R136" i="10"/>
  <c r="N136" i="10"/>
  <c r="S136" i="10" s="1"/>
  <c r="J136" i="10"/>
  <c r="I136" i="10"/>
  <c r="E136" i="10"/>
  <c r="U135" i="10"/>
  <c r="V135" i="10" s="1"/>
  <c r="U134" i="10"/>
  <c r="S134" i="10"/>
  <c r="R134" i="10"/>
  <c r="N134" i="10"/>
  <c r="N131" i="10" s="1"/>
  <c r="I134" i="10"/>
  <c r="E134" i="10"/>
  <c r="J134" i="10" s="1"/>
  <c r="T134" i="10" s="1"/>
  <c r="U133" i="10"/>
  <c r="V133" i="10" s="1"/>
  <c r="U132" i="10"/>
  <c r="R132" i="10"/>
  <c r="N132" i="10"/>
  <c r="I132" i="10"/>
  <c r="E132" i="10"/>
  <c r="Q131" i="10"/>
  <c r="P131" i="10"/>
  <c r="O131" i="10"/>
  <c r="M131" i="10"/>
  <c r="L131" i="10"/>
  <c r="K131" i="10"/>
  <c r="H131" i="10"/>
  <c r="G131" i="10"/>
  <c r="F131" i="10"/>
  <c r="D131" i="10"/>
  <c r="C131" i="10"/>
  <c r="B131" i="10"/>
  <c r="U130" i="10"/>
  <c r="V130" i="10" s="1"/>
  <c r="U129" i="10"/>
  <c r="R129" i="10"/>
  <c r="S129" i="10" s="1"/>
  <c r="N129" i="10"/>
  <c r="I129" i="10"/>
  <c r="E129" i="10"/>
  <c r="J129" i="10" s="1"/>
  <c r="U128" i="10"/>
  <c r="V128" i="10" s="1"/>
  <c r="U127" i="10"/>
  <c r="R127" i="10"/>
  <c r="N127" i="10"/>
  <c r="S127" i="10" s="1"/>
  <c r="T127" i="10" s="1"/>
  <c r="J127" i="10"/>
  <c r="I127" i="10"/>
  <c r="E127" i="10"/>
  <c r="U126" i="10"/>
  <c r="S126" i="10"/>
  <c r="R126" i="10"/>
  <c r="N126" i="10"/>
  <c r="I126" i="10"/>
  <c r="J126" i="10" s="1"/>
  <c r="T126" i="10" s="1"/>
  <c r="V126" i="10" s="1"/>
  <c r="E126" i="10"/>
  <c r="U125" i="10"/>
  <c r="V125" i="10" s="1"/>
  <c r="U124" i="10"/>
  <c r="R124" i="10"/>
  <c r="N124" i="10"/>
  <c r="I124" i="10"/>
  <c r="E124" i="10"/>
  <c r="E122" i="10" s="1"/>
  <c r="U123" i="10"/>
  <c r="R123" i="10"/>
  <c r="R122" i="10" s="1"/>
  <c r="N123" i="10"/>
  <c r="I123" i="10"/>
  <c r="E123" i="10"/>
  <c r="Q122" i="10"/>
  <c r="P122" i="10"/>
  <c r="O122" i="10"/>
  <c r="M122" i="10"/>
  <c r="L122" i="10"/>
  <c r="K122" i="10"/>
  <c r="H122" i="10"/>
  <c r="G122" i="10"/>
  <c r="F122" i="10"/>
  <c r="D122" i="10"/>
  <c r="C122" i="10"/>
  <c r="B122" i="10"/>
  <c r="U121" i="10"/>
  <c r="V121" i="10" s="1"/>
  <c r="U120" i="10"/>
  <c r="R120" i="10"/>
  <c r="R115" i="10" s="1"/>
  <c r="N120" i="10"/>
  <c r="S120" i="10" s="1"/>
  <c r="I120" i="10"/>
  <c r="J120" i="10" s="1"/>
  <c r="T120" i="10" s="1"/>
  <c r="E120" i="10"/>
  <c r="U119" i="10"/>
  <c r="S119" i="10"/>
  <c r="R119" i="10"/>
  <c r="N119" i="10"/>
  <c r="I119" i="10"/>
  <c r="E119" i="10"/>
  <c r="J119" i="10" s="1"/>
  <c r="T119" i="10" s="1"/>
  <c r="U118" i="10"/>
  <c r="R118" i="10"/>
  <c r="N118" i="10"/>
  <c r="S118" i="10" s="1"/>
  <c r="I118" i="10"/>
  <c r="J118" i="10" s="1"/>
  <c r="T118" i="10" s="1"/>
  <c r="E118" i="10"/>
  <c r="U117" i="10"/>
  <c r="R117" i="10"/>
  <c r="N117" i="10"/>
  <c r="S117" i="10" s="1"/>
  <c r="I117" i="10"/>
  <c r="E117" i="10"/>
  <c r="U116" i="10"/>
  <c r="T116" i="10"/>
  <c r="R116" i="10"/>
  <c r="N116" i="10"/>
  <c r="S116" i="10" s="1"/>
  <c r="I116" i="10"/>
  <c r="E116" i="10"/>
  <c r="J116" i="10" s="1"/>
  <c r="Q115" i="10"/>
  <c r="P115" i="10"/>
  <c r="O115" i="10"/>
  <c r="M115" i="10"/>
  <c r="L115" i="10"/>
  <c r="K115" i="10"/>
  <c r="H115" i="10"/>
  <c r="G115" i="10"/>
  <c r="F115" i="10"/>
  <c r="D115" i="10"/>
  <c r="C115" i="10"/>
  <c r="B115" i="10"/>
  <c r="V114" i="10"/>
  <c r="U114" i="10"/>
  <c r="U113" i="10"/>
  <c r="R113" i="10"/>
  <c r="N113" i="10"/>
  <c r="I113" i="10"/>
  <c r="E113" i="10"/>
  <c r="J113" i="10" s="1"/>
  <c r="U112" i="10"/>
  <c r="S112" i="10"/>
  <c r="R112" i="10"/>
  <c r="N112" i="10"/>
  <c r="I112" i="10"/>
  <c r="E112" i="10"/>
  <c r="J112" i="10" s="1"/>
  <c r="T112" i="10" s="1"/>
  <c r="V111" i="10"/>
  <c r="U111" i="10"/>
  <c r="R111" i="10"/>
  <c r="N111" i="10"/>
  <c r="S111" i="10" s="1"/>
  <c r="T111" i="10" s="1"/>
  <c r="J111" i="10"/>
  <c r="I111" i="10"/>
  <c r="E111" i="10"/>
  <c r="U110" i="10"/>
  <c r="R110" i="10"/>
  <c r="N110" i="10"/>
  <c r="S110" i="10" s="1"/>
  <c r="T110" i="10" s="1"/>
  <c r="I110" i="10"/>
  <c r="E110" i="10"/>
  <c r="J110" i="10" s="1"/>
  <c r="U109" i="10"/>
  <c r="R109" i="10"/>
  <c r="N109" i="10"/>
  <c r="I109" i="10"/>
  <c r="E109" i="10"/>
  <c r="J109" i="10" s="1"/>
  <c r="V108" i="10"/>
  <c r="U108" i="10"/>
  <c r="U107" i="10"/>
  <c r="R107" i="10"/>
  <c r="N107" i="10"/>
  <c r="S107" i="10" s="1"/>
  <c r="I107" i="10"/>
  <c r="E107" i="10"/>
  <c r="Q106" i="10"/>
  <c r="P106" i="10"/>
  <c r="O106" i="10"/>
  <c r="M106" i="10"/>
  <c r="L106" i="10"/>
  <c r="K106" i="10"/>
  <c r="H106" i="10"/>
  <c r="G106" i="10"/>
  <c r="F106" i="10"/>
  <c r="D106" i="10"/>
  <c r="C106" i="10"/>
  <c r="U106" i="10" s="1"/>
  <c r="B106" i="10"/>
  <c r="V105" i="10"/>
  <c r="U105" i="10"/>
  <c r="U104" i="10"/>
  <c r="R104" i="10"/>
  <c r="N104" i="10"/>
  <c r="S104" i="10" s="1"/>
  <c r="I104" i="10"/>
  <c r="E104" i="10"/>
  <c r="J104" i="10" s="1"/>
  <c r="T104" i="10" s="1"/>
  <c r="U103" i="10"/>
  <c r="R103" i="10"/>
  <c r="N103" i="10"/>
  <c r="S103" i="10" s="1"/>
  <c r="J103" i="10"/>
  <c r="I103" i="10"/>
  <c r="E103" i="10"/>
  <c r="U102" i="10"/>
  <c r="V102" i="10" s="1"/>
  <c r="U101" i="10"/>
  <c r="V101" i="10" s="1"/>
  <c r="U100" i="10"/>
  <c r="R100" i="10"/>
  <c r="N100" i="10"/>
  <c r="S100" i="10" s="1"/>
  <c r="I100" i="10"/>
  <c r="I98" i="10" s="1"/>
  <c r="E100" i="10"/>
  <c r="U99" i="10"/>
  <c r="R99" i="10"/>
  <c r="S99" i="10" s="1"/>
  <c r="N99" i="10"/>
  <c r="I99" i="10"/>
  <c r="E99" i="10"/>
  <c r="J99" i="10" s="1"/>
  <c r="R98" i="10"/>
  <c r="Q98" i="10"/>
  <c r="P98" i="10"/>
  <c r="O98" i="10"/>
  <c r="M98" i="10"/>
  <c r="L98" i="10"/>
  <c r="K98" i="10"/>
  <c r="H98" i="10"/>
  <c r="G98" i="10"/>
  <c r="F98" i="10"/>
  <c r="E98" i="10"/>
  <c r="D98" i="10"/>
  <c r="C98" i="10"/>
  <c r="B98" i="10"/>
  <c r="U98" i="10" s="1"/>
  <c r="V97" i="10"/>
  <c r="U97" i="10"/>
  <c r="V96" i="10"/>
  <c r="U96" i="10"/>
  <c r="U95" i="10"/>
  <c r="R95" i="10"/>
  <c r="S95" i="10" s="1"/>
  <c r="S92" i="10" s="1"/>
  <c r="N95" i="10"/>
  <c r="I95" i="10"/>
  <c r="E95" i="10"/>
  <c r="J95" i="10" s="1"/>
  <c r="T95" i="10" s="1"/>
  <c r="V95" i="10" s="1"/>
  <c r="V94" i="10"/>
  <c r="U94" i="10"/>
  <c r="U93" i="10"/>
  <c r="R93" i="10"/>
  <c r="N93" i="10"/>
  <c r="S93" i="10" s="1"/>
  <c r="I93" i="10"/>
  <c r="I92" i="10" s="1"/>
  <c r="E93" i="10"/>
  <c r="J93" i="10" s="1"/>
  <c r="Q92" i="10"/>
  <c r="P92" i="10"/>
  <c r="O92" i="10"/>
  <c r="N92" i="10"/>
  <c r="M92" i="10"/>
  <c r="L92" i="10"/>
  <c r="K92" i="10"/>
  <c r="H92" i="10"/>
  <c r="G92" i="10"/>
  <c r="F92" i="10"/>
  <c r="D92" i="10"/>
  <c r="C92" i="10"/>
  <c r="B92" i="10"/>
  <c r="U92" i="10" s="1"/>
  <c r="U91" i="10"/>
  <c r="V91" i="10" s="1"/>
  <c r="U90" i="10"/>
  <c r="V90" i="10" s="1"/>
  <c r="U89" i="10"/>
  <c r="S89" i="10"/>
  <c r="R89" i="10"/>
  <c r="N89" i="10"/>
  <c r="I89" i="10"/>
  <c r="E89" i="10"/>
  <c r="J89" i="10" s="1"/>
  <c r="T89" i="10" s="1"/>
  <c r="V89" i="10" s="1"/>
  <c r="U88" i="10"/>
  <c r="V88" i="10" s="1"/>
  <c r="R88" i="10"/>
  <c r="N88" i="10"/>
  <c r="S88" i="10" s="1"/>
  <c r="J88" i="10"/>
  <c r="T88" i="10" s="1"/>
  <c r="I88" i="10"/>
  <c r="E88" i="10"/>
  <c r="U87" i="10"/>
  <c r="R87" i="10"/>
  <c r="R84" i="10" s="1"/>
  <c r="N87" i="10"/>
  <c r="S87" i="10" s="1"/>
  <c r="I87" i="10"/>
  <c r="E87" i="10"/>
  <c r="J87" i="10" s="1"/>
  <c r="U86" i="10"/>
  <c r="R86" i="10"/>
  <c r="N86" i="10"/>
  <c r="I86" i="10"/>
  <c r="I84" i="10" s="1"/>
  <c r="E86" i="10"/>
  <c r="J86" i="10" s="1"/>
  <c r="U85" i="10"/>
  <c r="S85" i="10"/>
  <c r="R85" i="10"/>
  <c r="N85" i="10"/>
  <c r="I85" i="10"/>
  <c r="E85" i="10"/>
  <c r="J85" i="10" s="1"/>
  <c r="Q84" i="10"/>
  <c r="P84" i="10"/>
  <c r="O84" i="10"/>
  <c r="M84" i="10"/>
  <c r="L84" i="10"/>
  <c r="K84" i="10"/>
  <c r="H84" i="10"/>
  <c r="G84" i="10"/>
  <c r="F84" i="10"/>
  <c r="U84" i="10" s="1"/>
  <c r="E84" i="10"/>
  <c r="D84" i="10"/>
  <c r="C84" i="10"/>
  <c r="B84" i="10"/>
  <c r="U83" i="10"/>
  <c r="V83" i="10" s="1"/>
  <c r="U82" i="10"/>
  <c r="R82" i="10"/>
  <c r="S82" i="10" s="1"/>
  <c r="N82" i="10"/>
  <c r="J82" i="10"/>
  <c r="T82" i="10" s="1"/>
  <c r="I82" i="10"/>
  <c r="E82" i="10"/>
  <c r="U81" i="10"/>
  <c r="R81" i="10"/>
  <c r="N81" i="10"/>
  <c r="S81" i="10" s="1"/>
  <c r="I81" i="10"/>
  <c r="E81" i="10"/>
  <c r="J81" i="10" s="1"/>
  <c r="U80" i="10"/>
  <c r="V80" i="10" s="1"/>
  <c r="R80" i="10"/>
  <c r="N80" i="10"/>
  <c r="S80" i="10" s="1"/>
  <c r="J80" i="10"/>
  <c r="T80" i="10" s="1"/>
  <c r="I80" i="10"/>
  <c r="E80" i="10"/>
  <c r="U79" i="10"/>
  <c r="R79" i="10"/>
  <c r="S79" i="10" s="1"/>
  <c r="N79" i="10"/>
  <c r="I79" i="10"/>
  <c r="E79" i="10"/>
  <c r="U78" i="10"/>
  <c r="R78" i="10"/>
  <c r="N78" i="10"/>
  <c r="S78" i="10" s="1"/>
  <c r="I78" i="10"/>
  <c r="J78" i="10" s="1"/>
  <c r="T78" i="10" s="1"/>
  <c r="E78" i="10"/>
  <c r="U77" i="10"/>
  <c r="R77" i="10"/>
  <c r="N77" i="10"/>
  <c r="I77" i="10"/>
  <c r="E77" i="10"/>
  <c r="J77" i="10" s="1"/>
  <c r="R76" i="10"/>
  <c r="Q76" i="10"/>
  <c r="P76" i="10"/>
  <c r="O76" i="10"/>
  <c r="M76" i="10"/>
  <c r="L76" i="10"/>
  <c r="K76" i="10"/>
  <c r="H76" i="10"/>
  <c r="G76" i="10"/>
  <c r="F76" i="10"/>
  <c r="E76" i="10"/>
  <c r="D76" i="10"/>
  <c r="C76" i="10"/>
  <c r="B76" i="10"/>
  <c r="U75" i="10"/>
  <c r="V75" i="10" s="1"/>
  <c r="U74" i="10"/>
  <c r="R74" i="10"/>
  <c r="N74" i="10"/>
  <c r="S74" i="10" s="1"/>
  <c r="I74" i="10"/>
  <c r="E74" i="10"/>
  <c r="J74" i="10" s="1"/>
  <c r="T74" i="10" s="1"/>
  <c r="V73" i="10"/>
  <c r="U73" i="10"/>
  <c r="J73" i="10"/>
  <c r="U72" i="10"/>
  <c r="R72" i="10"/>
  <c r="N72" i="10"/>
  <c r="S72" i="10" s="1"/>
  <c r="I72" i="10"/>
  <c r="E72" i="10"/>
  <c r="J72" i="10" s="1"/>
  <c r="T72" i="10" s="1"/>
  <c r="V72" i="10" s="1"/>
  <c r="U71" i="10"/>
  <c r="R71" i="10"/>
  <c r="S71" i="10" s="1"/>
  <c r="T71" i="10" s="1"/>
  <c r="N71" i="10"/>
  <c r="I71" i="10"/>
  <c r="E71" i="10"/>
  <c r="J71" i="10" s="1"/>
  <c r="U70" i="10"/>
  <c r="R70" i="10"/>
  <c r="N70" i="10"/>
  <c r="S70" i="10" s="1"/>
  <c r="T70" i="10" s="1"/>
  <c r="I70" i="10"/>
  <c r="E70" i="10"/>
  <c r="J70" i="10" s="1"/>
  <c r="U69" i="10"/>
  <c r="R69" i="10"/>
  <c r="N69" i="10"/>
  <c r="I69" i="10"/>
  <c r="I68" i="10" s="1"/>
  <c r="E69" i="10"/>
  <c r="E68" i="10" s="1"/>
  <c r="Q68" i="10"/>
  <c r="P68" i="10"/>
  <c r="O68" i="10"/>
  <c r="M68" i="10"/>
  <c r="L68" i="10"/>
  <c r="K68" i="10"/>
  <c r="H68" i="10"/>
  <c r="U68" i="10" s="1"/>
  <c r="G68" i="10"/>
  <c r="F68" i="10"/>
  <c r="D68" i="10"/>
  <c r="C68" i="10"/>
  <c r="B68" i="10"/>
  <c r="U67" i="10"/>
  <c r="V67" i="10" s="1"/>
  <c r="U66" i="10"/>
  <c r="S66" i="10"/>
  <c r="R66" i="10"/>
  <c r="N66" i="10"/>
  <c r="J66" i="10"/>
  <c r="T66" i="10" s="1"/>
  <c r="I66" i="10"/>
  <c r="E66" i="10"/>
  <c r="U65" i="10"/>
  <c r="S65" i="10"/>
  <c r="R65" i="10"/>
  <c r="N65" i="10"/>
  <c r="J65" i="10"/>
  <c r="T65" i="10" s="1"/>
  <c r="I65" i="10"/>
  <c r="E65" i="10"/>
  <c r="U64" i="10"/>
  <c r="R64" i="10"/>
  <c r="N64" i="10"/>
  <c r="S64" i="10" s="1"/>
  <c r="I64" i="10"/>
  <c r="E64" i="10"/>
  <c r="J64" i="10" s="1"/>
  <c r="T64" i="10" s="1"/>
  <c r="V64" i="10" s="1"/>
  <c r="U63" i="10"/>
  <c r="R63" i="10"/>
  <c r="S63" i="10" s="1"/>
  <c r="N63" i="10"/>
  <c r="I63" i="10"/>
  <c r="E63" i="10"/>
  <c r="J63" i="10" s="1"/>
  <c r="T63" i="10" s="1"/>
  <c r="V63" i="10" s="1"/>
  <c r="U62" i="10"/>
  <c r="S62" i="10"/>
  <c r="R62" i="10"/>
  <c r="N62" i="10"/>
  <c r="I62" i="10"/>
  <c r="I60" i="10" s="1"/>
  <c r="E62" i="10"/>
  <c r="U61" i="10"/>
  <c r="S61" i="10"/>
  <c r="S60" i="10" s="1"/>
  <c r="R61" i="10"/>
  <c r="R60" i="10" s="1"/>
  <c r="N61" i="10"/>
  <c r="J61" i="10"/>
  <c r="I61" i="10"/>
  <c r="E61" i="10"/>
  <c r="Q60" i="10"/>
  <c r="P60" i="10"/>
  <c r="O60" i="10"/>
  <c r="N60" i="10"/>
  <c r="M60" i="10"/>
  <c r="L60" i="10"/>
  <c r="K60" i="10"/>
  <c r="H60" i="10"/>
  <c r="G60" i="10"/>
  <c r="F60" i="10"/>
  <c r="D60" i="10"/>
  <c r="C60" i="10"/>
  <c r="B60" i="10"/>
  <c r="V59" i="10"/>
  <c r="U59" i="10"/>
  <c r="U58" i="10"/>
  <c r="S58" i="10"/>
  <c r="R58" i="10"/>
  <c r="N58" i="10"/>
  <c r="I58" i="10"/>
  <c r="E58" i="10"/>
  <c r="J58" i="10" s="1"/>
  <c r="T58" i="10" s="1"/>
  <c r="U57" i="10"/>
  <c r="R57" i="10"/>
  <c r="R49" i="10" s="1"/>
  <c r="N57" i="10"/>
  <c r="S57" i="10" s="1"/>
  <c r="I57" i="10"/>
  <c r="E57" i="10"/>
  <c r="U56" i="10"/>
  <c r="R56" i="10"/>
  <c r="S56" i="10" s="1"/>
  <c r="N56" i="10"/>
  <c r="I56" i="10"/>
  <c r="E56" i="10"/>
  <c r="J56" i="10" s="1"/>
  <c r="U55" i="10"/>
  <c r="S55" i="10"/>
  <c r="T55" i="10" s="1"/>
  <c r="V55" i="10" s="1"/>
  <c r="R55" i="10"/>
  <c r="N55" i="10"/>
  <c r="I55" i="10"/>
  <c r="J55" i="10" s="1"/>
  <c r="E55" i="10"/>
  <c r="U54" i="10"/>
  <c r="R54" i="10"/>
  <c r="S54" i="10" s="1"/>
  <c r="N54" i="10"/>
  <c r="I54" i="10"/>
  <c r="J54" i="10" s="1"/>
  <c r="T54" i="10" s="1"/>
  <c r="E54" i="10"/>
  <c r="U53" i="10"/>
  <c r="R53" i="10"/>
  <c r="N53" i="10"/>
  <c r="S53" i="10" s="1"/>
  <c r="I53" i="10"/>
  <c r="E53" i="10"/>
  <c r="J53" i="10" s="1"/>
  <c r="T53" i="10" s="1"/>
  <c r="V53" i="10" s="1"/>
  <c r="U52" i="10"/>
  <c r="S52" i="10"/>
  <c r="T52" i="10" s="1"/>
  <c r="V52" i="10" s="1"/>
  <c r="R52" i="10"/>
  <c r="N52" i="10"/>
  <c r="I52" i="10"/>
  <c r="E52" i="10"/>
  <c r="J52" i="10" s="1"/>
  <c r="U51" i="10"/>
  <c r="S51" i="10"/>
  <c r="R51" i="10"/>
  <c r="N51" i="10"/>
  <c r="I51" i="10"/>
  <c r="E51" i="10"/>
  <c r="U50" i="10"/>
  <c r="S50" i="10"/>
  <c r="R50" i="10"/>
  <c r="N50" i="10"/>
  <c r="I50" i="10"/>
  <c r="E50" i="10"/>
  <c r="E49" i="10" s="1"/>
  <c r="Q49" i="10"/>
  <c r="P49" i="10"/>
  <c r="O49" i="10"/>
  <c r="M49" i="10"/>
  <c r="L49" i="10"/>
  <c r="K49" i="10"/>
  <c r="H49" i="10"/>
  <c r="G49" i="10"/>
  <c r="F49" i="10"/>
  <c r="D49" i="10"/>
  <c r="C49" i="10"/>
  <c r="B49" i="10"/>
  <c r="U48" i="10"/>
  <c r="V48" i="10" s="1"/>
  <c r="U47" i="10"/>
  <c r="R47" i="10"/>
  <c r="N47" i="10"/>
  <c r="S47" i="10" s="1"/>
  <c r="J47" i="10"/>
  <c r="T47" i="10" s="1"/>
  <c r="I47" i="10"/>
  <c r="E47" i="10"/>
  <c r="U46" i="10"/>
  <c r="S46" i="10"/>
  <c r="S42" i="10" s="1"/>
  <c r="R46" i="10"/>
  <c r="N46" i="10"/>
  <c r="I46" i="10"/>
  <c r="E46" i="10"/>
  <c r="J46" i="10" s="1"/>
  <c r="U45" i="10"/>
  <c r="R45" i="10"/>
  <c r="N45" i="10"/>
  <c r="S45" i="10" s="1"/>
  <c r="I45" i="10"/>
  <c r="E45" i="10"/>
  <c r="E42" i="10" s="1"/>
  <c r="U44" i="10"/>
  <c r="V44" i="10" s="1"/>
  <c r="J44" i="10"/>
  <c r="U43" i="10"/>
  <c r="R43" i="10"/>
  <c r="N43" i="10"/>
  <c r="S43" i="10" s="1"/>
  <c r="J43" i="10"/>
  <c r="T43" i="10" s="1"/>
  <c r="I43" i="10"/>
  <c r="E43" i="10"/>
  <c r="R42" i="10"/>
  <c r="Q42" i="10"/>
  <c r="P42" i="10"/>
  <c r="O42" i="10"/>
  <c r="M42" i="10"/>
  <c r="L42" i="10"/>
  <c r="K42" i="10"/>
  <c r="H42" i="10"/>
  <c r="G42" i="10"/>
  <c r="F42" i="10"/>
  <c r="F164" i="10" s="1"/>
  <c r="F170" i="10" s="1"/>
  <c r="F174" i="10" s="1"/>
  <c r="D42" i="10"/>
  <c r="C42" i="10"/>
  <c r="B42" i="10"/>
  <c r="V41" i="10"/>
  <c r="U41" i="10"/>
  <c r="U40" i="10"/>
  <c r="R40" i="10"/>
  <c r="N40" i="10"/>
  <c r="S40" i="10" s="1"/>
  <c r="I40" i="10"/>
  <c r="E40" i="10"/>
  <c r="J40" i="10" s="1"/>
  <c r="T40" i="10" s="1"/>
  <c r="V40" i="10" s="1"/>
  <c r="U39" i="10"/>
  <c r="S39" i="10"/>
  <c r="R39" i="10"/>
  <c r="N39" i="10"/>
  <c r="I39" i="10"/>
  <c r="E39" i="10"/>
  <c r="J39" i="10" s="1"/>
  <c r="T39" i="10" s="1"/>
  <c r="U38" i="10"/>
  <c r="R38" i="10"/>
  <c r="N38" i="10"/>
  <c r="S38" i="10" s="1"/>
  <c r="T38" i="10" s="1"/>
  <c r="V38" i="10" s="1"/>
  <c r="J38" i="10"/>
  <c r="I38" i="10"/>
  <c r="E38" i="10"/>
  <c r="U37" i="10"/>
  <c r="R37" i="10"/>
  <c r="N37" i="10"/>
  <c r="I37" i="10"/>
  <c r="I36" i="10" s="1"/>
  <c r="E37" i="10"/>
  <c r="Q36" i="10"/>
  <c r="P36" i="10"/>
  <c r="O36" i="10"/>
  <c r="M36" i="10"/>
  <c r="L36" i="10"/>
  <c r="K36" i="10"/>
  <c r="H36" i="10"/>
  <c r="G36" i="10"/>
  <c r="F36" i="10"/>
  <c r="D36" i="10"/>
  <c r="C36" i="10"/>
  <c r="B36" i="10"/>
  <c r="U36" i="10" s="1"/>
  <c r="U35" i="10"/>
  <c r="V35" i="10" s="1"/>
  <c r="U34" i="10"/>
  <c r="R34" i="10"/>
  <c r="N34" i="10"/>
  <c r="S34" i="10" s="1"/>
  <c r="I34" i="10"/>
  <c r="E34" i="10"/>
  <c r="J34" i="10" s="1"/>
  <c r="U33" i="10"/>
  <c r="R33" i="10"/>
  <c r="S33" i="10" s="1"/>
  <c r="T33" i="10" s="1"/>
  <c r="N33" i="10"/>
  <c r="I33" i="10"/>
  <c r="E33" i="10"/>
  <c r="J33" i="10" s="1"/>
  <c r="U32" i="10"/>
  <c r="R32" i="10"/>
  <c r="N32" i="10"/>
  <c r="I32" i="10"/>
  <c r="J32" i="10" s="1"/>
  <c r="E32" i="10"/>
  <c r="U31" i="10"/>
  <c r="R31" i="10"/>
  <c r="S31" i="10" s="1"/>
  <c r="N31" i="10"/>
  <c r="I31" i="10"/>
  <c r="E31" i="10"/>
  <c r="J31" i="10" s="1"/>
  <c r="U30" i="10"/>
  <c r="V30" i="10" s="1"/>
  <c r="S30" i="10"/>
  <c r="J30" i="10"/>
  <c r="U29" i="10"/>
  <c r="S29" i="10"/>
  <c r="T29" i="10" s="1"/>
  <c r="V29" i="10" s="1"/>
  <c r="R29" i="10"/>
  <c r="N29" i="10"/>
  <c r="I29" i="10"/>
  <c r="E29" i="10"/>
  <c r="J29" i="10" s="1"/>
  <c r="U28" i="10"/>
  <c r="R28" i="10"/>
  <c r="N28" i="10"/>
  <c r="I28" i="10"/>
  <c r="J28" i="10" s="1"/>
  <c r="E28" i="10"/>
  <c r="Q27" i="10"/>
  <c r="P27" i="10"/>
  <c r="O27" i="10"/>
  <c r="N27" i="10"/>
  <c r="M27" i="10"/>
  <c r="L27" i="10"/>
  <c r="K27" i="10"/>
  <c r="H27" i="10"/>
  <c r="G27" i="10"/>
  <c r="G164" i="10" s="1"/>
  <c r="G170" i="10" s="1"/>
  <c r="G174" i="10" s="1"/>
  <c r="F27" i="10"/>
  <c r="D27" i="10"/>
  <c r="C27" i="10"/>
  <c r="B27" i="10"/>
  <c r="V26" i="10"/>
  <c r="U26" i="10"/>
  <c r="U25" i="10"/>
  <c r="S25" i="10"/>
  <c r="R25" i="10"/>
  <c r="N25" i="10"/>
  <c r="I25" i="10"/>
  <c r="E25" i="10"/>
  <c r="J25" i="10" s="1"/>
  <c r="T25" i="10" s="1"/>
  <c r="V25" i="10" s="1"/>
  <c r="U24" i="10"/>
  <c r="R24" i="10"/>
  <c r="N24" i="10"/>
  <c r="S24" i="10" s="1"/>
  <c r="I24" i="10"/>
  <c r="J24" i="10" s="1"/>
  <c r="T24" i="10" s="1"/>
  <c r="V24" i="10" s="1"/>
  <c r="E24" i="10"/>
  <c r="U23" i="10"/>
  <c r="V23" i="10" s="1"/>
  <c r="S23" i="10"/>
  <c r="J23" i="10"/>
  <c r="U22" i="10"/>
  <c r="V22" i="10" s="1"/>
  <c r="R22" i="10"/>
  <c r="N22" i="10"/>
  <c r="S22" i="10" s="1"/>
  <c r="T22" i="10" s="1"/>
  <c r="J22" i="10"/>
  <c r="I22" i="10"/>
  <c r="E22" i="10"/>
  <c r="U21" i="10"/>
  <c r="S21" i="10"/>
  <c r="T21" i="10" s="1"/>
  <c r="R21" i="10"/>
  <c r="N21" i="10"/>
  <c r="I21" i="10"/>
  <c r="E21" i="10"/>
  <c r="J21" i="10" s="1"/>
  <c r="U20" i="10"/>
  <c r="R20" i="10"/>
  <c r="N20" i="10"/>
  <c r="S20" i="10" s="1"/>
  <c r="I20" i="10"/>
  <c r="E20" i="10"/>
  <c r="J20" i="10" s="1"/>
  <c r="T20" i="10" s="1"/>
  <c r="V20" i="10" s="1"/>
  <c r="U19" i="10"/>
  <c r="S19" i="10"/>
  <c r="R19" i="10"/>
  <c r="N19" i="10"/>
  <c r="I19" i="10"/>
  <c r="E19" i="10"/>
  <c r="U18" i="10"/>
  <c r="R18" i="10"/>
  <c r="N18" i="10"/>
  <c r="S18" i="10" s="1"/>
  <c r="T18" i="10" s="1"/>
  <c r="J18" i="10"/>
  <c r="I18" i="10"/>
  <c r="E18" i="10"/>
  <c r="U17" i="10"/>
  <c r="R17" i="10"/>
  <c r="N17" i="10"/>
  <c r="S17" i="10" s="1"/>
  <c r="I17" i="10"/>
  <c r="E17" i="10"/>
  <c r="J17" i="10" s="1"/>
  <c r="T17" i="10" s="1"/>
  <c r="U16" i="10"/>
  <c r="R16" i="10"/>
  <c r="N16" i="10"/>
  <c r="S16" i="10" s="1"/>
  <c r="I16" i="10"/>
  <c r="J16" i="10" s="1"/>
  <c r="T16" i="10" s="1"/>
  <c r="V16" i="10" s="1"/>
  <c r="E16" i="10"/>
  <c r="U15" i="10"/>
  <c r="S15" i="10"/>
  <c r="T15" i="10" s="1"/>
  <c r="R15" i="10"/>
  <c r="N15" i="10"/>
  <c r="I15" i="10"/>
  <c r="E15" i="10"/>
  <c r="J15" i="10" s="1"/>
  <c r="U14" i="10"/>
  <c r="R14" i="10"/>
  <c r="N14" i="10"/>
  <c r="S14" i="10" s="1"/>
  <c r="J14" i="10"/>
  <c r="T14" i="10" s="1"/>
  <c r="I14" i="10"/>
  <c r="E14" i="10"/>
  <c r="U13" i="10"/>
  <c r="R13" i="10"/>
  <c r="N13" i="10"/>
  <c r="S13" i="10" s="1"/>
  <c r="J13" i="10"/>
  <c r="T13" i="10" s="1"/>
  <c r="V13" i="10" s="1"/>
  <c r="I13" i="10"/>
  <c r="E13" i="10"/>
  <c r="V12" i="10"/>
  <c r="U12" i="10"/>
  <c r="S12" i="10"/>
  <c r="J12" i="10"/>
  <c r="T12" i="10" s="1"/>
  <c r="U11" i="10"/>
  <c r="R11" i="10"/>
  <c r="N11" i="10"/>
  <c r="S11" i="10" s="1"/>
  <c r="J11" i="10"/>
  <c r="T11" i="10" s="1"/>
  <c r="I11" i="10"/>
  <c r="E11" i="10"/>
  <c r="U10" i="10"/>
  <c r="R10" i="10"/>
  <c r="N10" i="10"/>
  <c r="S10" i="10" s="1"/>
  <c r="I10" i="10"/>
  <c r="J10" i="10" s="1"/>
  <c r="T10" i="10" s="1"/>
  <c r="E10" i="10"/>
  <c r="U9" i="10"/>
  <c r="R9" i="10"/>
  <c r="N9" i="10"/>
  <c r="J9" i="10"/>
  <c r="I9" i="10"/>
  <c r="E9" i="10"/>
  <c r="U8" i="10"/>
  <c r="R8" i="10"/>
  <c r="R7" i="10" s="1"/>
  <c r="N8" i="10"/>
  <c r="I8" i="10"/>
  <c r="I7" i="10" s="1"/>
  <c r="E8" i="10"/>
  <c r="Q7" i="10"/>
  <c r="P7" i="10"/>
  <c r="O7" i="10"/>
  <c r="O164" i="10" s="1"/>
  <c r="O170" i="10" s="1"/>
  <c r="O174" i="10" s="1"/>
  <c r="M7" i="10"/>
  <c r="L7" i="10"/>
  <c r="L164" i="10" s="1"/>
  <c r="L170" i="10" s="1"/>
  <c r="L174" i="10" s="1"/>
  <c r="K7" i="10"/>
  <c r="K164" i="10" s="1"/>
  <c r="K170" i="10" s="1"/>
  <c r="K174" i="10" s="1"/>
  <c r="H7" i="10"/>
  <c r="G7" i="10"/>
  <c r="F7" i="10"/>
  <c r="D7" i="10"/>
  <c r="C7" i="10"/>
  <c r="B7" i="10"/>
  <c r="V118" i="10" l="1"/>
  <c r="V21" i="10"/>
  <c r="T28" i="10"/>
  <c r="J27" i="10"/>
  <c r="T87" i="10"/>
  <c r="V129" i="10"/>
  <c r="V85" i="10"/>
  <c r="E36" i="10"/>
  <c r="J37" i="10"/>
  <c r="T46" i="10"/>
  <c r="V46" i="10"/>
  <c r="V79" i="10"/>
  <c r="N98" i="10"/>
  <c r="V33" i="10"/>
  <c r="J45" i="10"/>
  <c r="T45" i="10" s="1"/>
  <c r="T42" i="10" s="1"/>
  <c r="S49" i="10"/>
  <c r="V71" i="10"/>
  <c r="V10" i="10"/>
  <c r="V166" i="10"/>
  <c r="I106" i="10"/>
  <c r="V116" i="10"/>
  <c r="N49" i="10"/>
  <c r="V66" i="10"/>
  <c r="T86" i="10"/>
  <c r="V86" i="10" s="1"/>
  <c r="V57" i="10"/>
  <c r="V78" i="10"/>
  <c r="U131" i="10"/>
  <c r="I131" i="10"/>
  <c r="R140" i="10"/>
  <c r="U147" i="10"/>
  <c r="J148" i="10"/>
  <c r="E147" i="10"/>
  <c r="S123" i="10"/>
  <c r="S122" i="10" s="1"/>
  <c r="J159" i="10"/>
  <c r="T159" i="10" s="1"/>
  <c r="V159" i="10" s="1"/>
  <c r="E155" i="10"/>
  <c r="S8" i="10"/>
  <c r="B164" i="10"/>
  <c r="V18" i="10"/>
  <c r="T32" i="10"/>
  <c r="V32" i="10" s="1"/>
  <c r="V39" i="10"/>
  <c r="U60" i="10"/>
  <c r="V74" i="10"/>
  <c r="T109" i="10"/>
  <c r="V109" i="10" s="1"/>
  <c r="T115" i="10"/>
  <c r="I27" i="10"/>
  <c r="I49" i="10"/>
  <c r="J51" i="10"/>
  <c r="T51" i="10" s="1"/>
  <c r="V47" i="10"/>
  <c r="J117" i="10"/>
  <c r="T117" i="10" s="1"/>
  <c r="V117" i="10" s="1"/>
  <c r="E115" i="10"/>
  <c r="N36" i="10"/>
  <c r="V15" i="10"/>
  <c r="U76" i="10"/>
  <c r="T81" i="10"/>
  <c r="V81" i="10" s="1"/>
  <c r="S115" i="10"/>
  <c r="T151" i="10"/>
  <c r="V151" i="10" s="1"/>
  <c r="I164" i="10"/>
  <c r="I170" i="10" s="1"/>
  <c r="I174" i="10" s="1"/>
  <c r="T93" i="10"/>
  <c r="J92" i="10"/>
  <c r="U42" i="10"/>
  <c r="J69" i="10"/>
  <c r="V14" i="10"/>
  <c r="J100" i="10"/>
  <c r="T100" i="10" s="1"/>
  <c r="V100" i="10" s="1"/>
  <c r="V136" i="10"/>
  <c r="S156" i="10"/>
  <c r="S155" i="10" s="1"/>
  <c r="V110" i="10"/>
  <c r="T113" i="10"/>
  <c r="V113" i="10" s="1"/>
  <c r="V150" i="10"/>
  <c r="C164" i="10"/>
  <c r="C170" i="10" s="1"/>
  <c r="C174" i="10" s="1"/>
  <c r="V11" i="10"/>
  <c r="U49" i="10"/>
  <c r="V51" i="10"/>
  <c r="V70" i="10"/>
  <c r="S98" i="10"/>
  <c r="T103" i="10"/>
  <c r="V103" i="10" s="1"/>
  <c r="U122" i="10"/>
  <c r="V127" i="10"/>
  <c r="E140" i="10"/>
  <c r="S148" i="10"/>
  <c r="N147" i="10"/>
  <c r="V168" i="10"/>
  <c r="S69" i="10"/>
  <c r="S68" i="10" s="1"/>
  <c r="N68" i="10"/>
  <c r="V87" i="10"/>
  <c r="U115" i="10"/>
  <c r="V120" i="10"/>
  <c r="P164" i="10"/>
  <c r="P170" i="10" s="1"/>
  <c r="P174" i="10" s="1"/>
  <c r="R27" i="10"/>
  <c r="T56" i="10"/>
  <c r="E60" i="10"/>
  <c r="J62" i="10"/>
  <c r="S141" i="10"/>
  <c r="Q164" i="10"/>
  <c r="Q170" i="10" s="1"/>
  <c r="Q174" i="10" s="1"/>
  <c r="T9" i="10"/>
  <c r="V9" i="10" s="1"/>
  <c r="J19" i="10"/>
  <c r="T19" i="10" s="1"/>
  <c r="V19" i="10" s="1"/>
  <c r="M164" i="10"/>
  <c r="M170" i="10" s="1"/>
  <c r="M174" i="10" s="1"/>
  <c r="S28" i="10"/>
  <c r="S32" i="10"/>
  <c r="T34" i="10"/>
  <c r="V34" i="10" s="1"/>
  <c r="I42" i="10"/>
  <c r="V138" i="10"/>
  <c r="D164" i="10"/>
  <c r="D170" i="10" s="1"/>
  <c r="D174" i="10" s="1"/>
  <c r="I76" i="10"/>
  <c r="V112" i="10"/>
  <c r="I122" i="10"/>
  <c r="V17" i="10"/>
  <c r="V54" i="10"/>
  <c r="S77" i="10"/>
  <c r="S76" i="10" s="1"/>
  <c r="N76" i="10"/>
  <c r="E106" i="10"/>
  <c r="J107" i="10"/>
  <c r="R106" i="10"/>
  <c r="J115" i="10"/>
  <c r="J124" i="10"/>
  <c r="T124" i="10" s="1"/>
  <c r="V124" i="10" s="1"/>
  <c r="V143" i="10"/>
  <c r="U155" i="10"/>
  <c r="J8" i="10"/>
  <c r="E7" i="10"/>
  <c r="T31" i="10"/>
  <c r="V31" i="10" s="1"/>
  <c r="J50" i="10"/>
  <c r="V65" i="10"/>
  <c r="I115" i="10"/>
  <c r="R131" i="10"/>
  <c r="I140" i="10"/>
  <c r="N7" i="10"/>
  <c r="S9" i="10"/>
  <c r="R36" i="10"/>
  <c r="R164" i="10" s="1"/>
  <c r="R170" i="10" s="1"/>
  <c r="R174" i="10" s="1"/>
  <c r="E92" i="10"/>
  <c r="J98" i="10"/>
  <c r="T99" i="10"/>
  <c r="T98" i="10" s="1"/>
  <c r="V98" i="10" s="1"/>
  <c r="N106" i="10"/>
  <c r="S109" i="10"/>
  <c r="V134" i="10"/>
  <c r="T150" i="10"/>
  <c r="H164" i="10"/>
  <c r="H170" i="10" s="1"/>
  <c r="H174" i="10" s="1"/>
  <c r="U27" i="10"/>
  <c r="V56" i="10"/>
  <c r="T61" i="10"/>
  <c r="T77" i="10"/>
  <c r="V82" i="10"/>
  <c r="S132" i="10"/>
  <c r="S131" i="10" s="1"/>
  <c r="J142" i="10"/>
  <c r="T144" i="10"/>
  <c r="V144" i="10" s="1"/>
  <c r="I155" i="10"/>
  <c r="U7" i="10"/>
  <c r="J84" i="10"/>
  <c r="T85" i="10"/>
  <c r="T129" i="10"/>
  <c r="S37" i="10"/>
  <c r="S36" i="10" s="1"/>
  <c r="V43" i="10"/>
  <c r="J57" i="10"/>
  <c r="T57" i="10" s="1"/>
  <c r="V77" i="10"/>
  <c r="R92" i="10"/>
  <c r="V104" i="10"/>
  <c r="S113" i="10"/>
  <c r="T153" i="10"/>
  <c r="V153" i="10" s="1"/>
  <c r="J156" i="10"/>
  <c r="V58" i="10"/>
  <c r="J79" i="10"/>
  <c r="T79" i="10" s="1"/>
  <c r="V119" i="10"/>
  <c r="J132" i="10"/>
  <c r="V137" i="10"/>
  <c r="S151" i="10"/>
  <c r="R68" i="10"/>
  <c r="N84" i="10"/>
  <c r="N122" i="10"/>
  <c r="S124" i="10"/>
  <c r="N140" i="10"/>
  <c r="S142" i="10"/>
  <c r="J123" i="10"/>
  <c r="E131" i="10"/>
  <c r="S86" i="10"/>
  <c r="S84" i="10" s="1"/>
  <c r="E27" i="10"/>
  <c r="N42" i="10"/>
  <c r="N115" i="10"/>
  <c r="T142" i="10" l="1"/>
  <c r="V142" i="10" s="1"/>
  <c r="J140" i="10"/>
  <c r="E164" i="10"/>
  <c r="E170" i="10" s="1"/>
  <c r="E174" i="10" s="1"/>
  <c r="T8" i="10"/>
  <c r="J7" i="10"/>
  <c r="J131" i="10"/>
  <c r="T132" i="10"/>
  <c r="T76" i="10"/>
  <c r="V76" i="10" s="1"/>
  <c r="T141" i="10"/>
  <c r="S140" i="10"/>
  <c r="V61" i="10"/>
  <c r="J60" i="10"/>
  <c r="T62" i="10"/>
  <c r="V62" i="10" s="1"/>
  <c r="S147" i="10"/>
  <c r="V99" i="10"/>
  <c r="N164" i="10"/>
  <c r="N170" i="10" s="1"/>
  <c r="N174" i="10" s="1"/>
  <c r="T69" i="10"/>
  <c r="J68" i="10"/>
  <c r="J122" i="10"/>
  <c r="T123" i="10"/>
  <c r="T84" i="10"/>
  <c r="V84" i="10" s="1"/>
  <c r="J76" i="10"/>
  <c r="V42" i="10"/>
  <c r="T148" i="10"/>
  <c r="J147" i="10"/>
  <c r="V28" i="10"/>
  <c r="T27" i="10"/>
  <c r="V27" i="10" s="1"/>
  <c r="J155" i="10"/>
  <c r="T156" i="10"/>
  <c r="T107" i="10"/>
  <c r="J106" i="10"/>
  <c r="J42" i="10"/>
  <c r="V45" i="10"/>
  <c r="V93" i="10"/>
  <c r="T92" i="10"/>
  <c r="V92" i="10" s="1"/>
  <c r="B170" i="10"/>
  <c r="U164" i="10"/>
  <c r="T37" i="10"/>
  <c r="J36" i="10"/>
  <c r="S106" i="10"/>
  <c r="T50" i="10"/>
  <c r="J49" i="10"/>
  <c r="S27" i="10"/>
  <c r="V115" i="10"/>
  <c r="S7" i="10"/>
  <c r="T106" i="10" l="1"/>
  <c r="V106" i="10" s="1"/>
  <c r="V107" i="10"/>
  <c r="T147" i="10"/>
  <c r="V147" i="10" s="1"/>
  <c r="V148" i="10"/>
  <c r="T36" i="10"/>
  <c r="V36" i="10" s="1"/>
  <c r="V37" i="10"/>
  <c r="T155" i="10"/>
  <c r="V155" i="10" s="1"/>
  <c r="V156" i="10"/>
  <c r="T140" i="10"/>
  <c r="V140" i="10" s="1"/>
  <c r="V141" i="10"/>
  <c r="T68" i="10"/>
  <c r="V68" i="10" s="1"/>
  <c r="V69" i="10"/>
  <c r="B174" i="10"/>
  <c r="U174" i="10" s="1"/>
  <c r="U170" i="10"/>
  <c r="T131" i="10"/>
  <c r="V131" i="10" s="1"/>
  <c r="V132" i="10"/>
  <c r="S164" i="10"/>
  <c r="S170" i="10" s="1"/>
  <c r="S174" i="10" s="1"/>
  <c r="J164" i="10"/>
  <c r="J170" i="10" s="1"/>
  <c r="J174" i="10" s="1"/>
  <c r="T7" i="10"/>
  <c r="V8" i="10"/>
  <c r="T49" i="10"/>
  <c r="V49" i="10" s="1"/>
  <c r="V50" i="10"/>
  <c r="T60" i="10"/>
  <c r="V60" i="10" s="1"/>
  <c r="T122" i="10"/>
  <c r="V122" i="10" s="1"/>
  <c r="V123" i="10"/>
  <c r="T164" i="10" l="1"/>
  <c r="V7" i="10"/>
  <c r="T170" i="10" l="1"/>
  <c r="V164" i="10"/>
  <c r="T174" i="10" l="1"/>
  <c r="V174" i="10" s="1"/>
  <c r="V170" i="10"/>
  <c r="R153" i="9"/>
  <c r="N153" i="9"/>
  <c r="I153" i="9"/>
  <c r="E153" i="9"/>
  <c r="J153" i="9" s="1"/>
  <c r="R149" i="9"/>
  <c r="N149" i="9"/>
  <c r="S149" i="9" s="1"/>
  <c r="I149" i="9"/>
  <c r="E149" i="9"/>
  <c r="R147" i="9"/>
  <c r="S147" i="9" s="1"/>
  <c r="N147" i="9"/>
  <c r="I147" i="9"/>
  <c r="E147" i="9"/>
  <c r="R142" i="9"/>
  <c r="N142" i="9"/>
  <c r="S142" i="9" s="1"/>
  <c r="I142" i="9"/>
  <c r="E142" i="9"/>
  <c r="J142" i="9" s="1"/>
  <c r="T142" i="9" s="1"/>
  <c r="R141" i="9"/>
  <c r="N141" i="9"/>
  <c r="S141" i="9" s="1"/>
  <c r="I141" i="9"/>
  <c r="E141" i="9"/>
  <c r="J141" i="9" s="1"/>
  <c r="T141" i="9" s="1"/>
  <c r="R140" i="9"/>
  <c r="K137" i="9"/>
  <c r="I140" i="9"/>
  <c r="E140" i="9"/>
  <c r="J140" i="9" s="1"/>
  <c r="R139" i="9"/>
  <c r="S139" i="9" s="1"/>
  <c r="N139" i="9"/>
  <c r="D137" i="9"/>
  <c r="C137" i="9"/>
  <c r="E139" i="9"/>
  <c r="R138" i="9"/>
  <c r="N138" i="9"/>
  <c r="S138" i="9" s="1"/>
  <c r="I138" i="9"/>
  <c r="Q137" i="9"/>
  <c r="P137" i="9"/>
  <c r="O137" i="9"/>
  <c r="R137" i="9" s="1"/>
  <c r="R135" i="9"/>
  <c r="N135" i="9"/>
  <c r="S135" i="9" s="1"/>
  <c r="I135" i="9"/>
  <c r="E135" i="9"/>
  <c r="J135" i="9" s="1"/>
  <c r="R134" i="9"/>
  <c r="N134" i="9"/>
  <c r="S134" i="9" s="1"/>
  <c r="J134" i="9"/>
  <c r="T134" i="9" s="1"/>
  <c r="I134" i="9"/>
  <c r="E134" i="9"/>
  <c r="R133" i="9"/>
  <c r="S133" i="9" s="1"/>
  <c r="N133" i="9"/>
  <c r="D131" i="9"/>
  <c r="C131" i="9"/>
  <c r="R132" i="9"/>
  <c r="H131" i="9"/>
  <c r="E132" i="9"/>
  <c r="P131" i="9"/>
  <c r="O131" i="9"/>
  <c r="B131" i="9"/>
  <c r="P125" i="9"/>
  <c r="N129" i="9"/>
  <c r="I129" i="9"/>
  <c r="C125" i="9"/>
  <c r="E129" i="9"/>
  <c r="J129" i="9" s="1"/>
  <c r="R128" i="9"/>
  <c r="N128" i="9"/>
  <c r="I128" i="9"/>
  <c r="E128" i="9"/>
  <c r="J128" i="9" s="1"/>
  <c r="R127" i="9"/>
  <c r="N127" i="9"/>
  <c r="S127" i="9" s="1"/>
  <c r="I127" i="9"/>
  <c r="E127" i="9"/>
  <c r="D125" i="9"/>
  <c r="R126" i="9"/>
  <c r="M125" i="9"/>
  <c r="L125" i="9"/>
  <c r="E126" i="9"/>
  <c r="Q125" i="9"/>
  <c r="O125" i="9"/>
  <c r="R125" i="9" s="1"/>
  <c r="B125" i="9"/>
  <c r="E125" i="9" s="1"/>
  <c r="N123" i="9"/>
  <c r="I123" i="9"/>
  <c r="R122" i="9"/>
  <c r="N122" i="9"/>
  <c r="S122" i="9" s="1"/>
  <c r="G118" i="9"/>
  <c r="E122" i="9"/>
  <c r="R121" i="9"/>
  <c r="N121" i="9"/>
  <c r="S121" i="9" s="1"/>
  <c r="I121" i="9"/>
  <c r="E121" i="9"/>
  <c r="R120" i="9"/>
  <c r="I120" i="9"/>
  <c r="E120" i="9"/>
  <c r="Q118" i="9"/>
  <c r="C118" i="9"/>
  <c r="H118" i="9"/>
  <c r="B118" i="9"/>
  <c r="S116" i="9"/>
  <c r="R116" i="9"/>
  <c r="N116" i="9"/>
  <c r="I116" i="9"/>
  <c r="J116" i="9" s="1"/>
  <c r="T116" i="9" s="1"/>
  <c r="E116" i="9"/>
  <c r="P111" i="9"/>
  <c r="R115" i="9"/>
  <c r="N115" i="9"/>
  <c r="S115" i="9" s="1"/>
  <c r="I115" i="9"/>
  <c r="E115" i="9"/>
  <c r="J115" i="9" s="1"/>
  <c r="T115" i="9" s="1"/>
  <c r="R114" i="9"/>
  <c r="S114" i="9" s="1"/>
  <c r="N114" i="9"/>
  <c r="I114" i="9"/>
  <c r="J114" i="9" s="1"/>
  <c r="E114" i="9"/>
  <c r="R113" i="9"/>
  <c r="N113" i="9"/>
  <c r="S113" i="9" s="1"/>
  <c r="I113" i="9"/>
  <c r="E113" i="9"/>
  <c r="J113" i="9" s="1"/>
  <c r="R112" i="9"/>
  <c r="I112" i="9"/>
  <c r="M111" i="9"/>
  <c r="R109" i="9"/>
  <c r="N109" i="9"/>
  <c r="S109" i="9" s="1"/>
  <c r="I109" i="9"/>
  <c r="E109" i="9"/>
  <c r="J109" i="9" s="1"/>
  <c r="R107" i="9"/>
  <c r="S107" i="9" s="1"/>
  <c r="N107" i="9"/>
  <c r="H104" i="9"/>
  <c r="G104" i="9"/>
  <c r="E107" i="9"/>
  <c r="R106" i="9"/>
  <c r="L104" i="9"/>
  <c r="N106" i="9"/>
  <c r="S106" i="9" s="1"/>
  <c r="I106" i="9"/>
  <c r="I105" i="9"/>
  <c r="E105" i="9"/>
  <c r="P104" i="9"/>
  <c r="O104" i="9"/>
  <c r="M104" i="9"/>
  <c r="R102" i="9"/>
  <c r="N102" i="9"/>
  <c r="S102" i="9" s="1"/>
  <c r="I102" i="9"/>
  <c r="E102" i="9"/>
  <c r="J102" i="9" s="1"/>
  <c r="R101" i="9"/>
  <c r="S101" i="9" s="1"/>
  <c r="N101" i="9"/>
  <c r="I101" i="9"/>
  <c r="E101" i="9"/>
  <c r="R100" i="9"/>
  <c r="I100" i="9"/>
  <c r="E100" i="9"/>
  <c r="J100" i="9" s="1"/>
  <c r="R99" i="9"/>
  <c r="S99" i="9" s="1"/>
  <c r="N99" i="9"/>
  <c r="I99" i="9"/>
  <c r="E99" i="9"/>
  <c r="J99" i="9" s="1"/>
  <c r="P96" i="9"/>
  <c r="N98" i="9"/>
  <c r="I98" i="9"/>
  <c r="C96" i="9"/>
  <c r="E98" i="9"/>
  <c r="J98" i="9" s="1"/>
  <c r="R97" i="9"/>
  <c r="H96" i="9"/>
  <c r="I97" i="9"/>
  <c r="O96" i="9"/>
  <c r="M96" i="9"/>
  <c r="F96" i="9"/>
  <c r="R94" i="9"/>
  <c r="N94" i="9"/>
  <c r="S94" i="9" s="1"/>
  <c r="I94" i="9"/>
  <c r="R93" i="9"/>
  <c r="N93" i="9"/>
  <c r="I93" i="9"/>
  <c r="E93" i="9"/>
  <c r="J93" i="9" s="1"/>
  <c r="P90" i="9"/>
  <c r="N92" i="9"/>
  <c r="D90" i="9"/>
  <c r="R91" i="9"/>
  <c r="H90" i="9"/>
  <c r="I91" i="9"/>
  <c r="F90" i="9"/>
  <c r="E91" i="9"/>
  <c r="M90" i="9"/>
  <c r="L90" i="9"/>
  <c r="B90" i="9"/>
  <c r="R88" i="9"/>
  <c r="M86" i="9"/>
  <c r="E88" i="9"/>
  <c r="R87" i="9"/>
  <c r="L86" i="9"/>
  <c r="N86" i="9" s="1"/>
  <c r="S86" i="9" s="1"/>
  <c r="F86" i="9"/>
  <c r="Q86" i="9"/>
  <c r="P86" i="9"/>
  <c r="O86" i="9"/>
  <c r="R86" i="9" s="1"/>
  <c r="K86" i="9"/>
  <c r="D86" i="9"/>
  <c r="C86" i="9"/>
  <c r="B86" i="9"/>
  <c r="E86" i="9" s="1"/>
  <c r="S84" i="9"/>
  <c r="R84" i="9"/>
  <c r="N84" i="9"/>
  <c r="I84" i="9"/>
  <c r="J84" i="9" s="1"/>
  <c r="T84" i="9" s="1"/>
  <c r="E84" i="9"/>
  <c r="R83" i="9"/>
  <c r="N83" i="9"/>
  <c r="S83" i="9" s="1"/>
  <c r="I83" i="9"/>
  <c r="E83" i="9"/>
  <c r="J83" i="9" s="1"/>
  <c r="R82" i="9"/>
  <c r="M79" i="9"/>
  <c r="E82" i="9"/>
  <c r="R81" i="9"/>
  <c r="S81" i="9" s="1"/>
  <c r="N81" i="9"/>
  <c r="I81" i="9"/>
  <c r="E81" i="9"/>
  <c r="J81" i="9" s="1"/>
  <c r="R80" i="9"/>
  <c r="N80" i="9"/>
  <c r="S80" i="9" s="1"/>
  <c r="I80" i="9"/>
  <c r="D79" i="9"/>
  <c r="Q79" i="9"/>
  <c r="P79" i="9"/>
  <c r="K79" i="9"/>
  <c r="C79" i="9"/>
  <c r="P71" i="9"/>
  <c r="R77" i="9"/>
  <c r="N77" i="9"/>
  <c r="I77" i="9"/>
  <c r="E77" i="9"/>
  <c r="J77" i="9" s="1"/>
  <c r="R76" i="9"/>
  <c r="N76" i="9"/>
  <c r="I76" i="9"/>
  <c r="E76" i="9"/>
  <c r="R75" i="9"/>
  <c r="N75" i="9"/>
  <c r="S75" i="9" s="1"/>
  <c r="I75" i="9"/>
  <c r="E75" i="9"/>
  <c r="R74" i="9"/>
  <c r="L71" i="9"/>
  <c r="N74" i="9"/>
  <c r="S74" i="9" s="1"/>
  <c r="I74" i="9"/>
  <c r="E74" i="9"/>
  <c r="Q71" i="9"/>
  <c r="N73" i="9"/>
  <c r="D71" i="9"/>
  <c r="I72" i="9"/>
  <c r="J72" i="9" s="1"/>
  <c r="E72" i="9"/>
  <c r="R69" i="9"/>
  <c r="I69" i="9"/>
  <c r="E69" i="9"/>
  <c r="J69" i="9" s="1"/>
  <c r="R68" i="9"/>
  <c r="N68" i="9"/>
  <c r="S68" i="9" s="1"/>
  <c r="I68" i="9"/>
  <c r="R67" i="9"/>
  <c r="N67" i="9"/>
  <c r="S67" i="9" s="1"/>
  <c r="I67" i="9"/>
  <c r="E67" i="9"/>
  <c r="M64" i="9"/>
  <c r="N66" i="9"/>
  <c r="J66" i="9"/>
  <c r="I66" i="9"/>
  <c r="E66" i="9"/>
  <c r="P64" i="9"/>
  <c r="N65" i="9"/>
  <c r="H64" i="9"/>
  <c r="C64" i="9"/>
  <c r="L64" i="9"/>
  <c r="K64" i="9"/>
  <c r="N64" i="9" s="1"/>
  <c r="R62" i="9"/>
  <c r="E62" i="9"/>
  <c r="R61" i="9"/>
  <c r="N61" i="9"/>
  <c r="S61" i="9" s="1"/>
  <c r="E61" i="9"/>
  <c r="Q56" i="9"/>
  <c r="N60" i="9"/>
  <c r="I60" i="9"/>
  <c r="E60" i="9"/>
  <c r="J60" i="9" s="1"/>
  <c r="R59" i="9"/>
  <c r="N59" i="9"/>
  <c r="S59" i="9" s="1"/>
  <c r="I59" i="9"/>
  <c r="R58" i="9"/>
  <c r="N58" i="9"/>
  <c r="S58" i="9" s="1"/>
  <c r="E58" i="9"/>
  <c r="R57" i="9"/>
  <c r="L56" i="9"/>
  <c r="K56" i="9"/>
  <c r="E57" i="9"/>
  <c r="P56" i="9"/>
  <c r="D56" i="9"/>
  <c r="R54" i="9"/>
  <c r="N54" i="9"/>
  <c r="S54" i="9" s="1"/>
  <c r="I54" i="9"/>
  <c r="J54" i="9" s="1"/>
  <c r="T54" i="9" s="1"/>
  <c r="E54" i="9"/>
  <c r="P45" i="9"/>
  <c r="R53" i="9"/>
  <c r="N53" i="9"/>
  <c r="S53" i="9" s="1"/>
  <c r="E53" i="9"/>
  <c r="R52" i="9"/>
  <c r="I52" i="9"/>
  <c r="J52" i="9" s="1"/>
  <c r="E52" i="9"/>
  <c r="S51" i="9"/>
  <c r="R51" i="9"/>
  <c r="N51" i="9"/>
  <c r="I51" i="9"/>
  <c r="E51" i="9"/>
  <c r="J51" i="9" s="1"/>
  <c r="T51" i="9" s="1"/>
  <c r="R50" i="9"/>
  <c r="N50" i="9"/>
  <c r="S50" i="9" s="1"/>
  <c r="I50" i="9"/>
  <c r="J50" i="9" s="1"/>
  <c r="T50" i="9" s="1"/>
  <c r="E50" i="9"/>
  <c r="R49" i="9"/>
  <c r="N49" i="9"/>
  <c r="J49" i="9"/>
  <c r="I49" i="9"/>
  <c r="E49" i="9"/>
  <c r="R48" i="9"/>
  <c r="S48" i="9" s="1"/>
  <c r="N48" i="9"/>
  <c r="I48" i="9"/>
  <c r="E48" i="9"/>
  <c r="J48" i="9" s="1"/>
  <c r="R47" i="9"/>
  <c r="I47" i="9"/>
  <c r="E47" i="9"/>
  <c r="J47" i="9" s="1"/>
  <c r="R46" i="9"/>
  <c r="E46" i="9"/>
  <c r="C45" i="9"/>
  <c r="B45" i="9"/>
  <c r="R43" i="9"/>
  <c r="S43" i="9" s="1"/>
  <c r="N43" i="9"/>
  <c r="I43" i="9"/>
  <c r="J43" i="9" s="1"/>
  <c r="E43" i="9"/>
  <c r="R42" i="9"/>
  <c r="M39" i="9"/>
  <c r="L39" i="9"/>
  <c r="N42" i="9"/>
  <c r="S42" i="9" s="1"/>
  <c r="I42" i="9"/>
  <c r="C39" i="9"/>
  <c r="E42" i="9"/>
  <c r="J42" i="9" s="1"/>
  <c r="R41" i="9"/>
  <c r="S41" i="9" s="1"/>
  <c r="N41" i="9"/>
  <c r="I41" i="9"/>
  <c r="R40" i="9"/>
  <c r="H39" i="9"/>
  <c r="E40" i="9"/>
  <c r="F39" i="9"/>
  <c r="D39" i="9"/>
  <c r="R37" i="9"/>
  <c r="N37" i="9"/>
  <c r="I37" i="9"/>
  <c r="E37" i="9"/>
  <c r="J37" i="9" s="1"/>
  <c r="R36" i="9"/>
  <c r="N36" i="9"/>
  <c r="S36" i="9" s="1"/>
  <c r="I36" i="9"/>
  <c r="E36" i="9"/>
  <c r="J36" i="9" s="1"/>
  <c r="T36" i="9" s="1"/>
  <c r="R35" i="9"/>
  <c r="I35" i="9"/>
  <c r="J35" i="9" s="1"/>
  <c r="E35" i="9"/>
  <c r="P33" i="9"/>
  <c r="O33" i="9"/>
  <c r="M33" i="9"/>
  <c r="C33" i="9"/>
  <c r="B33" i="9"/>
  <c r="H33" i="9"/>
  <c r="G33" i="9"/>
  <c r="R31" i="9"/>
  <c r="N31" i="9"/>
  <c r="S31" i="9" s="1"/>
  <c r="I31" i="9"/>
  <c r="J31" i="9" s="1"/>
  <c r="T31" i="9" s="1"/>
  <c r="E31" i="9"/>
  <c r="R30" i="9"/>
  <c r="N30" i="9"/>
  <c r="S30" i="9" s="1"/>
  <c r="I30" i="9"/>
  <c r="E30" i="9"/>
  <c r="J30" i="9" s="1"/>
  <c r="S29" i="9"/>
  <c r="R29" i="9"/>
  <c r="N29" i="9"/>
  <c r="I29" i="9"/>
  <c r="E29" i="9"/>
  <c r="R28" i="9"/>
  <c r="N28" i="9"/>
  <c r="S28" i="9" s="1"/>
  <c r="E28" i="9"/>
  <c r="R27" i="9"/>
  <c r="M25" i="9"/>
  <c r="N27" i="9"/>
  <c r="S27" i="9" s="1"/>
  <c r="I27" i="9"/>
  <c r="E27" i="9"/>
  <c r="J27" i="9" s="1"/>
  <c r="Q25" i="9"/>
  <c r="N26" i="9"/>
  <c r="H25" i="9"/>
  <c r="I26" i="9"/>
  <c r="D25" i="9"/>
  <c r="C25" i="9"/>
  <c r="L25" i="9"/>
  <c r="K25" i="9"/>
  <c r="R23" i="9"/>
  <c r="I23" i="9"/>
  <c r="E23" i="9"/>
  <c r="J23" i="9" s="1"/>
  <c r="R22" i="9"/>
  <c r="N22" i="9"/>
  <c r="I22" i="9"/>
  <c r="E22" i="9"/>
  <c r="J22" i="9" s="1"/>
  <c r="I21" i="9"/>
  <c r="E21" i="9"/>
  <c r="J21" i="9" s="1"/>
  <c r="R20" i="9"/>
  <c r="N20" i="9"/>
  <c r="S20" i="9" s="1"/>
  <c r="I20" i="9"/>
  <c r="J20" i="9" s="1"/>
  <c r="T20" i="9" s="1"/>
  <c r="E20" i="9"/>
  <c r="R19" i="9"/>
  <c r="N19" i="9"/>
  <c r="S19" i="9" s="1"/>
  <c r="J19" i="9"/>
  <c r="I19" i="9"/>
  <c r="E19" i="9"/>
  <c r="R18" i="9"/>
  <c r="S18" i="9" s="1"/>
  <c r="N18" i="9"/>
  <c r="I18" i="9"/>
  <c r="E18" i="9"/>
  <c r="J18" i="9" s="1"/>
  <c r="R17" i="9"/>
  <c r="N17" i="9"/>
  <c r="S17" i="9" s="1"/>
  <c r="I17" i="9"/>
  <c r="J17" i="9" s="1"/>
  <c r="T17" i="9" s="1"/>
  <c r="E17" i="9"/>
  <c r="R16" i="9"/>
  <c r="N16" i="9"/>
  <c r="I16" i="9"/>
  <c r="E16" i="9"/>
  <c r="J16" i="9" s="1"/>
  <c r="R15" i="9"/>
  <c r="N15" i="9"/>
  <c r="S15" i="9" s="1"/>
  <c r="I15" i="9"/>
  <c r="E15" i="9"/>
  <c r="R14" i="9"/>
  <c r="N14" i="9"/>
  <c r="I14" i="9"/>
  <c r="E14" i="9"/>
  <c r="J14" i="9" s="1"/>
  <c r="R13" i="9"/>
  <c r="N13" i="9"/>
  <c r="I13" i="9"/>
  <c r="E13" i="9"/>
  <c r="J13" i="9" s="1"/>
  <c r="R12" i="9"/>
  <c r="N12" i="9"/>
  <c r="S12" i="9" s="1"/>
  <c r="I12" i="9"/>
  <c r="J12" i="9" s="1"/>
  <c r="T12" i="9" s="1"/>
  <c r="F7" i="9"/>
  <c r="E12" i="9"/>
  <c r="P7" i="9"/>
  <c r="R11" i="9"/>
  <c r="N11" i="9"/>
  <c r="S11" i="9" s="1"/>
  <c r="I11" i="9"/>
  <c r="E11" i="9"/>
  <c r="J11" i="9" s="1"/>
  <c r="S10" i="9"/>
  <c r="R10" i="9"/>
  <c r="N10" i="9"/>
  <c r="H7" i="9"/>
  <c r="I10" i="9"/>
  <c r="R9" i="9"/>
  <c r="N9" i="9"/>
  <c r="S9" i="9" s="1"/>
  <c r="J9" i="9"/>
  <c r="T9" i="9" s="1"/>
  <c r="I9" i="9"/>
  <c r="E9" i="9"/>
  <c r="N8" i="9"/>
  <c r="I8" i="9"/>
  <c r="E8" i="9"/>
  <c r="J8" i="9" s="1"/>
  <c r="L7" i="9"/>
  <c r="K7" i="9"/>
  <c r="R153" i="8"/>
  <c r="N153" i="8"/>
  <c r="S153" i="8" s="1"/>
  <c r="J153" i="8"/>
  <c r="I153" i="8"/>
  <c r="E153" i="8"/>
  <c r="R149" i="8"/>
  <c r="N149" i="8"/>
  <c r="S149" i="8" s="1"/>
  <c r="I149" i="8"/>
  <c r="J149" i="8" s="1"/>
  <c r="T149" i="8" s="1"/>
  <c r="E149" i="8"/>
  <c r="R147" i="8"/>
  <c r="N147" i="8"/>
  <c r="S147" i="8" s="1"/>
  <c r="I147" i="8"/>
  <c r="E147" i="8"/>
  <c r="J147" i="8" s="1"/>
  <c r="R142" i="8"/>
  <c r="S142" i="8" s="1"/>
  <c r="T142" i="8" s="1"/>
  <c r="N142" i="8"/>
  <c r="I142" i="8"/>
  <c r="E142" i="8"/>
  <c r="J142" i="8" s="1"/>
  <c r="R141" i="8"/>
  <c r="N141" i="8"/>
  <c r="S141" i="8" s="1"/>
  <c r="E141" i="8"/>
  <c r="R140" i="8"/>
  <c r="N140" i="8"/>
  <c r="S140" i="8" s="1"/>
  <c r="I140" i="8"/>
  <c r="E140" i="8"/>
  <c r="R139" i="8"/>
  <c r="N139" i="8"/>
  <c r="S139" i="8" s="1"/>
  <c r="E139" i="8"/>
  <c r="I138" i="8"/>
  <c r="J138" i="8" s="1"/>
  <c r="H137" i="8"/>
  <c r="D137" i="8"/>
  <c r="E138" i="8"/>
  <c r="Q137" i="8"/>
  <c r="R137" i="8" s="1"/>
  <c r="P137" i="8"/>
  <c r="O137" i="8"/>
  <c r="C137" i="8"/>
  <c r="R135" i="8"/>
  <c r="N135" i="8"/>
  <c r="I135" i="8"/>
  <c r="E135" i="8"/>
  <c r="J135" i="8" s="1"/>
  <c r="R134" i="8"/>
  <c r="N134" i="8"/>
  <c r="S134" i="8" s="1"/>
  <c r="J134" i="8"/>
  <c r="I134" i="8"/>
  <c r="E134" i="8"/>
  <c r="Q131" i="8"/>
  <c r="P131" i="8"/>
  <c r="N133" i="8"/>
  <c r="M131" i="8"/>
  <c r="I133" i="8"/>
  <c r="D131" i="8"/>
  <c r="C131" i="8"/>
  <c r="R132" i="8"/>
  <c r="L131" i="8"/>
  <c r="H131" i="8"/>
  <c r="G131" i="8"/>
  <c r="E132" i="8"/>
  <c r="N129" i="8"/>
  <c r="I129" i="8"/>
  <c r="E129" i="8"/>
  <c r="J129" i="8" s="1"/>
  <c r="R128" i="8"/>
  <c r="S128" i="8" s="1"/>
  <c r="Q125" i="8"/>
  <c r="N128" i="8"/>
  <c r="D125" i="8"/>
  <c r="P125" i="8"/>
  <c r="N127" i="8"/>
  <c r="E127" i="8"/>
  <c r="R126" i="8"/>
  <c r="N126" i="8"/>
  <c r="S126" i="8" s="1"/>
  <c r="H125" i="8"/>
  <c r="I126" i="8"/>
  <c r="O125" i="8"/>
  <c r="F125" i="8"/>
  <c r="C125" i="8"/>
  <c r="R123" i="8"/>
  <c r="H118" i="8"/>
  <c r="E123" i="8"/>
  <c r="R122" i="8"/>
  <c r="S122" i="8" s="1"/>
  <c r="N122" i="8"/>
  <c r="I122" i="8"/>
  <c r="E122" i="8"/>
  <c r="J122" i="8" s="1"/>
  <c r="R121" i="8"/>
  <c r="N121" i="8"/>
  <c r="I121" i="8"/>
  <c r="E121" i="8"/>
  <c r="J121" i="8" s="1"/>
  <c r="R120" i="8"/>
  <c r="I120" i="8"/>
  <c r="J120" i="8" s="1"/>
  <c r="E120" i="8"/>
  <c r="N119" i="8"/>
  <c r="I119" i="8"/>
  <c r="D118" i="8"/>
  <c r="E119" i="8"/>
  <c r="J119" i="8" s="1"/>
  <c r="G118" i="8"/>
  <c r="B118" i="8"/>
  <c r="S116" i="8"/>
  <c r="R116" i="8"/>
  <c r="N116" i="8"/>
  <c r="I116" i="8"/>
  <c r="J116" i="8" s="1"/>
  <c r="T116" i="8" s="1"/>
  <c r="E116" i="8"/>
  <c r="N115" i="8"/>
  <c r="I115" i="8"/>
  <c r="E115" i="8"/>
  <c r="J115" i="8" s="1"/>
  <c r="S114" i="8"/>
  <c r="R114" i="8"/>
  <c r="Q111" i="8"/>
  <c r="N114" i="8"/>
  <c r="I114" i="8"/>
  <c r="D111" i="8"/>
  <c r="P111" i="8"/>
  <c r="R111" i="8" s="1"/>
  <c r="M111" i="8"/>
  <c r="E113" i="8"/>
  <c r="R112" i="8"/>
  <c r="N112" i="8"/>
  <c r="S112" i="8" s="1"/>
  <c r="H111" i="8"/>
  <c r="I112" i="8"/>
  <c r="O111" i="8"/>
  <c r="F111" i="8"/>
  <c r="C111" i="8"/>
  <c r="R109" i="8"/>
  <c r="I109" i="8"/>
  <c r="J109" i="8" s="1"/>
  <c r="E109" i="8"/>
  <c r="P104" i="8"/>
  <c r="R107" i="8"/>
  <c r="S107" i="8" s="1"/>
  <c r="N107" i="8"/>
  <c r="I107" i="8"/>
  <c r="E107" i="8"/>
  <c r="J107" i="8" s="1"/>
  <c r="Q104" i="8"/>
  <c r="I106" i="8"/>
  <c r="E106" i="8"/>
  <c r="J106" i="8" s="1"/>
  <c r="C104" i="8"/>
  <c r="R105" i="8"/>
  <c r="M104" i="8"/>
  <c r="L104" i="8"/>
  <c r="I105" i="8"/>
  <c r="J105" i="8" s="1"/>
  <c r="H104" i="8"/>
  <c r="E105" i="8"/>
  <c r="G104" i="8"/>
  <c r="E104" i="8"/>
  <c r="D104" i="8"/>
  <c r="B104" i="8"/>
  <c r="S102" i="8"/>
  <c r="R102" i="8"/>
  <c r="N102" i="8"/>
  <c r="I102" i="8"/>
  <c r="R101" i="8"/>
  <c r="N101" i="8"/>
  <c r="I101" i="8"/>
  <c r="Q96" i="8"/>
  <c r="R100" i="8"/>
  <c r="N100" i="8"/>
  <c r="S100" i="8" s="1"/>
  <c r="I100" i="8"/>
  <c r="E100" i="8"/>
  <c r="J100" i="8" s="1"/>
  <c r="T100" i="8" s="1"/>
  <c r="R99" i="8"/>
  <c r="N99" i="8"/>
  <c r="S99" i="8" s="1"/>
  <c r="I99" i="8"/>
  <c r="E99" i="8"/>
  <c r="N98" i="8"/>
  <c r="I98" i="8"/>
  <c r="C96" i="8"/>
  <c r="R97" i="8"/>
  <c r="H96" i="8"/>
  <c r="E97" i="8"/>
  <c r="M96" i="8"/>
  <c r="R94" i="8"/>
  <c r="N94" i="8"/>
  <c r="S94" i="8" s="1"/>
  <c r="I94" i="8"/>
  <c r="P90" i="8"/>
  <c r="N93" i="8"/>
  <c r="H90" i="8"/>
  <c r="E93" i="8"/>
  <c r="R92" i="8"/>
  <c r="O90" i="8"/>
  <c r="J92" i="8"/>
  <c r="I92" i="8"/>
  <c r="E92" i="8"/>
  <c r="L90" i="8"/>
  <c r="E91" i="8"/>
  <c r="G90" i="8"/>
  <c r="C90" i="8"/>
  <c r="B90" i="8"/>
  <c r="R88" i="8"/>
  <c r="N88" i="8"/>
  <c r="S88" i="8" s="1"/>
  <c r="L86" i="8"/>
  <c r="K86" i="8"/>
  <c r="N86" i="8" s="1"/>
  <c r="I88" i="8"/>
  <c r="J88" i="8" s="1"/>
  <c r="T88" i="8" s="1"/>
  <c r="H86" i="8"/>
  <c r="E88" i="8"/>
  <c r="P86" i="8"/>
  <c r="N87" i="8"/>
  <c r="G86" i="8"/>
  <c r="I86" i="8" s="1"/>
  <c r="F86" i="8"/>
  <c r="E87" i="8"/>
  <c r="C86" i="8"/>
  <c r="Q86" i="8"/>
  <c r="M86" i="8"/>
  <c r="D86" i="8"/>
  <c r="B86" i="8"/>
  <c r="E86" i="8" s="1"/>
  <c r="J86" i="8" s="1"/>
  <c r="R84" i="8"/>
  <c r="G79" i="8"/>
  <c r="I84" i="8"/>
  <c r="E84" i="8"/>
  <c r="R83" i="8"/>
  <c r="N83" i="8"/>
  <c r="S83" i="8" s="1"/>
  <c r="I83" i="8"/>
  <c r="E83" i="8"/>
  <c r="J83" i="8" s="1"/>
  <c r="R82" i="8"/>
  <c r="S82" i="8" s="1"/>
  <c r="N82" i="8"/>
  <c r="I82" i="8"/>
  <c r="E82" i="8"/>
  <c r="R81" i="8"/>
  <c r="N81" i="8"/>
  <c r="S81" i="8" s="1"/>
  <c r="P79" i="8"/>
  <c r="I80" i="8"/>
  <c r="D79" i="8"/>
  <c r="E80" i="8"/>
  <c r="J80" i="8" s="1"/>
  <c r="Q79" i="8"/>
  <c r="C79" i="8"/>
  <c r="R77" i="8"/>
  <c r="N77" i="8"/>
  <c r="I77" i="8"/>
  <c r="E77" i="8"/>
  <c r="J77" i="8" s="1"/>
  <c r="R76" i="8"/>
  <c r="J76" i="8"/>
  <c r="I76" i="8"/>
  <c r="E76" i="8"/>
  <c r="N75" i="8"/>
  <c r="I75" i="8"/>
  <c r="E75" i="8"/>
  <c r="J75" i="8" s="1"/>
  <c r="R74" i="8"/>
  <c r="L71" i="8"/>
  <c r="K71" i="8"/>
  <c r="I74" i="8"/>
  <c r="J74" i="8" s="1"/>
  <c r="E74" i="8"/>
  <c r="N73" i="8"/>
  <c r="G71" i="8"/>
  <c r="F71" i="8"/>
  <c r="E73" i="8"/>
  <c r="Q71" i="8"/>
  <c r="N72" i="8"/>
  <c r="I72" i="8"/>
  <c r="E72" i="8"/>
  <c r="J72" i="8" s="1"/>
  <c r="P71" i="8"/>
  <c r="R69" i="8"/>
  <c r="L64" i="8"/>
  <c r="I69" i="8"/>
  <c r="R68" i="8"/>
  <c r="S68" i="8" s="1"/>
  <c r="N68" i="8"/>
  <c r="E68" i="8"/>
  <c r="R67" i="8"/>
  <c r="N67" i="8"/>
  <c r="I67" i="8"/>
  <c r="I66" i="8"/>
  <c r="C64" i="8"/>
  <c r="E66" i="8"/>
  <c r="J66" i="8" s="1"/>
  <c r="R65" i="8"/>
  <c r="Q64" i="8"/>
  <c r="N65" i="8"/>
  <c r="S65" i="8" s="1"/>
  <c r="H64" i="8"/>
  <c r="G64" i="8"/>
  <c r="I65" i="8"/>
  <c r="E65" i="8"/>
  <c r="J65" i="8" s="1"/>
  <c r="T65" i="8" s="1"/>
  <c r="D64" i="8"/>
  <c r="K64" i="8"/>
  <c r="R62" i="8"/>
  <c r="J62" i="8"/>
  <c r="I62" i="8"/>
  <c r="E62" i="8"/>
  <c r="N61" i="8"/>
  <c r="I61" i="8"/>
  <c r="E61" i="8"/>
  <c r="J61" i="8" s="1"/>
  <c r="R60" i="8"/>
  <c r="N60" i="8"/>
  <c r="S60" i="8" s="1"/>
  <c r="I60" i="8"/>
  <c r="J60" i="8" s="1"/>
  <c r="E60" i="8"/>
  <c r="P56" i="8"/>
  <c r="R59" i="8"/>
  <c r="N59" i="8"/>
  <c r="S59" i="8" s="1"/>
  <c r="G56" i="8"/>
  <c r="I59" i="8"/>
  <c r="C56" i="8"/>
  <c r="E59" i="8"/>
  <c r="J59" i="8" s="1"/>
  <c r="M56" i="8"/>
  <c r="N58" i="8"/>
  <c r="I58" i="8"/>
  <c r="E58" i="8"/>
  <c r="J58" i="8" s="1"/>
  <c r="R57" i="8"/>
  <c r="I57" i="8"/>
  <c r="F56" i="8"/>
  <c r="R54" i="8"/>
  <c r="S54" i="8" s="1"/>
  <c r="N54" i="8"/>
  <c r="I54" i="8"/>
  <c r="J54" i="8" s="1"/>
  <c r="T54" i="8" s="1"/>
  <c r="E54" i="8"/>
  <c r="R53" i="8"/>
  <c r="N53" i="8"/>
  <c r="S53" i="8" s="1"/>
  <c r="I53" i="8"/>
  <c r="P45" i="8"/>
  <c r="I52" i="8"/>
  <c r="E52" i="8"/>
  <c r="R51" i="8"/>
  <c r="N51" i="8"/>
  <c r="S51" i="8" s="1"/>
  <c r="E51" i="8"/>
  <c r="R50" i="8"/>
  <c r="N50" i="8"/>
  <c r="S50" i="8" s="1"/>
  <c r="I50" i="8"/>
  <c r="E50" i="8"/>
  <c r="J50" i="8" s="1"/>
  <c r="Q45" i="8"/>
  <c r="N49" i="8"/>
  <c r="I49" i="8"/>
  <c r="E49" i="8"/>
  <c r="J49" i="8" s="1"/>
  <c r="M45" i="8"/>
  <c r="E48" i="8"/>
  <c r="N47" i="8"/>
  <c r="K45" i="8"/>
  <c r="I47" i="8"/>
  <c r="E47" i="8"/>
  <c r="I46" i="8"/>
  <c r="D45" i="8"/>
  <c r="C45" i="8"/>
  <c r="E46" i="8"/>
  <c r="J46" i="8" s="1"/>
  <c r="R43" i="8"/>
  <c r="S43" i="8" s="1"/>
  <c r="N43" i="8"/>
  <c r="I43" i="8"/>
  <c r="E43" i="8"/>
  <c r="J43" i="8" s="1"/>
  <c r="P39" i="8"/>
  <c r="R42" i="8"/>
  <c r="N42" i="8"/>
  <c r="I42" i="8"/>
  <c r="E42" i="8"/>
  <c r="J42" i="8" s="1"/>
  <c r="S41" i="8"/>
  <c r="R41" i="8"/>
  <c r="N41" i="8"/>
  <c r="G39" i="8"/>
  <c r="I41" i="8"/>
  <c r="D39" i="8"/>
  <c r="R40" i="8"/>
  <c r="N40" i="8"/>
  <c r="S40" i="8" s="1"/>
  <c r="H39" i="8"/>
  <c r="O39" i="8"/>
  <c r="M39" i="8"/>
  <c r="L39" i="8"/>
  <c r="K39" i="8"/>
  <c r="N39" i="8" s="1"/>
  <c r="C39" i="8"/>
  <c r="R37" i="8"/>
  <c r="E37" i="8"/>
  <c r="R36" i="8"/>
  <c r="N36" i="8"/>
  <c r="S36" i="8" s="1"/>
  <c r="E36" i="8"/>
  <c r="Q33" i="8"/>
  <c r="L33" i="8"/>
  <c r="N34" i="8"/>
  <c r="H33" i="8"/>
  <c r="E34" i="8"/>
  <c r="B33" i="8"/>
  <c r="R31" i="8"/>
  <c r="N31" i="8"/>
  <c r="S31" i="8" s="1"/>
  <c r="I31" i="8"/>
  <c r="E31" i="8"/>
  <c r="J31" i="8" s="1"/>
  <c r="N30" i="8"/>
  <c r="I30" i="8"/>
  <c r="J30" i="8" s="1"/>
  <c r="E30" i="8"/>
  <c r="R29" i="8"/>
  <c r="N29" i="8"/>
  <c r="S29" i="8" s="1"/>
  <c r="I29" i="8"/>
  <c r="E29" i="8"/>
  <c r="R28" i="8"/>
  <c r="L25" i="8"/>
  <c r="N28" i="8"/>
  <c r="S28" i="8" s="1"/>
  <c r="I28" i="8"/>
  <c r="R27" i="8"/>
  <c r="N27" i="8"/>
  <c r="S27" i="8" s="1"/>
  <c r="M25" i="8"/>
  <c r="I27" i="8"/>
  <c r="E27" i="8"/>
  <c r="J27" i="8" s="1"/>
  <c r="T27" i="8" s="1"/>
  <c r="Q25" i="8"/>
  <c r="N26" i="8"/>
  <c r="I26" i="8"/>
  <c r="D25" i="8"/>
  <c r="C25" i="8"/>
  <c r="K25" i="8"/>
  <c r="H25" i="8"/>
  <c r="R23" i="8"/>
  <c r="E23" i="8"/>
  <c r="R22" i="8"/>
  <c r="N22" i="8"/>
  <c r="I22" i="8"/>
  <c r="E22" i="8"/>
  <c r="J22" i="8" s="1"/>
  <c r="R21" i="8"/>
  <c r="I21" i="8"/>
  <c r="J21" i="8" s="1"/>
  <c r="E21" i="8"/>
  <c r="R20" i="8"/>
  <c r="N20" i="8"/>
  <c r="S20" i="8" s="1"/>
  <c r="I20" i="8"/>
  <c r="E20" i="8"/>
  <c r="J20" i="8" s="1"/>
  <c r="T20" i="8" s="1"/>
  <c r="R19" i="8"/>
  <c r="N19" i="8"/>
  <c r="S19" i="8" s="1"/>
  <c r="I19" i="8"/>
  <c r="E19" i="8"/>
  <c r="J19" i="8" s="1"/>
  <c r="T19" i="8" s="1"/>
  <c r="R18" i="8"/>
  <c r="N18" i="8"/>
  <c r="S18" i="8" s="1"/>
  <c r="I18" i="8"/>
  <c r="E18" i="8"/>
  <c r="R17" i="8"/>
  <c r="N17" i="8"/>
  <c r="S17" i="8" s="1"/>
  <c r="I17" i="8"/>
  <c r="E17" i="8"/>
  <c r="J17" i="8" s="1"/>
  <c r="R16" i="8"/>
  <c r="I16" i="8"/>
  <c r="E16" i="8"/>
  <c r="R15" i="8"/>
  <c r="N15" i="8"/>
  <c r="I15" i="8"/>
  <c r="E15" i="8"/>
  <c r="J15" i="8" s="1"/>
  <c r="R14" i="8"/>
  <c r="N14" i="8"/>
  <c r="S14" i="8" s="1"/>
  <c r="I14" i="8"/>
  <c r="J14" i="8" s="1"/>
  <c r="T14" i="8" s="1"/>
  <c r="E14" i="8"/>
  <c r="R13" i="8"/>
  <c r="S13" i="8" s="1"/>
  <c r="N13" i="8"/>
  <c r="I13" i="8"/>
  <c r="E13" i="8"/>
  <c r="J13" i="8" s="1"/>
  <c r="N12" i="8"/>
  <c r="I12" i="8"/>
  <c r="E12" i="8"/>
  <c r="J12" i="8" s="1"/>
  <c r="R11" i="8"/>
  <c r="N11" i="8"/>
  <c r="S11" i="8" s="1"/>
  <c r="I11" i="8"/>
  <c r="J11" i="8" s="1"/>
  <c r="T11" i="8" s="1"/>
  <c r="E11" i="8"/>
  <c r="R10" i="8"/>
  <c r="I10" i="8"/>
  <c r="E10" i="8"/>
  <c r="J10" i="8" s="1"/>
  <c r="R9" i="8"/>
  <c r="N9" i="8"/>
  <c r="S9" i="8" s="1"/>
  <c r="I9" i="8"/>
  <c r="J9" i="8" s="1"/>
  <c r="T9" i="8" s="1"/>
  <c r="E9" i="8"/>
  <c r="P7" i="8"/>
  <c r="N8" i="8"/>
  <c r="I8" i="8"/>
  <c r="H7" i="8"/>
  <c r="K7" i="8"/>
  <c r="R153" i="7"/>
  <c r="N153" i="7"/>
  <c r="S153" i="7" s="1"/>
  <c r="I153" i="7"/>
  <c r="E153" i="7"/>
  <c r="J153" i="7" s="1"/>
  <c r="N149" i="7"/>
  <c r="I149" i="7"/>
  <c r="E149" i="7"/>
  <c r="R147" i="7"/>
  <c r="N147" i="7"/>
  <c r="S147" i="7" s="1"/>
  <c r="I147" i="7"/>
  <c r="J147" i="7" s="1"/>
  <c r="T147" i="7" s="1"/>
  <c r="E147" i="7"/>
  <c r="R142" i="7"/>
  <c r="S142" i="7" s="1"/>
  <c r="N142" i="7"/>
  <c r="I142" i="7"/>
  <c r="E142" i="7"/>
  <c r="J142" i="7" s="1"/>
  <c r="L137" i="7"/>
  <c r="N141" i="7"/>
  <c r="E141" i="7"/>
  <c r="R140" i="7"/>
  <c r="S140" i="7" s="1"/>
  <c r="N140" i="7"/>
  <c r="I140" i="7"/>
  <c r="H137" i="7"/>
  <c r="G137" i="7"/>
  <c r="E140" i="7"/>
  <c r="R139" i="7"/>
  <c r="N139" i="7"/>
  <c r="I139" i="7"/>
  <c r="J139" i="7" s="1"/>
  <c r="E139" i="7"/>
  <c r="Q137" i="7"/>
  <c r="P137" i="7"/>
  <c r="N138" i="7"/>
  <c r="I138" i="7"/>
  <c r="D137" i="7"/>
  <c r="C137" i="7"/>
  <c r="R135" i="7"/>
  <c r="S135" i="7" s="1"/>
  <c r="N135" i="7"/>
  <c r="I135" i="7"/>
  <c r="D131" i="7"/>
  <c r="C131" i="7"/>
  <c r="R134" i="7"/>
  <c r="N134" i="7"/>
  <c r="S134" i="7" s="1"/>
  <c r="I134" i="7"/>
  <c r="J134" i="7" s="1"/>
  <c r="T134" i="7" s="1"/>
  <c r="E134" i="7"/>
  <c r="Q131" i="7"/>
  <c r="P131" i="7"/>
  <c r="R133" i="7"/>
  <c r="N133" i="7"/>
  <c r="S133" i="7" s="1"/>
  <c r="I133" i="7"/>
  <c r="E133" i="7"/>
  <c r="N132" i="7"/>
  <c r="H131" i="7"/>
  <c r="E132" i="7"/>
  <c r="F131" i="7"/>
  <c r="B131" i="7"/>
  <c r="R129" i="7"/>
  <c r="N129" i="7"/>
  <c r="I129" i="7"/>
  <c r="E129" i="7"/>
  <c r="J129" i="7" s="1"/>
  <c r="R128" i="7"/>
  <c r="N128" i="7"/>
  <c r="S128" i="7" s="1"/>
  <c r="I128" i="7"/>
  <c r="J128" i="7" s="1"/>
  <c r="T128" i="7" s="1"/>
  <c r="E128" i="7"/>
  <c r="Q125" i="7"/>
  <c r="I127" i="7"/>
  <c r="D125" i="7"/>
  <c r="E127" i="7"/>
  <c r="J127" i="7" s="1"/>
  <c r="R126" i="7"/>
  <c r="I126" i="7"/>
  <c r="C125" i="7"/>
  <c r="O125" i="7"/>
  <c r="H125" i="7"/>
  <c r="G125" i="7"/>
  <c r="B125" i="7"/>
  <c r="E125" i="7" s="1"/>
  <c r="R123" i="7"/>
  <c r="N123" i="7"/>
  <c r="S123" i="7" s="1"/>
  <c r="I123" i="7"/>
  <c r="C118" i="7"/>
  <c r="E123" i="7"/>
  <c r="J123" i="7" s="1"/>
  <c r="T123" i="7" s="1"/>
  <c r="R122" i="7"/>
  <c r="I122" i="7"/>
  <c r="D118" i="7"/>
  <c r="E122" i="7"/>
  <c r="R121" i="7"/>
  <c r="M118" i="7"/>
  <c r="N121" i="7"/>
  <c r="S121" i="7" s="1"/>
  <c r="I121" i="7"/>
  <c r="E121" i="7"/>
  <c r="J121" i="7" s="1"/>
  <c r="R120" i="7"/>
  <c r="S120" i="7" s="1"/>
  <c r="N120" i="7"/>
  <c r="I120" i="7"/>
  <c r="E120" i="7"/>
  <c r="J120" i="7" s="1"/>
  <c r="R119" i="7"/>
  <c r="N119" i="7"/>
  <c r="S119" i="7" s="1"/>
  <c r="H118" i="7"/>
  <c r="E119" i="7"/>
  <c r="P118" i="7"/>
  <c r="L118" i="7"/>
  <c r="K118" i="7"/>
  <c r="N118" i="7" s="1"/>
  <c r="R116" i="7"/>
  <c r="S116" i="7" s="1"/>
  <c r="N116" i="7"/>
  <c r="I116" i="7"/>
  <c r="E116" i="7"/>
  <c r="R115" i="7"/>
  <c r="N115" i="7"/>
  <c r="S115" i="7" s="1"/>
  <c r="I115" i="7"/>
  <c r="E115" i="7"/>
  <c r="J115" i="7" s="1"/>
  <c r="R114" i="7"/>
  <c r="G111" i="7"/>
  <c r="I114" i="7"/>
  <c r="D111" i="7"/>
  <c r="R113" i="7"/>
  <c r="N113" i="7"/>
  <c r="S113" i="7" s="1"/>
  <c r="H111" i="7"/>
  <c r="E113" i="7"/>
  <c r="R112" i="7"/>
  <c r="L111" i="7"/>
  <c r="C111" i="7"/>
  <c r="E112" i="7"/>
  <c r="Q111" i="7"/>
  <c r="P111" i="7"/>
  <c r="O111" i="7"/>
  <c r="R111" i="7" s="1"/>
  <c r="R109" i="7"/>
  <c r="N109" i="7"/>
  <c r="S109" i="7" s="1"/>
  <c r="I109" i="7"/>
  <c r="C104" i="7"/>
  <c r="P104" i="7"/>
  <c r="R107" i="7"/>
  <c r="N107" i="7"/>
  <c r="H104" i="7"/>
  <c r="G104" i="7"/>
  <c r="E107" i="7"/>
  <c r="R106" i="7"/>
  <c r="N106" i="7"/>
  <c r="S106" i="7" s="1"/>
  <c r="I106" i="7"/>
  <c r="E106" i="7"/>
  <c r="J106" i="7" s="1"/>
  <c r="R105" i="7"/>
  <c r="M104" i="7"/>
  <c r="L104" i="7"/>
  <c r="E105" i="7"/>
  <c r="Q104" i="7"/>
  <c r="R102" i="7"/>
  <c r="N102" i="7"/>
  <c r="S102" i="7" s="1"/>
  <c r="I102" i="7"/>
  <c r="R101" i="7"/>
  <c r="N101" i="7"/>
  <c r="S101" i="7" s="1"/>
  <c r="I101" i="7"/>
  <c r="E101" i="7"/>
  <c r="R100" i="7"/>
  <c r="N100" i="7"/>
  <c r="S100" i="7" s="1"/>
  <c r="I100" i="7"/>
  <c r="J100" i="7" s="1"/>
  <c r="T100" i="7" s="1"/>
  <c r="E100" i="7"/>
  <c r="P96" i="7"/>
  <c r="N99" i="7"/>
  <c r="I99" i="7"/>
  <c r="N98" i="7"/>
  <c r="O96" i="7"/>
  <c r="M96" i="7"/>
  <c r="E97" i="7"/>
  <c r="H96" i="7"/>
  <c r="G96" i="7"/>
  <c r="B96" i="7"/>
  <c r="R94" i="7"/>
  <c r="N94" i="7"/>
  <c r="S94" i="7" s="1"/>
  <c r="I94" i="7"/>
  <c r="J94" i="7" s="1"/>
  <c r="T94" i="7" s="1"/>
  <c r="E94" i="7"/>
  <c r="Q90" i="7"/>
  <c r="P90" i="7"/>
  <c r="N93" i="7"/>
  <c r="I93" i="7"/>
  <c r="D90" i="7"/>
  <c r="E93" i="7"/>
  <c r="J93" i="7" s="1"/>
  <c r="N92" i="7"/>
  <c r="C90" i="7"/>
  <c r="R91" i="7"/>
  <c r="I91" i="7"/>
  <c r="E91" i="7"/>
  <c r="J91" i="7" s="1"/>
  <c r="O90" i="7"/>
  <c r="R90" i="7" s="1"/>
  <c r="H90" i="7"/>
  <c r="G90" i="7"/>
  <c r="I88" i="7"/>
  <c r="E88" i="7"/>
  <c r="N87" i="7"/>
  <c r="K86" i="7"/>
  <c r="I87" i="7"/>
  <c r="C86" i="7"/>
  <c r="Q86" i="7"/>
  <c r="P86" i="7"/>
  <c r="M86" i="7"/>
  <c r="F86" i="7"/>
  <c r="D86" i="7"/>
  <c r="R84" i="7"/>
  <c r="S84" i="7" s="1"/>
  <c r="N84" i="7"/>
  <c r="G79" i="7"/>
  <c r="I84" i="7"/>
  <c r="D79" i="7"/>
  <c r="R83" i="7"/>
  <c r="L79" i="7"/>
  <c r="N83" i="7"/>
  <c r="S83" i="7" s="1"/>
  <c r="H79" i="7"/>
  <c r="E83" i="7"/>
  <c r="N82" i="7"/>
  <c r="I82" i="7"/>
  <c r="E82" i="7"/>
  <c r="N81" i="7"/>
  <c r="E81" i="7"/>
  <c r="R80" i="7"/>
  <c r="N80" i="7"/>
  <c r="S80" i="7" s="1"/>
  <c r="I80" i="7"/>
  <c r="E80" i="7"/>
  <c r="P79" i="7"/>
  <c r="C79" i="7"/>
  <c r="R77" i="7"/>
  <c r="N77" i="7"/>
  <c r="I77" i="7"/>
  <c r="E77" i="7"/>
  <c r="J77" i="7" s="1"/>
  <c r="R76" i="7"/>
  <c r="M71" i="7"/>
  <c r="N76" i="7"/>
  <c r="S76" i="7" s="1"/>
  <c r="J76" i="7"/>
  <c r="T76" i="7" s="1"/>
  <c r="I76" i="7"/>
  <c r="E76" i="7"/>
  <c r="R75" i="7"/>
  <c r="S75" i="7" s="1"/>
  <c r="N75" i="7"/>
  <c r="I75" i="7"/>
  <c r="E75" i="7"/>
  <c r="J75" i="7" s="1"/>
  <c r="R74" i="7"/>
  <c r="N74" i="7"/>
  <c r="S74" i="7" s="1"/>
  <c r="I74" i="7"/>
  <c r="J74" i="7" s="1"/>
  <c r="T74" i="7" s="1"/>
  <c r="E74" i="7"/>
  <c r="Q71" i="7"/>
  <c r="P71" i="7"/>
  <c r="R73" i="7"/>
  <c r="N73" i="7"/>
  <c r="S73" i="7" s="1"/>
  <c r="I73" i="7"/>
  <c r="E73" i="7"/>
  <c r="J73" i="7" s="1"/>
  <c r="R72" i="7"/>
  <c r="N72" i="7"/>
  <c r="L71" i="7"/>
  <c r="K71" i="7"/>
  <c r="N71" i="7" s="1"/>
  <c r="D71" i="7"/>
  <c r="R69" i="7"/>
  <c r="S69" i="7" s="1"/>
  <c r="N69" i="7"/>
  <c r="I69" i="7"/>
  <c r="E69" i="7"/>
  <c r="J69" i="7" s="1"/>
  <c r="T69" i="7" s="1"/>
  <c r="R68" i="7"/>
  <c r="N68" i="7"/>
  <c r="S68" i="7" s="1"/>
  <c r="I68" i="7"/>
  <c r="N67" i="7"/>
  <c r="P64" i="7"/>
  <c r="N66" i="7"/>
  <c r="I66" i="7"/>
  <c r="R65" i="7"/>
  <c r="S65" i="7" s="1"/>
  <c r="N65" i="7"/>
  <c r="H64" i="7"/>
  <c r="M64" i="7"/>
  <c r="L64" i="7"/>
  <c r="R62" i="7"/>
  <c r="N62" i="7"/>
  <c r="S62" i="7" s="1"/>
  <c r="I62" i="7"/>
  <c r="E62" i="7"/>
  <c r="R61" i="7"/>
  <c r="N61" i="7"/>
  <c r="S61" i="7" s="1"/>
  <c r="I61" i="7"/>
  <c r="E61" i="7"/>
  <c r="S60" i="7"/>
  <c r="R60" i="7"/>
  <c r="N60" i="7"/>
  <c r="I60" i="7"/>
  <c r="R59" i="7"/>
  <c r="N59" i="7"/>
  <c r="S59" i="7" s="1"/>
  <c r="I59" i="7"/>
  <c r="Q56" i="7"/>
  <c r="P56" i="7"/>
  <c r="M56" i="7"/>
  <c r="L56" i="7"/>
  <c r="I58" i="7"/>
  <c r="R57" i="7"/>
  <c r="H56" i="7"/>
  <c r="G56" i="7"/>
  <c r="I57" i="7"/>
  <c r="E57" i="7"/>
  <c r="J57" i="7" s="1"/>
  <c r="F56" i="7"/>
  <c r="D56" i="7"/>
  <c r="C56" i="7"/>
  <c r="R54" i="7"/>
  <c r="N54" i="7"/>
  <c r="I54" i="7"/>
  <c r="J54" i="7" s="1"/>
  <c r="E54" i="7"/>
  <c r="R53" i="7"/>
  <c r="N53" i="7"/>
  <c r="E53" i="7"/>
  <c r="N52" i="7"/>
  <c r="I52" i="7"/>
  <c r="J52" i="7" s="1"/>
  <c r="E52" i="7"/>
  <c r="R51" i="7"/>
  <c r="I51" i="7"/>
  <c r="E51" i="7"/>
  <c r="J51" i="7" s="1"/>
  <c r="R50" i="7"/>
  <c r="S50" i="7" s="1"/>
  <c r="N50" i="7"/>
  <c r="J50" i="7"/>
  <c r="I50" i="7"/>
  <c r="E50" i="7"/>
  <c r="C45" i="7"/>
  <c r="R49" i="7"/>
  <c r="M45" i="7"/>
  <c r="L45" i="7"/>
  <c r="N49" i="7"/>
  <c r="S49" i="7" s="1"/>
  <c r="J49" i="7"/>
  <c r="I49" i="7"/>
  <c r="E49" i="7"/>
  <c r="Q45" i="7"/>
  <c r="N48" i="7"/>
  <c r="I48" i="7"/>
  <c r="E48" i="7"/>
  <c r="J48" i="7" s="1"/>
  <c r="N47" i="7"/>
  <c r="I47" i="7"/>
  <c r="R46" i="7"/>
  <c r="S46" i="7" s="1"/>
  <c r="N46" i="7"/>
  <c r="E46" i="7"/>
  <c r="R43" i="7"/>
  <c r="I43" i="7"/>
  <c r="J43" i="7" s="1"/>
  <c r="E43" i="7"/>
  <c r="Q39" i="7"/>
  <c r="P39" i="7"/>
  <c r="L39" i="7"/>
  <c r="I42" i="7"/>
  <c r="E42" i="7"/>
  <c r="J42" i="7" s="1"/>
  <c r="R41" i="7"/>
  <c r="S41" i="7" s="1"/>
  <c r="N41" i="7"/>
  <c r="K39" i="7"/>
  <c r="I41" i="7"/>
  <c r="C39" i="7"/>
  <c r="R40" i="7"/>
  <c r="N40" i="7"/>
  <c r="S40" i="7" s="1"/>
  <c r="J40" i="7"/>
  <c r="I40" i="7"/>
  <c r="E40" i="7"/>
  <c r="M39" i="7"/>
  <c r="N39" i="7" s="1"/>
  <c r="D39" i="7"/>
  <c r="R37" i="7"/>
  <c r="N37" i="7"/>
  <c r="S37" i="7" s="1"/>
  <c r="I37" i="7"/>
  <c r="J37" i="7" s="1"/>
  <c r="T37" i="7" s="1"/>
  <c r="E37" i="7"/>
  <c r="P33" i="7"/>
  <c r="R36" i="7"/>
  <c r="N36" i="7"/>
  <c r="S36" i="7" s="1"/>
  <c r="I36" i="7"/>
  <c r="E36" i="7"/>
  <c r="J36" i="7" s="1"/>
  <c r="R35" i="7"/>
  <c r="S35" i="7" s="1"/>
  <c r="N35" i="7"/>
  <c r="H33" i="7"/>
  <c r="I35" i="7"/>
  <c r="E35" i="7"/>
  <c r="R34" i="7"/>
  <c r="G33" i="7"/>
  <c r="C33" i="7"/>
  <c r="E34" i="7"/>
  <c r="O33" i="7"/>
  <c r="L33" i="7"/>
  <c r="D33" i="7"/>
  <c r="N31" i="7"/>
  <c r="I31" i="7"/>
  <c r="E31" i="7"/>
  <c r="R30" i="7"/>
  <c r="N30" i="7"/>
  <c r="S30" i="7" s="1"/>
  <c r="I30" i="7"/>
  <c r="E30" i="7"/>
  <c r="J30" i="7" s="1"/>
  <c r="N29" i="7"/>
  <c r="I29" i="7"/>
  <c r="E29" i="7"/>
  <c r="J29" i="7" s="1"/>
  <c r="R28" i="7"/>
  <c r="N28" i="7"/>
  <c r="I28" i="7"/>
  <c r="E28" i="7"/>
  <c r="J28" i="7" s="1"/>
  <c r="R27" i="7"/>
  <c r="N27" i="7"/>
  <c r="S27" i="7" s="1"/>
  <c r="L25" i="7"/>
  <c r="I27" i="7"/>
  <c r="J27" i="7" s="1"/>
  <c r="T27" i="7" s="1"/>
  <c r="E27" i="7"/>
  <c r="P25" i="7"/>
  <c r="N26" i="7"/>
  <c r="H25" i="7"/>
  <c r="G25" i="7"/>
  <c r="E26" i="7"/>
  <c r="D25" i="7"/>
  <c r="T23" i="7"/>
  <c r="R23" i="7"/>
  <c r="N23" i="7"/>
  <c r="S23" i="7" s="1"/>
  <c r="I23" i="7"/>
  <c r="E23" i="7"/>
  <c r="J23" i="7" s="1"/>
  <c r="R22" i="7"/>
  <c r="N22" i="7"/>
  <c r="I22" i="7"/>
  <c r="E22" i="7"/>
  <c r="J22" i="7" s="1"/>
  <c r="R21" i="7"/>
  <c r="I21" i="7"/>
  <c r="E21" i="7"/>
  <c r="J21" i="7" s="1"/>
  <c r="R20" i="7"/>
  <c r="S20" i="7" s="1"/>
  <c r="N20" i="7"/>
  <c r="I20" i="7"/>
  <c r="E20" i="7"/>
  <c r="J20" i="7" s="1"/>
  <c r="T20" i="7" s="1"/>
  <c r="R19" i="7"/>
  <c r="N19" i="7"/>
  <c r="S19" i="7" s="1"/>
  <c r="I19" i="7"/>
  <c r="J19" i="7" s="1"/>
  <c r="T19" i="7" s="1"/>
  <c r="E19" i="7"/>
  <c r="R18" i="7"/>
  <c r="N18" i="7"/>
  <c r="S18" i="7" s="1"/>
  <c r="I18" i="7"/>
  <c r="J18" i="7" s="1"/>
  <c r="T18" i="7" s="1"/>
  <c r="E18" i="7"/>
  <c r="R17" i="7"/>
  <c r="N17" i="7"/>
  <c r="I17" i="7"/>
  <c r="E17" i="7"/>
  <c r="J17" i="7" s="1"/>
  <c r="R16" i="7"/>
  <c r="N16" i="7"/>
  <c r="S16" i="7" s="1"/>
  <c r="I16" i="7"/>
  <c r="J16" i="7" s="1"/>
  <c r="T16" i="7" s="1"/>
  <c r="E16" i="7"/>
  <c r="R15" i="7"/>
  <c r="N15" i="7"/>
  <c r="S15" i="7" s="1"/>
  <c r="I15" i="7"/>
  <c r="E15" i="7"/>
  <c r="J15" i="7" s="1"/>
  <c r="R14" i="7"/>
  <c r="S14" i="7" s="1"/>
  <c r="N14" i="7"/>
  <c r="I14" i="7"/>
  <c r="J14" i="7" s="1"/>
  <c r="T14" i="7" s="1"/>
  <c r="E14" i="7"/>
  <c r="R13" i="7"/>
  <c r="N13" i="7"/>
  <c r="S13" i="7" s="1"/>
  <c r="I13" i="7"/>
  <c r="E13" i="7"/>
  <c r="R12" i="7"/>
  <c r="N12" i="7"/>
  <c r="S12" i="7" s="1"/>
  <c r="I12" i="7"/>
  <c r="J12" i="7" s="1"/>
  <c r="T12" i="7" s="1"/>
  <c r="E12" i="7"/>
  <c r="R11" i="7"/>
  <c r="N11" i="7"/>
  <c r="S11" i="7" s="1"/>
  <c r="I11" i="7"/>
  <c r="E11" i="7"/>
  <c r="R10" i="7"/>
  <c r="N10" i="7"/>
  <c r="I10" i="7"/>
  <c r="E10" i="7"/>
  <c r="J10" i="7" s="1"/>
  <c r="R9" i="7"/>
  <c r="I9" i="7"/>
  <c r="E9" i="7"/>
  <c r="J9" i="7" s="1"/>
  <c r="I8" i="7"/>
  <c r="E8" i="7"/>
  <c r="J8" i="7" s="1"/>
  <c r="R153" i="6"/>
  <c r="N153" i="6"/>
  <c r="E153" i="6"/>
  <c r="R149" i="6"/>
  <c r="N149" i="6"/>
  <c r="S149" i="6" s="1"/>
  <c r="J149" i="6"/>
  <c r="I149" i="6"/>
  <c r="E149" i="6"/>
  <c r="R147" i="6"/>
  <c r="S147" i="6" s="1"/>
  <c r="N147" i="6"/>
  <c r="I147" i="6"/>
  <c r="E147" i="6"/>
  <c r="J147" i="6" s="1"/>
  <c r="R142" i="6"/>
  <c r="N142" i="6"/>
  <c r="S142" i="6" s="1"/>
  <c r="I142" i="6"/>
  <c r="E142" i="6"/>
  <c r="J142" i="6" s="1"/>
  <c r="T142" i="6" s="1"/>
  <c r="P137" i="6"/>
  <c r="N141" i="6"/>
  <c r="G137" i="6"/>
  <c r="I141" i="6"/>
  <c r="E141" i="6"/>
  <c r="J141" i="6" s="1"/>
  <c r="R140" i="6"/>
  <c r="N140" i="6"/>
  <c r="I140" i="6"/>
  <c r="J140" i="6" s="1"/>
  <c r="E140" i="6"/>
  <c r="Q137" i="6"/>
  <c r="O137" i="6"/>
  <c r="R137" i="6" s="1"/>
  <c r="N139" i="6"/>
  <c r="M137" i="6"/>
  <c r="C137" i="6"/>
  <c r="D137" i="6"/>
  <c r="R135" i="6"/>
  <c r="N135" i="6"/>
  <c r="S135" i="6" s="1"/>
  <c r="I135" i="6"/>
  <c r="E135" i="6"/>
  <c r="J135" i="6" s="1"/>
  <c r="R134" i="6"/>
  <c r="N134" i="6"/>
  <c r="I134" i="6"/>
  <c r="J134" i="6" s="1"/>
  <c r="E134" i="6"/>
  <c r="R133" i="6"/>
  <c r="N133" i="6"/>
  <c r="I133" i="6"/>
  <c r="C131" i="6"/>
  <c r="E133" i="6"/>
  <c r="J133" i="6" s="1"/>
  <c r="I132" i="6"/>
  <c r="E132" i="6"/>
  <c r="F131" i="6"/>
  <c r="D131" i="6"/>
  <c r="N129" i="6"/>
  <c r="J129" i="6"/>
  <c r="I129" i="6"/>
  <c r="E129" i="6"/>
  <c r="R128" i="6"/>
  <c r="N128" i="6"/>
  <c r="S128" i="6" s="1"/>
  <c r="J128" i="6"/>
  <c r="T128" i="6" s="1"/>
  <c r="I128" i="6"/>
  <c r="E128" i="6"/>
  <c r="Q125" i="6"/>
  <c r="P125" i="6"/>
  <c r="O125" i="6"/>
  <c r="R125" i="6" s="1"/>
  <c r="N127" i="6"/>
  <c r="I127" i="6"/>
  <c r="D125" i="6"/>
  <c r="C125" i="6"/>
  <c r="R126" i="6"/>
  <c r="H125" i="6"/>
  <c r="G125" i="6"/>
  <c r="E126" i="6"/>
  <c r="M125" i="6"/>
  <c r="F125" i="6"/>
  <c r="I125" i="6" s="1"/>
  <c r="R123" i="6"/>
  <c r="N123" i="6"/>
  <c r="S123" i="6" s="1"/>
  <c r="I123" i="6"/>
  <c r="E123" i="6"/>
  <c r="R122" i="6"/>
  <c r="N122" i="6"/>
  <c r="I122" i="6"/>
  <c r="E122" i="6"/>
  <c r="R121" i="6"/>
  <c r="N121" i="6"/>
  <c r="S121" i="6" s="1"/>
  <c r="I121" i="6"/>
  <c r="E121" i="6"/>
  <c r="J121" i="6" s="1"/>
  <c r="R120" i="6"/>
  <c r="I120" i="6"/>
  <c r="J120" i="6" s="1"/>
  <c r="E120" i="6"/>
  <c r="Q118" i="6"/>
  <c r="N119" i="6"/>
  <c r="D118" i="6"/>
  <c r="C118" i="6"/>
  <c r="B118" i="6"/>
  <c r="S116" i="6"/>
  <c r="R116" i="6"/>
  <c r="N116" i="6"/>
  <c r="G111" i="6"/>
  <c r="I116" i="6"/>
  <c r="J116" i="6" s="1"/>
  <c r="E116" i="6"/>
  <c r="R115" i="6"/>
  <c r="N115" i="6"/>
  <c r="S115" i="6" s="1"/>
  <c r="I115" i="6"/>
  <c r="R114" i="6"/>
  <c r="S114" i="6" s="1"/>
  <c r="N114" i="6"/>
  <c r="I114" i="6"/>
  <c r="E114" i="6"/>
  <c r="J114" i="6" s="1"/>
  <c r="R113" i="6"/>
  <c r="N113" i="6"/>
  <c r="S113" i="6" s="1"/>
  <c r="I113" i="6"/>
  <c r="E113" i="6"/>
  <c r="J113" i="6" s="1"/>
  <c r="R112" i="6"/>
  <c r="P111" i="6"/>
  <c r="O111" i="6"/>
  <c r="D111" i="6"/>
  <c r="C111" i="6"/>
  <c r="N109" i="6"/>
  <c r="I109" i="6"/>
  <c r="E109" i="6"/>
  <c r="J109" i="6" s="1"/>
  <c r="R107" i="6"/>
  <c r="N107" i="6"/>
  <c r="S107" i="6" s="1"/>
  <c r="H104" i="6"/>
  <c r="D104" i="6"/>
  <c r="R106" i="6"/>
  <c r="M104" i="6"/>
  <c r="I106" i="6"/>
  <c r="R105" i="6"/>
  <c r="I105" i="6"/>
  <c r="E105" i="6"/>
  <c r="P104" i="6"/>
  <c r="O104" i="6"/>
  <c r="F104" i="6"/>
  <c r="N102" i="6"/>
  <c r="I102" i="6"/>
  <c r="E102" i="6"/>
  <c r="J102" i="6" s="1"/>
  <c r="R101" i="6"/>
  <c r="S101" i="6" s="1"/>
  <c r="N101" i="6"/>
  <c r="D96" i="6"/>
  <c r="R100" i="6"/>
  <c r="N100" i="6"/>
  <c r="S100" i="6" s="1"/>
  <c r="J100" i="6"/>
  <c r="T100" i="6" s="1"/>
  <c r="I100" i="6"/>
  <c r="E100" i="6"/>
  <c r="R99" i="6"/>
  <c r="S99" i="6" s="1"/>
  <c r="N99" i="6"/>
  <c r="E99" i="6"/>
  <c r="R98" i="6"/>
  <c r="I98" i="6"/>
  <c r="E98" i="6"/>
  <c r="J98" i="6" s="1"/>
  <c r="R97" i="6"/>
  <c r="I97" i="6"/>
  <c r="P96" i="6"/>
  <c r="C96" i="6"/>
  <c r="N94" i="6"/>
  <c r="I94" i="6"/>
  <c r="D90" i="6"/>
  <c r="E94" i="6"/>
  <c r="J94" i="6" s="1"/>
  <c r="R93" i="6"/>
  <c r="N93" i="6"/>
  <c r="S93" i="6" s="1"/>
  <c r="I93" i="6"/>
  <c r="J93" i="6" s="1"/>
  <c r="T93" i="6" s="1"/>
  <c r="E93" i="6"/>
  <c r="R92" i="6"/>
  <c r="M90" i="6"/>
  <c r="L90" i="6"/>
  <c r="N92" i="6"/>
  <c r="S92" i="6" s="1"/>
  <c r="I92" i="6"/>
  <c r="Q90" i="6"/>
  <c r="H90" i="6"/>
  <c r="G90" i="6"/>
  <c r="I91" i="6"/>
  <c r="E91" i="6"/>
  <c r="O90" i="6"/>
  <c r="R88" i="6"/>
  <c r="M86" i="6"/>
  <c r="I88" i="6"/>
  <c r="E88" i="6"/>
  <c r="J88" i="6" s="1"/>
  <c r="P86" i="6"/>
  <c r="N87" i="6"/>
  <c r="H86" i="6"/>
  <c r="G86" i="6"/>
  <c r="F86" i="6"/>
  <c r="Q86" i="6"/>
  <c r="L86" i="6"/>
  <c r="K86" i="6"/>
  <c r="D86" i="6"/>
  <c r="B86" i="6"/>
  <c r="R84" i="6"/>
  <c r="N84" i="6"/>
  <c r="S84" i="6" s="1"/>
  <c r="I84" i="6"/>
  <c r="E84" i="6"/>
  <c r="R83" i="6"/>
  <c r="N83" i="6"/>
  <c r="S83" i="6" s="1"/>
  <c r="I83" i="6"/>
  <c r="R82" i="6"/>
  <c r="N82" i="6"/>
  <c r="S82" i="6" s="1"/>
  <c r="I82" i="6"/>
  <c r="E82" i="6"/>
  <c r="J82" i="6" s="1"/>
  <c r="R81" i="6"/>
  <c r="N81" i="6"/>
  <c r="S81" i="6" s="1"/>
  <c r="I81" i="6"/>
  <c r="E81" i="6"/>
  <c r="J81" i="6" s="1"/>
  <c r="P79" i="6"/>
  <c r="I80" i="6"/>
  <c r="D79" i="6"/>
  <c r="C79" i="6"/>
  <c r="Q79" i="6"/>
  <c r="R77" i="6"/>
  <c r="N77" i="6"/>
  <c r="I77" i="6"/>
  <c r="E77" i="6"/>
  <c r="J77" i="6" s="1"/>
  <c r="R76" i="6"/>
  <c r="I76" i="6"/>
  <c r="J76" i="6" s="1"/>
  <c r="E76" i="6"/>
  <c r="R75" i="6"/>
  <c r="N75" i="6"/>
  <c r="I75" i="6"/>
  <c r="E75" i="6"/>
  <c r="J75" i="6" s="1"/>
  <c r="R74" i="6"/>
  <c r="L71" i="6"/>
  <c r="I74" i="6"/>
  <c r="J74" i="6" s="1"/>
  <c r="E74" i="6"/>
  <c r="R73" i="6"/>
  <c r="S73" i="6" s="1"/>
  <c r="P71" i="6"/>
  <c r="N73" i="6"/>
  <c r="I73" i="6"/>
  <c r="E73" i="6"/>
  <c r="J73" i="6" s="1"/>
  <c r="T73" i="6" s="1"/>
  <c r="N72" i="6"/>
  <c r="I72" i="6"/>
  <c r="E72" i="6"/>
  <c r="J72" i="6" s="1"/>
  <c r="K71" i="6"/>
  <c r="H71" i="6"/>
  <c r="F71" i="6"/>
  <c r="R69" i="6"/>
  <c r="I69" i="6"/>
  <c r="E69" i="6"/>
  <c r="J69" i="6" s="1"/>
  <c r="R68" i="6"/>
  <c r="N68" i="6"/>
  <c r="S68" i="6" s="1"/>
  <c r="I68" i="6"/>
  <c r="E68" i="6"/>
  <c r="R67" i="6"/>
  <c r="S67" i="6" s="1"/>
  <c r="N67" i="6"/>
  <c r="I67" i="6"/>
  <c r="E67" i="6"/>
  <c r="J67" i="6" s="1"/>
  <c r="P64" i="6"/>
  <c r="R66" i="6"/>
  <c r="M64" i="6"/>
  <c r="L64" i="6"/>
  <c r="I66" i="6"/>
  <c r="Q64" i="6"/>
  <c r="N65" i="6"/>
  <c r="I65" i="6"/>
  <c r="D64" i="6"/>
  <c r="C64" i="6"/>
  <c r="R62" i="6"/>
  <c r="N62" i="6"/>
  <c r="I62" i="6"/>
  <c r="E62" i="6"/>
  <c r="J62" i="6" s="1"/>
  <c r="R61" i="6"/>
  <c r="N61" i="6"/>
  <c r="S61" i="6" s="1"/>
  <c r="I61" i="6"/>
  <c r="E61" i="6"/>
  <c r="J61" i="6" s="1"/>
  <c r="R60" i="6"/>
  <c r="S60" i="6" s="1"/>
  <c r="N60" i="6"/>
  <c r="I60" i="6"/>
  <c r="E60" i="6"/>
  <c r="N59" i="6"/>
  <c r="I59" i="6"/>
  <c r="C56" i="6"/>
  <c r="E59" i="6"/>
  <c r="J59" i="6" s="1"/>
  <c r="P56" i="6"/>
  <c r="N58" i="6"/>
  <c r="I58" i="6"/>
  <c r="E58" i="6"/>
  <c r="J58" i="6" s="1"/>
  <c r="R57" i="6"/>
  <c r="N57" i="6"/>
  <c r="S57" i="6" s="1"/>
  <c r="H56" i="6"/>
  <c r="I57" i="6"/>
  <c r="D56" i="6"/>
  <c r="M56" i="6"/>
  <c r="F56" i="6"/>
  <c r="R54" i="6"/>
  <c r="N54" i="6"/>
  <c r="S54" i="6" s="1"/>
  <c r="J54" i="6"/>
  <c r="T54" i="6" s="1"/>
  <c r="I54" i="6"/>
  <c r="E54" i="6"/>
  <c r="R53" i="6"/>
  <c r="S53" i="6" s="1"/>
  <c r="N53" i="6"/>
  <c r="E53" i="6"/>
  <c r="R52" i="6"/>
  <c r="N52" i="6"/>
  <c r="S52" i="6" s="1"/>
  <c r="I52" i="6"/>
  <c r="J52" i="6" s="1"/>
  <c r="T52" i="6" s="1"/>
  <c r="E52" i="6"/>
  <c r="R51" i="6"/>
  <c r="N51" i="6"/>
  <c r="I51" i="6"/>
  <c r="E51" i="6"/>
  <c r="J51" i="6" s="1"/>
  <c r="R50" i="6"/>
  <c r="N50" i="6"/>
  <c r="I50" i="6"/>
  <c r="E50" i="6"/>
  <c r="J50" i="6" s="1"/>
  <c r="R49" i="6"/>
  <c r="M45" i="6"/>
  <c r="L45" i="6"/>
  <c r="N49" i="6"/>
  <c r="S49" i="6" s="1"/>
  <c r="I49" i="6"/>
  <c r="J49" i="6" s="1"/>
  <c r="T49" i="6" s="1"/>
  <c r="E49" i="6"/>
  <c r="R48" i="6"/>
  <c r="S48" i="6" s="1"/>
  <c r="N48" i="6"/>
  <c r="I48" i="6"/>
  <c r="E48" i="6"/>
  <c r="J48" i="6" s="1"/>
  <c r="R47" i="6"/>
  <c r="N47" i="6"/>
  <c r="S47" i="6" s="1"/>
  <c r="I47" i="6"/>
  <c r="J47" i="6" s="1"/>
  <c r="T47" i="6" s="1"/>
  <c r="E47" i="6"/>
  <c r="R46" i="6"/>
  <c r="N46" i="6"/>
  <c r="I46" i="6"/>
  <c r="D45" i="6"/>
  <c r="C45" i="6"/>
  <c r="P45" i="6"/>
  <c r="O45" i="6"/>
  <c r="R43" i="6"/>
  <c r="I43" i="6"/>
  <c r="E43" i="6"/>
  <c r="J43" i="6" s="1"/>
  <c r="R42" i="6"/>
  <c r="N42" i="6"/>
  <c r="S42" i="6" s="1"/>
  <c r="E42" i="6"/>
  <c r="R41" i="6"/>
  <c r="K39" i="6"/>
  <c r="I41" i="6"/>
  <c r="E41" i="6"/>
  <c r="R40" i="6"/>
  <c r="N40" i="6"/>
  <c r="S40" i="6" s="1"/>
  <c r="H39" i="6"/>
  <c r="G39" i="6"/>
  <c r="B39" i="6"/>
  <c r="O39" i="6"/>
  <c r="D39" i="6"/>
  <c r="C39" i="6"/>
  <c r="R37" i="6"/>
  <c r="N37" i="6"/>
  <c r="S37" i="6" s="1"/>
  <c r="I37" i="6"/>
  <c r="J37" i="6" s="1"/>
  <c r="T37" i="6" s="1"/>
  <c r="E37" i="6"/>
  <c r="M33" i="6"/>
  <c r="I36" i="6"/>
  <c r="E36" i="6"/>
  <c r="J36" i="6" s="1"/>
  <c r="R35" i="6"/>
  <c r="G33" i="6"/>
  <c r="I35" i="6"/>
  <c r="J35" i="6" s="1"/>
  <c r="E35" i="6"/>
  <c r="N34" i="6"/>
  <c r="L33" i="6"/>
  <c r="H33" i="6"/>
  <c r="S31" i="6"/>
  <c r="R31" i="6"/>
  <c r="N31" i="6"/>
  <c r="I31" i="6"/>
  <c r="E31" i="6"/>
  <c r="J31" i="6" s="1"/>
  <c r="T31" i="6" s="1"/>
  <c r="N30" i="6"/>
  <c r="I30" i="6"/>
  <c r="E30" i="6"/>
  <c r="R29" i="6"/>
  <c r="N29" i="6"/>
  <c r="S29" i="6" s="1"/>
  <c r="I29" i="6"/>
  <c r="J29" i="6" s="1"/>
  <c r="T29" i="6" s="1"/>
  <c r="E29" i="6"/>
  <c r="P25" i="6"/>
  <c r="N28" i="6"/>
  <c r="I28" i="6"/>
  <c r="E28" i="6"/>
  <c r="J28" i="6" s="1"/>
  <c r="R27" i="6"/>
  <c r="S27" i="6" s="1"/>
  <c r="T27" i="6" s="1"/>
  <c r="N27" i="6"/>
  <c r="H25" i="6"/>
  <c r="I27" i="6"/>
  <c r="J27" i="6" s="1"/>
  <c r="E27" i="6"/>
  <c r="R26" i="6"/>
  <c r="N26" i="6"/>
  <c r="S26" i="6" s="1"/>
  <c r="I26" i="6"/>
  <c r="M25" i="6"/>
  <c r="C25" i="6"/>
  <c r="R23" i="6"/>
  <c r="S23" i="6" s="1"/>
  <c r="N23" i="6"/>
  <c r="I23" i="6"/>
  <c r="E23" i="6"/>
  <c r="R22" i="6"/>
  <c r="N22" i="6"/>
  <c r="S22" i="6" s="1"/>
  <c r="I22" i="6"/>
  <c r="E22" i="6"/>
  <c r="J22" i="6" s="1"/>
  <c r="R21" i="6"/>
  <c r="S21" i="6" s="1"/>
  <c r="T21" i="6" s="1"/>
  <c r="N21" i="6"/>
  <c r="I21" i="6"/>
  <c r="E21" i="6"/>
  <c r="J21" i="6" s="1"/>
  <c r="R20" i="6"/>
  <c r="N20" i="6"/>
  <c r="E20" i="6"/>
  <c r="R19" i="6"/>
  <c r="N19" i="6"/>
  <c r="S19" i="6" s="1"/>
  <c r="I19" i="6"/>
  <c r="E19" i="6"/>
  <c r="J19" i="6" s="1"/>
  <c r="S18" i="6"/>
  <c r="R18" i="6"/>
  <c r="N18" i="6"/>
  <c r="I18" i="6"/>
  <c r="N17" i="6"/>
  <c r="I17" i="6"/>
  <c r="E17" i="6"/>
  <c r="J17" i="6" s="1"/>
  <c r="R16" i="6"/>
  <c r="N16" i="6"/>
  <c r="S16" i="6" s="1"/>
  <c r="I16" i="6"/>
  <c r="J16" i="6" s="1"/>
  <c r="T16" i="6" s="1"/>
  <c r="E16" i="6"/>
  <c r="R15" i="6"/>
  <c r="N15" i="6"/>
  <c r="S15" i="6" s="1"/>
  <c r="E15" i="6"/>
  <c r="R14" i="6"/>
  <c r="S14" i="6" s="1"/>
  <c r="N14" i="6"/>
  <c r="I14" i="6"/>
  <c r="J14" i="6" s="1"/>
  <c r="E14" i="6"/>
  <c r="R13" i="6"/>
  <c r="N13" i="6"/>
  <c r="S13" i="6" s="1"/>
  <c r="I13" i="6"/>
  <c r="E13" i="6"/>
  <c r="J13" i="6" s="1"/>
  <c r="T13" i="6" s="1"/>
  <c r="R12" i="6"/>
  <c r="I12" i="6"/>
  <c r="S11" i="6"/>
  <c r="R11" i="6"/>
  <c r="N11" i="6"/>
  <c r="I11" i="6"/>
  <c r="E11" i="6"/>
  <c r="J11" i="6" s="1"/>
  <c r="T11" i="6" s="1"/>
  <c r="R10" i="6"/>
  <c r="N10" i="6"/>
  <c r="S10" i="6" s="1"/>
  <c r="I10" i="6"/>
  <c r="J10" i="6" s="1"/>
  <c r="T10" i="6" s="1"/>
  <c r="E10" i="6"/>
  <c r="Q7" i="6"/>
  <c r="R9" i="6"/>
  <c r="S9" i="6" s="1"/>
  <c r="N9" i="6"/>
  <c r="E9" i="6"/>
  <c r="N8" i="6"/>
  <c r="H7" i="6"/>
  <c r="E8" i="6"/>
  <c r="C7" i="6"/>
  <c r="L7" i="6"/>
  <c r="K7" i="6"/>
  <c r="R153" i="5"/>
  <c r="N153" i="5"/>
  <c r="S153" i="5" s="1"/>
  <c r="I153" i="5"/>
  <c r="J153" i="5" s="1"/>
  <c r="T153" i="5" s="1"/>
  <c r="E153" i="5"/>
  <c r="R149" i="5"/>
  <c r="N149" i="5"/>
  <c r="S149" i="5" s="1"/>
  <c r="I149" i="5"/>
  <c r="E149" i="5"/>
  <c r="R147" i="5"/>
  <c r="S147" i="5" s="1"/>
  <c r="N147" i="5"/>
  <c r="I147" i="5"/>
  <c r="E147" i="5"/>
  <c r="R142" i="5"/>
  <c r="N142" i="5"/>
  <c r="S142" i="5" s="1"/>
  <c r="I142" i="5"/>
  <c r="E142" i="5"/>
  <c r="J142" i="5" s="1"/>
  <c r="T142" i="5" s="1"/>
  <c r="R141" i="5"/>
  <c r="N141" i="5"/>
  <c r="S141" i="5" s="1"/>
  <c r="I141" i="5"/>
  <c r="E141" i="5"/>
  <c r="J141" i="5" s="1"/>
  <c r="R140" i="5"/>
  <c r="S140" i="5" s="1"/>
  <c r="N140" i="5"/>
  <c r="I140" i="5"/>
  <c r="E140" i="5"/>
  <c r="J140" i="5" s="1"/>
  <c r="R139" i="5"/>
  <c r="N139" i="5"/>
  <c r="S139" i="5" s="1"/>
  <c r="E139" i="5"/>
  <c r="M137" i="5"/>
  <c r="L137" i="5"/>
  <c r="I138" i="5"/>
  <c r="B137" i="5"/>
  <c r="E137" i="5" s="1"/>
  <c r="Q137" i="5"/>
  <c r="P137" i="5"/>
  <c r="D137" i="5"/>
  <c r="C137" i="5"/>
  <c r="R135" i="5"/>
  <c r="N135" i="5"/>
  <c r="S135" i="5" s="1"/>
  <c r="I135" i="5"/>
  <c r="E135" i="5"/>
  <c r="J135" i="5" s="1"/>
  <c r="T135" i="5" s="1"/>
  <c r="R134" i="5"/>
  <c r="N134" i="5"/>
  <c r="S134" i="5" s="1"/>
  <c r="J134" i="5"/>
  <c r="T134" i="5" s="1"/>
  <c r="I134" i="5"/>
  <c r="E134" i="5"/>
  <c r="Q131" i="5"/>
  <c r="P131" i="5"/>
  <c r="N133" i="5"/>
  <c r="I133" i="5"/>
  <c r="C131" i="5"/>
  <c r="R132" i="5"/>
  <c r="K131" i="5"/>
  <c r="H131" i="5"/>
  <c r="I132" i="5"/>
  <c r="J132" i="5" s="1"/>
  <c r="E132" i="5"/>
  <c r="F131" i="5"/>
  <c r="D131" i="5"/>
  <c r="R129" i="5"/>
  <c r="N129" i="5"/>
  <c r="S129" i="5" s="1"/>
  <c r="I129" i="5"/>
  <c r="J129" i="5" s="1"/>
  <c r="T129" i="5" s="1"/>
  <c r="E129" i="5"/>
  <c r="Q125" i="5"/>
  <c r="P125" i="5"/>
  <c r="N128" i="5"/>
  <c r="I128" i="5"/>
  <c r="E128" i="5"/>
  <c r="J128" i="5" s="1"/>
  <c r="R127" i="5"/>
  <c r="N127" i="5"/>
  <c r="D125" i="5"/>
  <c r="C125" i="5"/>
  <c r="R126" i="5"/>
  <c r="M125" i="5"/>
  <c r="H125" i="5"/>
  <c r="E126" i="5"/>
  <c r="O125" i="5"/>
  <c r="R125" i="5" s="1"/>
  <c r="R123" i="5"/>
  <c r="I123" i="5"/>
  <c r="E123" i="5"/>
  <c r="J123" i="5" s="1"/>
  <c r="R122" i="5"/>
  <c r="S122" i="5" s="1"/>
  <c r="N122" i="5"/>
  <c r="I122" i="5"/>
  <c r="E122" i="5"/>
  <c r="J122" i="5" s="1"/>
  <c r="R121" i="5"/>
  <c r="L118" i="5"/>
  <c r="N121" i="5"/>
  <c r="S121" i="5" s="1"/>
  <c r="I121" i="5"/>
  <c r="E121" i="5"/>
  <c r="J121" i="5" s="1"/>
  <c r="T121" i="5" s="1"/>
  <c r="R120" i="5"/>
  <c r="I120" i="5"/>
  <c r="E120" i="5"/>
  <c r="J120" i="5" s="1"/>
  <c r="P118" i="5"/>
  <c r="N119" i="5"/>
  <c r="G118" i="5"/>
  <c r="F118" i="5"/>
  <c r="I118" i="5" s="1"/>
  <c r="E119" i="5"/>
  <c r="D118" i="5"/>
  <c r="B118" i="5"/>
  <c r="K118" i="5"/>
  <c r="H118" i="5"/>
  <c r="R116" i="5"/>
  <c r="N116" i="5"/>
  <c r="S116" i="5" s="1"/>
  <c r="I116" i="5"/>
  <c r="E116" i="5"/>
  <c r="J116" i="5" s="1"/>
  <c r="N115" i="5"/>
  <c r="I115" i="5"/>
  <c r="E115" i="5"/>
  <c r="J115" i="5" s="1"/>
  <c r="R114" i="5"/>
  <c r="S114" i="5" s="1"/>
  <c r="N114" i="5"/>
  <c r="H111" i="5"/>
  <c r="I114" i="5"/>
  <c r="E114" i="5"/>
  <c r="O111" i="5"/>
  <c r="N113" i="5"/>
  <c r="I113" i="5"/>
  <c r="R112" i="5"/>
  <c r="M111" i="5"/>
  <c r="L111" i="5"/>
  <c r="I112" i="5"/>
  <c r="E112" i="5"/>
  <c r="J112" i="5" s="1"/>
  <c r="Q111" i="5"/>
  <c r="D111" i="5"/>
  <c r="C111" i="5"/>
  <c r="B111" i="5"/>
  <c r="E111" i="5" s="1"/>
  <c r="R109" i="5"/>
  <c r="N109" i="5"/>
  <c r="S109" i="5" s="1"/>
  <c r="I109" i="5"/>
  <c r="R107" i="5"/>
  <c r="N107" i="5"/>
  <c r="S107" i="5" s="1"/>
  <c r="E107" i="5"/>
  <c r="Q104" i="5"/>
  <c r="N106" i="5"/>
  <c r="I106" i="5"/>
  <c r="R105" i="5"/>
  <c r="S105" i="5" s="1"/>
  <c r="N105" i="5"/>
  <c r="I105" i="5"/>
  <c r="F104" i="5"/>
  <c r="E105" i="5"/>
  <c r="P104" i="5"/>
  <c r="M104" i="5"/>
  <c r="L104" i="5"/>
  <c r="G104" i="5"/>
  <c r="D104" i="5"/>
  <c r="R102" i="5"/>
  <c r="N102" i="5"/>
  <c r="S102" i="5" s="1"/>
  <c r="I102" i="5"/>
  <c r="E102" i="5"/>
  <c r="R101" i="5"/>
  <c r="S101" i="5" s="1"/>
  <c r="N101" i="5"/>
  <c r="I101" i="5"/>
  <c r="E101" i="5"/>
  <c r="J101" i="5" s="1"/>
  <c r="R100" i="5"/>
  <c r="N100" i="5"/>
  <c r="S100" i="5" s="1"/>
  <c r="I100" i="5"/>
  <c r="J100" i="5" s="1"/>
  <c r="T100" i="5" s="1"/>
  <c r="E100" i="5"/>
  <c r="Q96" i="5"/>
  <c r="N99" i="5"/>
  <c r="I99" i="5"/>
  <c r="E99" i="5"/>
  <c r="J99" i="5" s="1"/>
  <c r="R98" i="5"/>
  <c r="N98" i="5"/>
  <c r="I98" i="5"/>
  <c r="D96" i="5"/>
  <c r="C96" i="5"/>
  <c r="R97" i="5"/>
  <c r="M96" i="5"/>
  <c r="H96" i="5"/>
  <c r="F96" i="5"/>
  <c r="E97" i="5"/>
  <c r="P96" i="5"/>
  <c r="O96" i="5"/>
  <c r="R94" i="5"/>
  <c r="I94" i="5"/>
  <c r="E94" i="5"/>
  <c r="J94" i="5" s="1"/>
  <c r="S93" i="5"/>
  <c r="R93" i="5"/>
  <c r="N93" i="5"/>
  <c r="I93" i="5"/>
  <c r="J93" i="5" s="1"/>
  <c r="T93" i="5" s="1"/>
  <c r="E93" i="5"/>
  <c r="R92" i="5"/>
  <c r="K90" i="5"/>
  <c r="I92" i="5"/>
  <c r="Q90" i="5"/>
  <c r="N91" i="5"/>
  <c r="G90" i="5"/>
  <c r="E91" i="5"/>
  <c r="P90" i="5"/>
  <c r="M90" i="5"/>
  <c r="L90" i="5"/>
  <c r="D90" i="5"/>
  <c r="R88" i="5"/>
  <c r="L86" i="5"/>
  <c r="I88" i="5"/>
  <c r="H86" i="5"/>
  <c r="E88" i="5"/>
  <c r="J88" i="5" s="1"/>
  <c r="Q86" i="5"/>
  <c r="P86" i="5"/>
  <c r="O86" i="5"/>
  <c r="N87" i="5"/>
  <c r="G86" i="5"/>
  <c r="D86" i="5"/>
  <c r="C86" i="5"/>
  <c r="M86" i="5"/>
  <c r="R84" i="5"/>
  <c r="S84" i="5" s="1"/>
  <c r="N84" i="5"/>
  <c r="I84" i="5"/>
  <c r="E84" i="5"/>
  <c r="R83" i="5"/>
  <c r="N83" i="5"/>
  <c r="S83" i="5" s="1"/>
  <c r="I83" i="5"/>
  <c r="E83" i="5"/>
  <c r="J83" i="5" s="1"/>
  <c r="R82" i="5"/>
  <c r="G79" i="5"/>
  <c r="I82" i="5"/>
  <c r="J82" i="5" s="1"/>
  <c r="E82" i="5"/>
  <c r="R81" i="5"/>
  <c r="N81" i="5"/>
  <c r="E81" i="5"/>
  <c r="R80" i="5"/>
  <c r="I80" i="5"/>
  <c r="J80" i="5" s="1"/>
  <c r="E80" i="5"/>
  <c r="Q79" i="5"/>
  <c r="P79" i="5"/>
  <c r="O79" i="5"/>
  <c r="R79" i="5" s="1"/>
  <c r="D79" i="5"/>
  <c r="C79" i="5"/>
  <c r="R77" i="5"/>
  <c r="N77" i="5"/>
  <c r="S77" i="5" s="1"/>
  <c r="I77" i="5"/>
  <c r="E77" i="5"/>
  <c r="J77" i="5" s="1"/>
  <c r="R76" i="5"/>
  <c r="N76" i="5"/>
  <c r="S76" i="5" s="1"/>
  <c r="I76" i="5"/>
  <c r="J76" i="5" s="1"/>
  <c r="T76" i="5" s="1"/>
  <c r="E76" i="5"/>
  <c r="R75" i="5"/>
  <c r="N75" i="5"/>
  <c r="S75" i="5" s="1"/>
  <c r="I75" i="5"/>
  <c r="E75" i="5"/>
  <c r="J75" i="5" s="1"/>
  <c r="S74" i="5"/>
  <c r="R74" i="5"/>
  <c r="N74" i="5"/>
  <c r="I74" i="5"/>
  <c r="J74" i="5" s="1"/>
  <c r="T74" i="5" s="1"/>
  <c r="E74" i="5"/>
  <c r="Q71" i="5"/>
  <c r="R73" i="5"/>
  <c r="N73" i="5"/>
  <c r="S73" i="5" s="1"/>
  <c r="I73" i="5"/>
  <c r="E73" i="5"/>
  <c r="J73" i="5" s="1"/>
  <c r="T73" i="5" s="1"/>
  <c r="N72" i="5"/>
  <c r="K71" i="5"/>
  <c r="I72" i="5"/>
  <c r="D71" i="5"/>
  <c r="F71" i="5"/>
  <c r="R69" i="5"/>
  <c r="N69" i="5"/>
  <c r="I69" i="5"/>
  <c r="E69" i="5"/>
  <c r="J69" i="5" s="1"/>
  <c r="R68" i="5"/>
  <c r="M64" i="5"/>
  <c r="N68" i="5"/>
  <c r="S68" i="5" s="1"/>
  <c r="I68" i="5"/>
  <c r="J68" i="5" s="1"/>
  <c r="T68" i="5" s="1"/>
  <c r="E68" i="5"/>
  <c r="R67" i="5"/>
  <c r="N67" i="5"/>
  <c r="I67" i="5"/>
  <c r="R66" i="5"/>
  <c r="N66" i="5"/>
  <c r="S66" i="5" s="1"/>
  <c r="I66" i="5"/>
  <c r="R65" i="5"/>
  <c r="S65" i="5" s="1"/>
  <c r="N65" i="5"/>
  <c r="G64" i="5"/>
  <c r="E65" i="5"/>
  <c r="Q64" i="5"/>
  <c r="O64" i="5"/>
  <c r="L64" i="5"/>
  <c r="R62" i="5"/>
  <c r="S62" i="5" s="1"/>
  <c r="N62" i="5"/>
  <c r="I62" i="5"/>
  <c r="E62" i="5"/>
  <c r="J62" i="5" s="1"/>
  <c r="N61" i="5"/>
  <c r="I61" i="5"/>
  <c r="E61" i="5"/>
  <c r="J61" i="5" s="1"/>
  <c r="R60" i="5"/>
  <c r="N60" i="5"/>
  <c r="S60" i="5" s="1"/>
  <c r="I60" i="5"/>
  <c r="E60" i="5"/>
  <c r="J60" i="5" s="1"/>
  <c r="R59" i="5"/>
  <c r="S59" i="5" s="1"/>
  <c r="N59" i="5"/>
  <c r="I59" i="5"/>
  <c r="E59" i="5"/>
  <c r="J59" i="5" s="1"/>
  <c r="R58" i="5"/>
  <c r="M56" i="5"/>
  <c r="L56" i="5"/>
  <c r="I58" i="5"/>
  <c r="J58" i="5" s="1"/>
  <c r="E58" i="5"/>
  <c r="O56" i="5"/>
  <c r="N57" i="5"/>
  <c r="I57" i="5"/>
  <c r="E57" i="5"/>
  <c r="J57" i="5" s="1"/>
  <c r="P56" i="5"/>
  <c r="F56" i="5"/>
  <c r="D56" i="5"/>
  <c r="C56" i="5"/>
  <c r="B56" i="5"/>
  <c r="E56" i="5" s="1"/>
  <c r="R54" i="5"/>
  <c r="N54" i="5"/>
  <c r="S54" i="5" s="1"/>
  <c r="I54" i="5"/>
  <c r="J54" i="5" s="1"/>
  <c r="T54" i="5" s="1"/>
  <c r="E54" i="5"/>
  <c r="R53" i="5"/>
  <c r="N53" i="5"/>
  <c r="S53" i="5" s="1"/>
  <c r="E53" i="5"/>
  <c r="R52" i="5"/>
  <c r="I52" i="5"/>
  <c r="E52" i="5"/>
  <c r="J52" i="5" s="1"/>
  <c r="R51" i="5"/>
  <c r="N51" i="5"/>
  <c r="S51" i="5" s="1"/>
  <c r="E51" i="5"/>
  <c r="N50" i="5"/>
  <c r="I50" i="5"/>
  <c r="E50" i="5"/>
  <c r="J50" i="5" s="1"/>
  <c r="R49" i="5"/>
  <c r="N49" i="5"/>
  <c r="S49" i="5" s="1"/>
  <c r="I49" i="5"/>
  <c r="J49" i="5" s="1"/>
  <c r="T49" i="5" s="1"/>
  <c r="E49" i="5"/>
  <c r="P45" i="5"/>
  <c r="R48" i="5"/>
  <c r="N48" i="5"/>
  <c r="S48" i="5" s="1"/>
  <c r="E48" i="5"/>
  <c r="R47" i="5"/>
  <c r="S47" i="5" s="1"/>
  <c r="N47" i="5"/>
  <c r="I47" i="5"/>
  <c r="J47" i="5" s="1"/>
  <c r="E47" i="5"/>
  <c r="R46" i="5"/>
  <c r="C45" i="5"/>
  <c r="D45" i="5"/>
  <c r="R43" i="5"/>
  <c r="S43" i="5" s="1"/>
  <c r="N43" i="5"/>
  <c r="I43" i="5"/>
  <c r="E43" i="5"/>
  <c r="J43" i="5" s="1"/>
  <c r="R42" i="5"/>
  <c r="L39" i="5"/>
  <c r="K39" i="5"/>
  <c r="J42" i="5"/>
  <c r="I42" i="5"/>
  <c r="E42" i="5"/>
  <c r="R41" i="5"/>
  <c r="I41" i="5"/>
  <c r="E41" i="5"/>
  <c r="J41" i="5" s="1"/>
  <c r="P39" i="5"/>
  <c r="R40" i="5"/>
  <c r="M39" i="5"/>
  <c r="N39" i="5" s="1"/>
  <c r="E40" i="5"/>
  <c r="O39" i="5"/>
  <c r="C39" i="5"/>
  <c r="B39" i="5"/>
  <c r="R37" i="5"/>
  <c r="S37" i="5" s="1"/>
  <c r="N37" i="5"/>
  <c r="I37" i="5"/>
  <c r="E37" i="5"/>
  <c r="J37" i="5" s="1"/>
  <c r="R36" i="5"/>
  <c r="N36" i="5"/>
  <c r="S36" i="5" s="1"/>
  <c r="I36" i="5"/>
  <c r="E36" i="5"/>
  <c r="J36" i="5" s="1"/>
  <c r="T36" i="5" s="1"/>
  <c r="R35" i="5"/>
  <c r="S35" i="5" s="1"/>
  <c r="N35" i="5"/>
  <c r="H33" i="5"/>
  <c r="I35" i="5"/>
  <c r="E35" i="5"/>
  <c r="J35" i="5" s="1"/>
  <c r="O33" i="5"/>
  <c r="M33" i="5"/>
  <c r="L33" i="5"/>
  <c r="G33" i="5"/>
  <c r="R31" i="5"/>
  <c r="S31" i="5" s="1"/>
  <c r="N31" i="5"/>
  <c r="I31" i="5"/>
  <c r="E31" i="5"/>
  <c r="J31" i="5" s="1"/>
  <c r="R30" i="5"/>
  <c r="N30" i="5"/>
  <c r="S30" i="5" s="1"/>
  <c r="H25" i="5"/>
  <c r="E30" i="5"/>
  <c r="I29" i="5"/>
  <c r="E29" i="5"/>
  <c r="J29" i="5" s="1"/>
  <c r="R28" i="5"/>
  <c r="N28" i="5"/>
  <c r="S28" i="5" s="1"/>
  <c r="I28" i="5"/>
  <c r="E28" i="5"/>
  <c r="J28" i="5" s="1"/>
  <c r="T28" i="5" s="1"/>
  <c r="R27" i="5"/>
  <c r="M25" i="5"/>
  <c r="L25" i="5"/>
  <c r="I27" i="5"/>
  <c r="J27" i="5" s="1"/>
  <c r="E27" i="5"/>
  <c r="N26" i="5"/>
  <c r="G25" i="5"/>
  <c r="B25" i="5"/>
  <c r="C25" i="5"/>
  <c r="R23" i="5"/>
  <c r="N23" i="5"/>
  <c r="S23" i="5" s="1"/>
  <c r="I23" i="5"/>
  <c r="E23" i="5"/>
  <c r="J23" i="5" s="1"/>
  <c r="N22" i="5"/>
  <c r="I22" i="5"/>
  <c r="E22" i="5"/>
  <c r="J22" i="5" s="1"/>
  <c r="R21" i="5"/>
  <c r="N21" i="5"/>
  <c r="S21" i="5" s="1"/>
  <c r="I21" i="5"/>
  <c r="J21" i="5" s="1"/>
  <c r="T21" i="5" s="1"/>
  <c r="E21" i="5"/>
  <c r="R20" i="5"/>
  <c r="N20" i="5"/>
  <c r="S20" i="5" s="1"/>
  <c r="I20" i="5"/>
  <c r="E20" i="5"/>
  <c r="J20" i="5" s="1"/>
  <c r="R19" i="5"/>
  <c r="N19" i="5"/>
  <c r="I19" i="5"/>
  <c r="E19" i="5"/>
  <c r="R18" i="5"/>
  <c r="N18" i="5"/>
  <c r="S18" i="5" s="1"/>
  <c r="I18" i="5"/>
  <c r="E18" i="5"/>
  <c r="J18" i="5" s="1"/>
  <c r="T18" i="5" s="1"/>
  <c r="R17" i="5"/>
  <c r="N17" i="5"/>
  <c r="S17" i="5" s="1"/>
  <c r="J17" i="5"/>
  <c r="T17" i="5" s="1"/>
  <c r="I17" i="5"/>
  <c r="E17" i="5"/>
  <c r="R16" i="5"/>
  <c r="S16" i="5" s="1"/>
  <c r="N16" i="5"/>
  <c r="I16" i="5"/>
  <c r="E16" i="5"/>
  <c r="J16" i="5" s="1"/>
  <c r="N15" i="5"/>
  <c r="I15" i="5"/>
  <c r="E15" i="5"/>
  <c r="J15" i="5" s="1"/>
  <c r="R14" i="5"/>
  <c r="N14" i="5"/>
  <c r="S14" i="5" s="1"/>
  <c r="I14" i="5"/>
  <c r="J14" i="5" s="1"/>
  <c r="T14" i="5" s="1"/>
  <c r="E14" i="5"/>
  <c r="R13" i="5"/>
  <c r="N13" i="5"/>
  <c r="S13" i="5" s="1"/>
  <c r="I13" i="5"/>
  <c r="E13" i="5"/>
  <c r="J13" i="5" s="1"/>
  <c r="R12" i="5"/>
  <c r="N12" i="5"/>
  <c r="I12" i="5"/>
  <c r="E12" i="5"/>
  <c r="J12" i="5" s="1"/>
  <c r="R11" i="5"/>
  <c r="N11" i="5"/>
  <c r="H7" i="5"/>
  <c r="I11" i="5"/>
  <c r="E11" i="5"/>
  <c r="R10" i="5"/>
  <c r="L7" i="5"/>
  <c r="I10" i="5"/>
  <c r="E10" i="5"/>
  <c r="J10" i="5" s="1"/>
  <c r="R9" i="5"/>
  <c r="S9" i="5" s="1"/>
  <c r="N9" i="5"/>
  <c r="I9" i="5"/>
  <c r="E9" i="5"/>
  <c r="J9" i="5" s="1"/>
  <c r="R8" i="5"/>
  <c r="N8" i="5"/>
  <c r="S8" i="5" s="1"/>
  <c r="D7" i="5"/>
  <c r="R153" i="4"/>
  <c r="N153" i="4"/>
  <c r="S153" i="4" s="1"/>
  <c r="I153" i="4"/>
  <c r="J153" i="4" s="1"/>
  <c r="T153" i="4" s="1"/>
  <c r="E153" i="4"/>
  <c r="R149" i="4"/>
  <c r="N149" i="4"/>
  <c r="I149" i="4"/>
  <c r="E149" i="4"/>
  <c r="R147" i="4"/>
  <c r="S147" i="4" s="1"/>
  <c r="N147" i="4"/>
  <c r="I147" i="4"/>
  <c r="E147" i="4"/>
  <c r="R142" i="4"/>
  <c r="N142" i="4"/>
  <c r="S142" i="4" s="1"/>
  <c r="I142" i="4"/>
  <c r="E142" i="4"/>
  <c r="R141" i="4"/>
  <c r="N141" i="4"/>
  <c r="S141" i="4" s="1"/>
  <c r="I141" i="4"/>
  <c r="D137" i="4"/>
  <c r="S140" i="4"/>
  <c r="R140" i="4"/>
  <c r="N140" i="4"/>
  <c r="I140" i="4"/>
  <c r="E140" i="4"/>
  <c r="J140" i="4" s="1"/>
  <c r="T140" i="4" s="1"/>
  <c r="R139" i="4"/>
  <c r="N139" i="4"/>
  <c r="S139" i="4" s="1"/>
  <c r="E139" i="4"/>
  <c r="M137" i="4"/>
  <c r="L137" i="4"/>
  <c r="I138" i="4"/>
  <c r="B137" i="4"/>
  <c r="E137" i="4" s="1"/>
  <c r="Q137" i="4"/>
  <c r="P137" i="4"/>
  <c r="C137" i="4"/>
  <c r="R135" i="4"/>
  <c r="N135" i="4"/>
  <c r="S135" i="4" s="1"/>
  <c r="I135" i="4"/>
  <c r="E135" i="4"/>
  <c r="J135" i="4" s="1"/>
  <c r="T135" i="4" s="1"/>
  <c r="R134" i="4"/>
  <c r="N134" i="4"/>
  <c r="S134" i="4" s="1"/>
  <c r="I134" i="4"/>
  <c r="J134" i="4" s="1"/>
  <c r="T134" i="4" s="1"/>
  <c r="E134" i="4"/>
  <c r="Q131" i="4"/>
  <c r="P131" i="4"/>
  <c r="N133" i="4"/>
  <c r="I133" i="4"/>
  <c r="C131" i="4"/>
  <c r="R132" i="4"/>
  <c r="K131" i="4"/>
  <c r="H131" i="4"/>
  <c r="E132" i="4"/>
  <c r="G131" i="4"/>
  <c r="I131" i="4" s="1"/>
  <c r="F131" i="4"/>
  <c r="D131" i="4"/>
  <c r="R129" i="4"/>
  <c r="N129" i="4"/>
  <c r="S129" i="4" s="1"/>
  <c r="I129" i="4"/>
  <c r="J129" i="4" s="1"/>
  <c r="T129" i="4" s="1"/>
  <c r="E129" i="4"/>
  <c r="R128" i="4"/>
  <c r="S128" i="4" s="1"/>
  <c r="N128" i="4"/>
  <c r="I128" i="4"/>
  <c r="E128" i="4"/>
  <c r="J128" i="4" s="1"/>
  <c r="R127" i="4"/>
  <c r="N127" i="4"/>
  <c r="S127" i="4" s="1"/>
  <c r="D125" i="4"/>
  <c r="C125" i="4"/>
  <c r="R126" i="4"/>
  <c r="H125" i="4"/>
  <c r="E126" i="4"/>
  <c r="Q125" i="4"/>
  <c r="P125" i="4"/>
  <c r="O125" i="4"/>
  <c r="M125" i="4"/>
  <c r="R123" i="4"/>
  <c r="I123" i="4"/>
  <c r="E123" i="4"/>
  <c r="S122" i="4"/>
  <c r="R122" i="4"/>
  <c r="N122" i="4"/>
  <c r="I122" i="4"/>
  <c r="E122" i="4"/>
  <c r="J122" i="4" s="1"/>
  <c r="T122" i="4" s="1"/>
  <c r="R121" i="4"/>
  <c r="L118" i="4"/>
  <c r="I121" i="4"/>
  <c r="E121" i="4"/>
  <c r="J121" i="4" s="1"/>
  <c r="R120" i="4"/>
  <c r="S120" i="4" s="1"/>
  <c r="N120" i="4"/>
  <c r="I120" i="4"/>
  <c r="E120" i="4"/>
  <c r="J120" i="4" s="1"/>
  <c r="P118" i="4"/>
  <c r="G118" i="4"/>
  <c r="F118" i="4"/>
  <c r="D118" i="4"/>
  <c r="H118" i="4"/>
  <c r="B118" i="4"/>
  <c r="R116" i="4"/>
  <c r="N116" i="4"/>
  <c r="S116" i="4" s="1"/>
  <c r="I116" i="4"/>
  <c r="E116" i="4"/>
  <c r="R115" i="4"/>
  <c r="N115" i="4"/>
  <c r="S115" i="4" s="1"/>
  <c r="I115" i="4"/>
  <c r="E115" i="4"/>
  <c r="J115" i="4" s="1"/>
  <c r="R114" i="4"/>
  <c r="S114" i="4" s="1"/>
  <c r="N114" i="4"/>
  <c r="H111" i="4"/>
  <c r="I114" i="4"/>
  <c r="D111" i="4"/>
  <c r="O111" i="4"/>
  <c r="L111" i="4"/>
  <c r="N113" i="4"/>
  <c r="I113" i="4"/>
  <c r="E113" i="4"/>
  <c r="R112" i="4"/>
  <c r="I112" i="4"/>
  <c r="E112" i="4"/>
  <c r="Q111" i="4"/>
  <c r="P111" i="4"/>
  <c r="R111" i="4" s="1"/>
  <c r="C111" i="4"/>
  <c r="R109" i="4"/>
  <c r="N109" i="4"/>
  <c r="S109" i="4" s="1"/>
  <c r="I109" i="4"/>
  <c r="E109" i="4"/>
  <c r="J109" i="4" s="1"/>
  <c r="T109" i="4" s="1"/>
  <c r="R107" i="4"/>
  <c r="N107" i="4"/>
  <c r="E107" i="4"/>
  <c r="K104" i="4"/>
  <c r="I106" i="4"/>
  <c r="C104" i="4"/>
  <c r="Q104" i="4"/>
  <c r="N105" i="4"/>
  <c r="H104" i="4"/>
  <c r="G104" i="4"/>
  <c r="E105" i="4"/>
  <c r="P104" i="4"/>
  <c r="M104" i="4"/>
  <c r="L104" i="4"/>
  <c r="D104" i="4"/>
  <c r="R102" i="4"/>
  <c r="N102" i="4"/>
  <c r="S102" i="4" s="1"/>
  <c r="I102" i="4"/>
  <c r="E102" i="4"/>
  <c r="J102" i="4" s="1"/>
  <c r="R101" i="4"/>
  <c r="S101" i="4" s="1"/>
  <c r="N101" i="4"/>
  <c r="I101" i="4"/>
  <c r="E101" i="4"/>
  <c r="J101" i="4" s="1"/>
  <c r="R100" i="4"/>
  <c r="N100" i="4"/>
  <c r="S100" i="4" s="1"/>
  <c r="I100" i="4"/>
  <c r="J100" i="4" s="1"/>
  <c r="T100" i="4" s="1"/>
  <c r="E100" i="4"/>
  <c r="R99" i="4"/>
  <c r="S99" i="4" s="1"/>
  <c r="N99" i="4"/>
  <c r="I99" i="4"/>
  <c r="E99" i="4"/>
  <c r="J99" i="4" s="1"/>
  <c r="P96" i="4"/>
  <c r="N98" i="4"/>
  <c r="D96" i="4"/>
  <c r="C96" i="4"/>
  <c r="R97" i="4"/>
  <c r="H96" i="4"/>
  <c r="E97" i="4"/>
  <c r="Q96" i="4"/>
  <c r="O96" i="4"/>
  <c r="M96" i="4"/>
  <c r="R94" i="4"/>
  <c r="M90" i="4"/>
  <c r="I94" i="4"/>
  <c r="E94" i="4"/>
  <c r="R93" i="4"/>
  <c r="S93" i="4" s="1"/>
  <c r="N93" i="4"/>
  <c r="G90" i="4"/>
  <c r="I93" i="4"/>
  <c r="E93" i="4"/>
  <c r="J93" i="4" s="1"/>
  <c r="D90" i="4"/>
  <c r="R92" i="4"/>
  <c r="I92" i="4"/>
  <c r="E92" i="4"/>
  <c r="J92" i="4" s="1"/>
  <c r="Q90" i="4"/>
  <c r="N91" i="4"/>
  <c r="E91" i="4"/>
  <c r="P90" i="4"/>
  <c r="C90" i="4"/>
  <c r="B90" i="4"/>
  <c r="E90" i="4" s="1"/>
  <c r="R88" i="4"/>
  <c r="L86" i="4"/>
  <c r="I88" i="4"/>
  <c r="J88" i="4" s="1"/>
  <c r="H86" i="4"/>
  <c r="E88" i="4"/>
  <c r="Q86" i="4"/>
  <c r="P86" i="4"/>
  <c r="N87" i="4"/>
  <c r="G86" i="4"/>
  <c r="I86" i="4" s="1"/>
  <c r="F86" i="4"/>
  <c r="D86" i="4"/>
  <c r="C86" i="4"/>
  <c r="M86" i="4"/>
  <c r="R84" i="4"/>
  <c r="S84" i="4" s="1"/>
  <c r="N84" i="4"/>
  <c r="I84" i="4"/>
  <c r="E84" i="4"/>
  <c r="J84" i="4" s="1"/>
  <c r="T84" i="4" s="1"/>
  <c r="R83" i="4"/>
  <c r="N83" i="4"/>
  <c r="S83" i="4" s="1"/>
  <c r="I83" i="4"/>
  <c r="R82" i="4"/>
  <c r="N82" i="4"/>
  <c r="S82" i="4" s="1"/>
  <c r="I82" i="4"/>
  <c r="J82" i="4" s="1"/>
  <c r="T82" i="4" s="1"/>
  <c r="E82" i="4"/>
  <c r="Q79" i="4"/>
  <c r="P79" i="4"/>
  <c r="O79" i="4"/>
  <c r="R79" i="4" s="1"/>
  <c r="N81" i="4"/>
  <c r="D79" i="4"/>
  <c r="C79" i="4"/>
  <c r="E81" i="4"/>
  <c r="R80" i="4"/>
  <c r="L79" i="4"/>
  <c r="H79" i="4"/>
  <c r="G79" i="4"/>
  <c r="F79" i="4"/>
  <c r="N77" i="4"/>
  <c r="J77" i="4"/>
  <c r="I77" i="4"/>
  <c r="E77" i="4"/>
  <c r="Q71" i="4"/>
  <c r="N76" i="4"/>
  <c r="I76" i="4"/>
  <c r="E76" i="4"/>
  <c r="R75" i="4"/>
  <c r="N75" i="4"/>
  <c r="S75" i="4" s="1"/>
  <c r="I75" i="4"/>
  <c r="E75" i="4"/>
  <c r="J75" i="4" s="1"/>
  <c r="T75" i="4" s="1"/>
  <c r="R74" i="4"/>
  <c r="N74" i="4"/>
  <c r="S74" i="4" s="1"/>
  <c r="I74" i="4"/>
  <c r="E74" i="4"/>
  <c r="J74" i="4" s="1"/>
  <c r="R73" i="4"/>
  <c r="S73" i="4" s="1"/>
  <c r="N73" i="4"/>
  <c r="G71" i="4"/>
  <c r="D71" i="4"/>
  <c r="C71" i="4"/>
  <c r="R72" i="4"/>
  <c r="N72" i="4"/>
  <c r="S72" i="4" s="1"/>
  <c r="I72" i="4"/>
  <c r="P71" i="4"/>
  <c r="H71" i="4"/>
  <c r="R69" i="4"/>
  <c r="N69" i="4"/>
  <c r="S69" i="4" s="1"/>
  <c r="I69" i="4"/>
  <c r="R68" i="4"/>
  <c r="S68" i="4" s="1"/>
  <c r="N68" i="4"/>
  <c r="I68" i="4"/>
  <c r="E68" i="4"/>
  <c r="R67" i="4"/>
  <c r="N67" i="4"/>
  <c r="E67" i="4"/>
  <c r="R66" i="4"/>
  <c r="M64" i="4"/>
  <c r="L64" i="4"/>
  <c r="I66" i="4"/>
  <c r="P64" i="4"/>
  <c r="O64" i="4"/>
  <c r="R64" i="4" s="1"/>
  <c r="N65" i="4"/>
  <c r="D64" i="4"/>
  <c r="E65" i="4"/>
  <c r="Q64" i="4"/>
  <c r="C64" i="4"/>
  <c r="B64" i="4"/>
  <c r="R62" i="4"/>
  <c r="I62" i="4"/>
  <c r="E62" i="4"/>
  <c r="N61" i="4"/>
  <c r="I61" i="4"/>
  <c r="E61" i="4"/>
  <c r="J61" i="4" s="1"/>
  <c r="R60" i="4"/>
  <c r="N60" i="4"/>
  <c r="S60" i="4" s="1"/>
  <c r="I60" i="4"/>
  <c r="E60" i="4"/>
  <c r="J60" i="4" s="1"/>
  <c r="S59" i="4"/>
  <c r="R59" i="4"/>
  <c r="N59" i="4"/>
  <c r="F56" i="4"/>
  <c r="E59" i="4"/>
  <c r="R58" i="4"/>
  <c r="K56" i="4"/>
  <c r="I58" i="4"/>
  <c r="Q56" i="4"/>
  <c r="P56" i="4"/>
  <c r="N57" i="4"/>
  <c r="I57" i="4"/>
  <c r="E57" i="4"/>
  <c r="J57" i="4" s="1"/>
  <c r="D56" i="4"/>
  <c r="C56" i="4"/>
  <c r="B56" i="4"/>
  <c r="E56" i="4" s="1"/>
  <c r="R54" i="4"/>
  <c r="N54" i="4"/>
  <c r="S54" i="4" s="1"/>
  <c r="I54" i="4"/>
  <c r="J54" i="4" s="1"/>
  <c r="T54" i="4" s="1"/>
  <c r="E54" i="4"/>
  <c r="R53" i="4"/>
  <c r="N53" i="4"/>
  <c r="S53" i="4" s="1"/>
  <c r="I53" i="4"/>
  <c r="R52" i="4"/>
  <c r="N52" i="4"/>
  <c r="S52" i="4" s="1"/>
  <c r="I52" i="4"/>
  <c r="E52" i="4"/>
  <c r="J52" i="4" s="1"/>
  <c r="T52" i="4" s="1"/>
  <c r="R51" i="4"/>
  <c r="N51" i="4"/>
  <c r="E51" i="4"/>
  <c r="R50" i="4"/>
  <c r="N50" i="4"/>
  <c r="S50" i="4" s="1"/>
  <c r="I50" i="4"/>
  <c r="E50" i="4"/>
  <c r="J50" i="4" s="1"/>
  <c r="R49" i="4"/>
  <c r="S49" i="4" s="1"/>
  <c r="N49" i="4"/>
  <c r="I49" i="4"/>
  <c r="E49" i="4"/>
  <c r="J49" i="4" s="1"/>
  <c r="I48" i="4"/>
  <c r="E48" i="4"/>
  <c r="R47" i="4"/>
  <c r="N47" i="4"/>
  <c r="S47" i="4" s="1"/>
  <c r="E47" i="4"/>
  <c r="S46" i="4"/>
  <c r="R46" i="4"/>
  <c r="N46" i="4"/>
  <c r="I46" i="4"/>
  <c r="E46" i="4"/>
  <c r="K45" i="4"/>
  <c r="D45" i="4"/>
  <c r="B45" i="4"/>
  <c r="R43" i="4"/>
  <c r="N43" i="4"/>
  <c r="S43" i="4" s="1"/>
  <c r="I43" i="4"/>
  <c r="E43" i="4"/>
  <c r="M39" i="4"/>
  <c r="N42" i="4"/>
  <c r="I42" i="4"/>
  <c r="R41" i="4"/>
  <c r="S41" i="4" s="1"/>
  <c r="N41" i="4"/>
  <c r="I41" i="4"/>
  <c r="E41" i="4"/>
  <c r="J41" i="4" s="1"/>
  <c r="R40" i="4"/>
  <c r="N40" i="4"/>
  <c r="S40" i="4" s="1"/>
  <c r="H39" i="4"/>
  <c r="C39" i="4"/>
  <c r="K39" i="4"/>
  <c r="R37" i="4"/>
  <c r="N37" i="4"/>
  <c r="S37" i="4" s="1"/>
  <c r="E37" i="4"/>
  <c r="R36" i="4"/>
  <c r="N36" i="4"/>
  <c r="S36" i="4" s="1"/>
  <c r="I36" i="4"/>
  <c r="R35" i="4"/>
  <c r="S35" i="4" s="1"/>
  <c r="N35" i="4"/>
  <c r="H33" i="4"/>
  <c r="G33" i="4"/>
  <c r="F33" i="4"/>
  <c r="E35" i="4"/>
  <c r="Q33" i="4"/>
  <c r="P33" i="4"/>
  <c r="M33" i="4"/>
  <c r="L33" i="4"/>
  <c r="I34" i="4"/>
  <c r="D33" i="4"/>
  <c r="K33" i="4"/>
  <c r="R31" i="4"/>
  <c r="N31" i="4"/>
  <c r="S31" i="4" s="1"/>
  <c r="I31" i="4"/>
  <c r="E31" i="4"/>
  <c r="J31" i="4" s="1"/>
  <c r="T31" i="4" s="1"/>
  <c r="R30" i="4"/>
  <c r="N30" i="4"/>
  <c r="S30" i="4" s="1"/>
  <c r="I30" i="4"/>
  <c r="R29" i="4"/>
  <c r="N29" i="4"/>
  <c r="S29" i="4" s="1"/>
  <c r="I29" i="4"/>
  <c r="E29" i="4"/>
  <c r="R28" i="4"/>
  <c r="M25" i="4"/>
  <c r="L25" i="4"/>
  <c r="I28" i="4"/>
  <c r="S27" i="4"/>
  <c r="R27" i="4"/>
  <c r="N27" i="4"/>
  <c r="I27" i="4"/>
  <c r="E27" i="4"/>
  <c r="J27" i="4" s="1"/>
  <c r="T27" i="4" s="1"/>
  <c r="R26" i="4"/>
  <c r="N26" i="4"/>
  <c r="S26" i="4" s="1"/>
  <c r="K25" i="4"/>
  <c r="H25" i="4"/>
  <c r="R23" i="4"/>
  <c r="N23" i="4"/>
  <c r="S23" i="4" s="1"/>
  <c r="E23" i="4"/>
  <c r="R22" i="4"/>
  <c r="N22" i="4"/>
  <c r="I22" i="4"/>
  <c r="E22" i="4"/>
  <c r="J22" i="4" s="1"/>
  <c r="R21" i="4"/>
  <c r="N21" i="4"/>
  <c r="S21" i="4" s="1"/>
  <c r="J21" i="4"/>
  <c r="I21" i="4"/>
  <c r="E21" i="4"/>
  <c r="R20" i="4"/>
  <c r="S20" i="4" s="1"/>
  <c r="N20" i="4"/>
  <c r="I20" i="4"/>
  <c r="E20" i="4"/>
  <c r="N19" i="4"/>
  <c r="I19" i="4"/>
  <c r="E19" i="4"/>
  <c r="J19" i="4" s="1"/>
  <c r="R18" i="4"/>
  <c r="N18" i="4"/>
  <c r="S18" i="4" s="1"/>
  <c r="I18" i="4"/>
  <c r="J18" i="4" s="1"/>
  <c r="E18" i="4"/>
  <c r="R17" i="4"/>
  <c r="N17" i="4"/>
  <c r="I17" i="4"/>
  <c r="E17" i="4"/>
  <c r="J17" i="4" s="1"/>
  <c r="R16" i="4"/>
  <c r="N16" i="4"/>
  <c r="S16" i="4" s="1"/>
  <c r="I16" i="4"/>
  <c r="E16" i="4"/>
  <c r="J16" i="4" s="1"/>
  <c r="T16" i="4" s="1"/>
  <c r="R15" i="4"/>
  <c r="S15" i="4" s="1"/>
  <c r="N15" i="4"/>
  <c r="I15" i="4"/>
  <c r="E15" i="4"/>
  <c r="J15" i="4" s="1"/>
  <c r="T15" i="4" s="1"/>
  <c r="R14" i="4"/>
  <c r="N14" i="4"/>
  <c r="I14" i="4"/>
  <c r="E14" i="4"/>
  <c r="R13" i="4"/>
  <c r="N13" i="4"/>
  <c r="S13" i="4" s="1"/>
  <c r="I13" i="4"/>
  <c r="J13" i="4" s="1"/>
  <c r="T13" i="4" s="1"/>
  <c r="E13" i="4"/>
  <c r="R12" i="4"/>
  <c r="N12" i="4"/>
  <c r="S12" i="4" s="1"/>
  <c r="I12" i="4"/>
  <c r="E12" i="4"/>
  <c r="J12" i="4" s="1"/>
  <c r="T12" i="4" s="1"/>
  <c r="R11" i="4"/>
  <c r="N11" i="4"/>
  <c r="S11" i="4" s="1"/>
  <c r="I11" i="4"/>
  <c r="E11" i="4"/>
  <c r="P7" i="4"/>
  <c r="R10" i="4"/>
  <c r="N10" i="4"/>
  <c r="S10" i="4" s="1"/>
  <c r="G7" i="4"/>
  <c r="E10" i="4"/>
  <c r="R9" i="4"/>
  <c r="M7" i="4"/>
  <c r="L7" i="4"/>
  <c r="N9" i="4"/>
  <c r="S9" i="4" s="1"/>
  <c r="I9" i="4"/>
  <c r="E9" i="4"/>
  <c r="J9" i="4" s="1"/>
  <c r="Q7" i="4"/>
  <c r="N8" i="4"/>
  <c r="I8" i="4"/>
  <c r="E8" i="4"/>
  <c r="B7" i="4"/>
  <c r="I8" i="3"/>
  <c r="N8" i="3"/>
  <c r="E9" i="3"/>
  <c r="N9" i="3"/>
  <c r="R9" i="3"/>
  <c r="R10" i="3"/>
  <c r="E11" i="3"/>
  <c r="J11" i="3" s="1"/>
  <c r="I11" i="3"/>
  <c r="N11" i="3"/>
  <c r="E12" i="3"/>
  <c r="I12" i="3"/>
  <c r="R12" i="3"/>
  <c r="I13" i="3"/>
  <c r="N13" i="3"/>
  <c r="R13" i="3"/>
  <c r="E14" i="3"/>
  <c r="I14" i="3"/>
  <c r="J14" i="3"/>
  <c r="R14" i="3"/>
  <c r="I15" i="3"/>
  <c r="N15" i="3"/>
  <c r="E16" i="3"/>
  <c r="J16" i="3" s="1"/>
  <c r="I16" i="3"/>
  <c r="N16" i="3"/>
  <c r="R16" i="3"/>
  <c r="E17" i="3"/>
  <c r="I17" i="3"/>
  <c r="J17" i="3"/>
  <c r="R17" i="3"/>
  <c r="E18" i="3"/>
  <c r="N18" i="3"/>
  <c r="S18" i="3" s="1"/>
  <c r="R18" i="3"/>
  <c r="E19" i="3"/>
  <c r="J19" i="3" s="1"/>
  <c r="I19" i="3"/>
  <c r="R19" i="3"/>
  <c r="E20" i="3"/>
  <c r="J20" i="3" s="1"/>
  <c r="I20" i="3"/>
  <c r="N20" i="3"/>
  <c r="I21" i="3"/>
  <c r="N21" i="3"/>
  <c r="R21" i="3"/>
  <c r="S21" i="3"/>
  <c r="I22" i="3"/>
  <c r="N22" i="3"/>
  <c r="S22" i="3" s="1"/>
  <c r="R22" i="3"/>
  <c r="N23" i="3"/>
  <c r="K25" i="3"/>
  <c r="L25" i="3"/>
  <c r="M25" i="3"/>
  <c r="E26" i="3"/>
  <c r="I26" i="3"/>
  <c r="J26" i="3"/>
  <c r="N26" i="3"/>
  <c r="R26" i="3"/>
  <c r="E27" i="3"/>
  <c r="J27" i="3" s="1"/>
  <c r="I27" i="3"/>
  <c r="N27" i="3"/>
  <c r="R27" i="3"/>
  <c r="I28" i="3"/>
  <c r="E29" i="3"/>
  <c r="G25" i="3"/>
  <c r="N29" i="3"/>
  <c r="R29" i="3"/>
  <c r="E30" i="3"/>
  <c r="I30" i="3"/>
  <c r="J30" i="3" s="1"/>
  <c r="T30" i="3" s="1"/>
  <c r="H25" i="3"/>
  <c r="N30" i="3"/>
  <c r="R30" i="3"/>
  <c r="S30" i="3"/>
  <c r="E31" i="3"/>
  <c r="N31" i="3"/>
  <c r="R31" i="3"/>
  <c r="L33" i="3"/>
  <c r="P33" i="3"/>
  <c r="Q33" i="3"/>
  <c r="E34" i="3"/>
  <c r="I34" i="3"/>
  <c r="J34" i="3"/>
  <c r="D33" i="3"/>
  <c r="E35" i="3"/>
  <c r="G33" i="3"/>
  <c r="H33" i="3"/>
  <c r="N35" i="3"/>
  <c r="R35" i="3"/>
  <c r="S35" i="3" s="1"/>
  <c r="E36" i="3"/>
  <c r="I36" i="3"/>
  <c r="J36" i="3"/>
  <c r="N36" i="3"/>
  <c r="S36" i="3" s="1"/>
  <c r="R36" i="3"/>
  <c r="E37" i="3"/>
  <c r="I37" i="3"/>
  <c r="N37" i="3"/>
  <c r="R37" i="3"/>
  <c r="S37" i="3"/>
  <c r="G39" i="3"/>
  <c r="I40" i="3"/>
  <c r="L39" i="3"/>
  <c r="M39" i="3"/>
  <c r="N40" i="3"/>
  <c r="E41" i="3"/>
  <c r="J41" i="3" s="1"/>
  <c r="H39" i="3"/>
  <c r="I41" i="3"/>
  <c r="N41" i="3"/>
  <c r="Q39" i="3"/>
  <c r="R41" i="3"/>
  <c r="I42" i="3"/>
  <c r="E43" i="3"/>
  <c r="I43" i="3"/>
  <c r="N43" i="3"/>
  <c r="R43" i="3"/>
  <c r="S43" i="3" s="1"/>
  <c r="C45" i="3"/>
  <c r="I46" i="3"/>
  <c r="L45" i="3"/>
  <c r="P45" i="3"/>
  <c r="Q45" i="3"/>
  <c r="E47" i="3"/>
  <c r="I47" i="3"/>
  <c r="J47" i="3" s="1"/>
  <c r="H45" i="3"/>
  <c r="N47" i="3"/>
  <c r="S47" i="3" s="1"/>
  <c r="R47" i="3"/>
  <c r="E48" i="3"/>
  <c r="J48" i="3" s="1"/>
  <c r="I48" i="3"/>
  <c r="N48" i="3"/>
  <c r="S48" i="3" s="1"/>
  <c r="R48" i="3"/>
  <c r="E49" i="3"/>
  <c r="J49" i="3" s="1"/>
  <c r="I49" i="3"/>
  <c r="N49" i="3"/>
  <c r="R49" i="3"/>
  <c r="I50" i="3"/>
  <c r="N50" i="3"/>
  <c r="R50" i="3"/>
  <c r="S50" i="3"/>
  <c r="N51" i="3"/>
  <c r="R51" i="3"/>
  <c r="E52" i="3"/>
  <c r="I52" i="3"/>
  <c r="J52" i="3"/>
  <c r="T52" i="3" s="1"/>
  <c r="N52" i="3"/>
  <c r="S52" i="3" s="1"/>
  <c r="R52" i="3"/>
  <c r="E53" i="3"/>
  <c r="J53" i="3" s="1"/>
  <c r="I53" i="3"/>
  <c r="N53" i="3"/>
  <c r="R53" i="3"/>
  <c r="E54" i="3"/>
  <c r="J54" i="3" s="1"/>
  <c r="I54" i="3"/>
  <c r="N54" i="3"/>
  <c r="S54" i="3" s="1"/>
  <c r="R54" i="3"/>
  <c r="P56" i="3"/>
  <c r="E57" i="3"/>
  <c r="N57" i="3"/>
  <c r="R57" i="3"/>
  <c r="E58" i="3"/>
  <c r="I58" i="3"/>
  <c r="J58" i="3"/>
  <c r="R58" i="3"/>
  <c r="D56" i="3"/>
  <c r="I59" i="3"/>
  <c r="N59" i="3"/>
  <c r="S59" i="3" s="1"/>
  <c r="R59" i="3"/>
  <c r="E60" i="3"/>
  <c r="N60" i="3"/>
  <c r="S60" i="3" s="1"/>
  <c r="R60" i="3"/>
  <c r="I61" i="3"/>
  <c r="N61" i="3"/>
  <c r="I62" i="3"/>
  <c r="N62" i="3"/>
  <c r="S62" i="3" s="1"/>
  <c r="R62" i="3"/>
  <c r="K64" i="3"/>
  <c r="L64" i="3"/>
  <c r="E65" i="3"/>
  <c r="G64" i="3"/>
  <c r="M64" i="3"/>
  <c r="N65" i="3"/>
  <c r="E66" i="3"/>
  <c r="R66" i="3"/>
  <c r="I67" i="3"/>
  <c r="N67" i="3"/>
  <c r="S67" i="3" s="1"/>
  <c r="R67" i="3"/>
  <c r="E68" i="3"/>
  <c r="I68" i="3"/>
  <c r="J68" i="3"/>
  <c r="T68" i="3" s="1"/>
  <c r="N68" i="3"/>
  <c r="S68" i="3" s="1"/>
  <c r="R68" i="3"/>
  <c r="I69" i="3"/>
  <c r="B71" i="3"/>
  <c r="C71" i="3"/>
  <c r="E72" i="3"/>
  <c r="J72" i="3" s="1"/>
  <c r="I72" i="3"/>
  <c r="L71" i="3"/>
  <c r="M71" i="3"/>
  <c r="R72" i="3"/>
  <c r="E73" i="3"/>
  <c r="G71" i="3"/>
  <c r="N73" i="3"/>
  <c r="S73" i="3" s="1"/>
  <c r="R73" i="3"/>
  <c r="D71" i="3"/>
  <c r="E74" i="3"/>
  <c r="J74" i="3" s="1"/>
  <c r="I74" i="3"/>
  <c r="Q71" i="3"/>
  <c r="R74" i="3"/>
  <c r="E75" i="3"/>
  <c r="I75" i="3"/>
  <c r="J75" i="3"/>
  <c r="N75" i="3"/>
  <c r="E76" i="3"/>
  <c r="N76" i="3"/>
  <c r="S76" i="3" s="1"/>
  <c r="R76" i="3"/>
  <c r="I77" i="3"/>
  <c r="R77" i="3"/>
  <c r="B79" i="3"/>
  <c r="D79" i="3"/>
  <c r="Q79" i="3"/>
  <c r="E80" i="3"/>
  <c r="G79" i="3"/>
  <c r="I80" i="3"/>
  <c r="J80" i="3"/>
  <c r="R80" i="3"/>
  <c r="E81" i="3"/>
  <c r="N81" i="3"/>
  <c r="R81" i="3"/>
  <c r="E82" i="3"/>
  <c r="J82" i="3" s="1"/>
  <c r="I82" i="3"/>
  <c r="N82" i="3"/>
  <c r="P79" i="3"/>
  <c r="I83" i="3"/>
  <c r="E84" i="3"/>
  <c r="N84" i="3"/>
  <c r="S84" i="3" s="1"/>
  <c r="R84" i="3"/>
  <c r="G86" i="3"/>
  <c r="H86" i="3"/>
  <c r="K86" i="3"/>
  <c r="N86" i="3" s="1"/>
  <c r="B86" i="3"/>
  <c r="C86" i="3"/>
  <c r="E87" i="3"/>
  <c r="L86" i="3"/>
  <c r="M86" i="3"/>
  <c r="N87" i="3"/>
  <c r="O86" i="3"/>
  <c r="R87" i="3"/>
  <c r="S87" i="3"/>
  <c r="E88" i="3"/>
  <c r="L90" i="3"/>
  <c r="P90" i="3"/>
  <c r="Q90" i="3"/>
  <c r="D90" i="3"/>
  <c r="E91" i="3"/>
  <c r="I91" i="3"/>
  <c r="J91" i="3"/>
  <c r="T91" i="3" s="1"/>
  <c r="N91" i="3"/>
  <c r="R91" i="3"/>
  <c r="S91" i="3"/>
  <c r="I92" i="3"/>
  <c r="N92" i="3"/>
  <c r="R92" i="3"/>
  <c r="S92" i="3"/>
  <c r="E93" i="3"/>
  <c r="M90" i="3"/>
  <c r="N93" i="3"/>
  <c r="R93" i="3"/>
  <c r="E94" i="3"/>
  <c r="R94" i="3"/>
  <c r="D96" i="3"/>
  <c r="I97" i="3"/>
  <c r="N97" i="3"/>
  <c r="P96" i="3"/>
  <c r="Q96" i="3"/>
  <c r="R97" i="3"/>
  <c r="S97" i="3"/>
  <c r="I98" i="3"/>
  <c r="L96" i="3"/>
  <c r="M96" i="3"/>
  <c r="E99" i="3"/>
  <c r="N99" i="3"/>
  <c r="O96" i="3"/>
  <c r="R99" i="3"/>
  <c r="S99" i="3"/>
  <c r="E100" i="3"/>
  <c r="J100" i="3" s="1"/>
  <c r="T100" i="3" s="1"/>
  <c r="I100" i="3"/>
  <c r="N100" i="3"/>
  <c r="S100" i="3" s="1"/>
  <c r="R100" i="3"/>
  <c r="E101" i="3"/>
  <c r="I101" i="3"/>
  <c r="N101" i="3"/>
  <c r="E102" i="3"/>
  <c r="J102" i="3" s="1"/>
  <c r="I102" i="3"/>
  <c r="N102" i="3"/>
  <c r="R102" i="3"/>
  <c r="S102" i="3"/>
  <c r="D104" i="3"/>
  <c r="K104" i="3"/>
  <c r="M104" i="3"/>
  <c r="P104" i="3"/>
  <c r="Q104" i="3"/>
  <c r="I105" i="3"/>
  <c r="N105" i="3"/>
  <c r="S105" i="3" s="1"/>
  <c r="R105" i="3"/>
  <c r="N106" i="3"/>
  <c r="R106" i="3"/>
  <c r="S106" i="3" s="1"/>
  <c r="N107" i="3"/>
  <c r="E109" i="3"/>
  <c r="I109" i="3"/>
  <c r="J109" i="3"/>
  <c r="R109" i="3"/>
  <c r="C111" i="3"/>
  <c r="K111" i="3"/>
  <c r="L111" i="3"/>
  <c r="E112" i="3"/>
  <c r="N112" i="3"/>
  <c r="I113" i="3"/>
  <c r="N113" i="3"/>
  <c r="S113" i="3" s="1"/>
  <c r="R113" i="3"/>
  <c r="D111" i="3"/>
  <c r="I114" i="3"/>
  <c r="N114" i="3"/>
  <c r="Q111" i="3"/>
  <c r="E115" i="3"/>
  <c r="N115" i="3"/>
  <c r="R115" i="3"/>
  <c r="S115" i="3"/>
  <c r="N116" i="3"/>
  <c r="R116" i="3"/>
  <c r="G118" i="3"/>
  <c r="H118" i="3"/>
  <c r="E119" i="3"/>
  <c r="I119" i="3"/>
  <c r="J119" i="3" s="1"/>
  <c r="N119" i="3"/>
  <c r="E120" i="3"/>
  <c r="N120" i="3"/>
  <c r="P118" i="3"/>
  <c r="E121" i="3"/>
  <c r="I121" i="3"/>
  <c r="J121" i="3"/>
  <c r="L118" i="3"/>
  <c r="R121" i="3"/>
  <c r="E122" i="3"/>
  <c r="I122" i="3"/>
  <c r="N122" i="3"/>
  <c r="R122" i="3"/>
  <c r="S122" i="3"/>
  <c r="E123" i="3"/>
  <c r="J123" i="3" s="1"/>
  <c r="I123" i="3"/>
  <c r="Q118" i="3"/>
  <c r="R123" i="3"/>
  <c r="F125" i="3"/>
  <c r="Q125" i="3"/>
  <c r="E126" i="3"/>
  <c r="I126" i="3"/>
  <c r="J126" i="3"/>
  <c r="R126" i="3"/>
  <c r="C125" i="3"/>
  <c r="I127" i="3"/>
  <c r="P125" i="3"/>
  <c r="N128" i="3"/>
  <c r="O125" i="3"/>
  <c r="R128" i="3"/>
  <c r="E129" i="3"/>
  <c r="I129" i="3"/>
  <c r="J129" i="3" s="1"/>
  <c r="R129" i="3"/>
  <c r="C131" i="3"/>
  <c r="E132" i="3"/>
  <c r="J132" i="3" s="1"/>
  <c r="G131" i="3"/>
  <c r="I132" i="3"/>
  <c r="Q131" i="3"/>
  <c r="E133" i="3"/>
  <c r="J133" i="3" s="1"/>
  <c r="I133" i="3"/>
  <c r="M131" i="3"/>
  <c r="N133" i="3"/>
  <c r="E134" i="3"/>
  <c r="J134" i="3" s="1"/>
  <c r="F131" i="3"/>
  <c r="I134" i="3"/>
  <c r="N134" i="3"/>
  <c r="O131" i="3"/>
  <c r="R134" i="3"/>
  <c r="I135" i="3"/>
  <c r="R135" i="3"/>
  <c r="L137" i="3"/>
  <c r="O137" i="3"/>
  <c r="C137" i="3"/>
  <c r="E138" i="3"/>
  <c r="G137" i="3"/>
  <c r="H137" i="3"/>
  <c r="I138" i="3"/>
  <c r="J138" i="3"/>
  <c r="T138" i="3" s="1"/>
  <c r="N138" i="3"/>
  <c r="R138" i="3"/>
  <c r="S138" i="3"/>
  <c r="I139" i="3"/>
  <c r="N139" i="3"/>
  <c r="P137" i="3"/>
  <c r="E140" i="3"/>
  <c r="I140" i="3"/>
  <c r="J140" i="3" s="1"/>
  <c r="T140" i="3" s="1"/>
  <c r="N140" i="3"/>
  <c r="R140" i="3"/>
  <c r="S140" i="3" s="1"/>
  <c r="E141" i="3"/>
  <c r="J141" i="3" s="1"/>
  <c r="I141" i="3"/>
  <c r="M137" i="3"/>
  <c r="R141" i="3"/>
  <c r="E142" i="3"/>
  <c r="I142" i="3"/>
  <c r="N142" i="3"/>
  <c r="S142" i="3" s="1"/>
  <c r="R142" i="3"/>
  <c r="E147" i="3"/>
  <c r="J147" i="3" s="1"/>
  <c r="T147" i="3" s="1"/>
  <c r="I147" i="3"/>
  <c r="N147" i="3"/>
  <c r="S147" i="3" s="1"/>
  <c r="R147" i="3"/>
  <c r="E149" i="3"/>
  <c r="I149" i="3"/>
  <c r="N149" i="3"/>
  <c r="R149" i="3"/>
  <c r="S149" i="3"/>
  <c r="E153" i="3"/>
  <c r="I153" i="3"/>
  <c r="N153" i="3"/>
  <c r="R153" i="3"/>
  <c r="S153" i="3"/>
  <c r="T18" i="9" l="1"/>
  <c r="T48" i="9"/>
  <c r="T81" i="9"/>
  <c r="T128" i="9"/>
  <c r="S129" i="9"/>
  <c r="J62" i="9"/>
  <c r="T62" i="9" s="1"/>
  <c r="T43" i="9"/>
  <c r="E33" i="9"/>
  <c r="T37" i="9"/>
  <c r="T69" i="9"/>
  <c r="I96" i="9"/>
  <c r="P145" i="9"/>
  <c r="P151" i="9" s="1"/>
  <c r="P155" i="9" s="1"/>
  <c r="T23" i="9"/>
  <c r="T100" i="9"/>
  <c r="T13" i="9"/>
  <c r="T99" i="9"/>
  <c r="T114" i="9"/>
  <c r="T11" i="9"/>
  <c r="S16" i="9"/>
  <c r="T16" i="9" s="1"/>
  <c r="T35" i="9"/>
  <c r="T93" i="9"/>
  <c r="N7" i="9"/>
  <c r="J76" i="9"/>
  <c r="K125" i="9"/>
  <c r="N125" i="9" s="1"/>
  <c r="S125" i="9" s="1"/>
  <c r="N126" i="9"/>
  <c r="S126" i="9" s="1"/>
  <c r="J53" i="9"/>
  <c r="T53" i="9" s="1"/>
  <c r="Q64" i="9"/>
  <c r="E26" i="9"/>
  <c r="J26" i="9" s="1"/>
  <c r="T26" i="9" s="1"/>
  <c r="D64" i="9"/>
  <c r="D118" i="9"/>
  <c r="I133" i="9"/>
  <c r="F131" i="9"/>
  <c r="C7" i="9"/>
  <c r="T27" i="9"/>
  <c r="D33" i="9"/>
  <c r="R34" i="9"/>
  <c r="K39" i="9"/>
  <c r="N39" i="9" s="1"/>
  <c r="S39" i="9" s="1"/>
  <c r="N40" i="9"/>
  <c r="S40" i="9" s="1"/>
  <c r="N46" i="9"/>
  <c r="S46" i="9" s="1"/>
  <c r="L45" i="9"/>
  <c r="E65" i="9"/>
  <c r="E73" i="9"/>
  <c r="R73" i="9"/>
  <c r="S73" i="9" s="1"/>
  <c r="J101" i="9"/>
  <c r="T101" i="9" s="1"/>
  <c r="Q104" i="9"/>
  <c r="R105" i="9"/>
  <c r="E119" i="9"/>
  <c r="D7" i="9"/>
  <c r="Q7" i="9"/>
  <c r="J15" i="9"/>
  <c r="T15" i="9" s="1"/>
  <c r="G25" i="9"/>
  <c r="E34" i="9"/>
  <c r="O45" i="9"/>
  <c r="F64" i="9"/>
  <c r="I64" i="9" s="1"/>
  <c r="R66" i="9"/>
  <c r="S66" i="9" s="1"/>
  <c r="T66" i="9" s="1"/>
  <c r="O64" i="9"/>
  <c r="F71" i="9"/>
  <c r="K131" i="9"/>
  <c r="N132" i="9"/>
  <c r="S132" i="9" s="1"/>
  <c r="S22" i="9"/>
  <c r="T22" i="9" s="1"/>
  <c r="F25" i="9"/>
  <c r="I25" i="9" s="1"/>
  <c r="S37" i="9"/>
  <c r="G64" i="9"/>
  <c r="K71" i="9"/>
  <c r="G71" i="9"/>
  <c r="O79" i="9"/>
  <c r="R79" i="9" s="1"/>
  <c r="G79" i="9"/>
  <c r="N87" i="9"/>
  <c r="S87" i="9" s="1"/>
  <c r="S93" i="9"/>
  <c r="R96" i="9"/>
  <c r="S123" i="9"/>
  <c r="Q131" i="9"/>
  <c r="R131" i="9" s="1"/>
  <c r="L131" i="9"/>
  <c r="T135" i="9"/>
  <c r="N140" i="9"/>
  <c r="S140" i="9" s="1"/>
  <c r="O39" i="9"/>
  <c r="R39" i="9" s="1"/>
  <c r="Q45" i="9"/>
  <c r="N47" i="9"/>
  <c r="S47" i="9" s="1"/>
  <c r="T47" i="9" s="1"/>
  <c r="K45" i="9"/>
  <c r="B56" i="9"/>
  <c r="E56" i="9" s="1"/>
  <c r="E59" i="9"/>
  <c r="J59" i="9" s="1"/>
  <c r="T59" i="9" s="1"/>
  <c r="H71" i="9"/>
  <c r="J74" i="9"/>
  <c r="T74" i="9" s="1"/>
  <c r="L79" i="9"/>
  <c r="N79" i="9" s="1"/>
  <c r="S79" i="9" s="1"/>
  <c r="I82" i="9"/>
  <c r="J82" i="9" s="1"/>
  <c r="T82" i="9" s="1"/>
  <c r="T83" i="9"/>
  <c r="N88" i="9"/>
  <c r="S88" i="9" s="1"/>
  <c r="D104" i="9"/>
  <c r="G111" i="9"/>
  <c r="J120" i="9"/>
  <c r="T120" i="9" s="1"/>
  <c r="R123" i="9"/>
  <c r="O118" i="9"/>
  <c r="M131" i="9"/>
  <c r="H137" i="9"/>
  <c r="T19" i="9"/>
  <c r="E90" i="9"/>
  <c r="J90" i="9" s="1"/>
  <c r="N120" i="9"/>
  <c r="S120" i="9" s="1"/>
  <c r="K118" i="9"/>
  <c r="N34" i="9"/>
  <c r="F45" i="9"/>
  <c r="I46" i="9"/>
  <c r="G90" i="9"/>
  <c r="T30" i="9"/>
  <c r="R33" i="9"/>
  <c r="E45" i="9"/>
  <c r="G96" i="9"/>
  <c r="D96" i="9"/>
  <c r="I122" i="9"/>
  <c r="J122" i="9" s="1"/>
  <c r="T122" i="9" s="1"/>
  <c r="B71" i="9"/>
  <c r="I88" i="9"/>
  <c r="G86" i="9"/>
  <c r="E133" i="9"/>
  <c r="J133" i="9" s="1"/>
  <c r="T133" i="9" s="1"/>
  <c r="O7" i="9"/>
  <c r="R8" i="9"/>
  <c r="R65" i="9"/>
  <c r="S65" i="9" s="1"/>
  <c r="E112" i="9"/>
  <c r="J112" i="9" s="1"/>
  <c r="B111" i="9"/>
  <c r="E111" i="9" s="1"/>
  <c r="I132" i="9"/>
  <c r="J132" i="9" s="1"/>
  <c r="T132" i="9" s="1"/>
  <c r="T42" i="9"/>
  <c r="G7" i="9"/>
  <c r="G145" i="9" s="1"/>
  <c r="G151" i="9" s="1"/>
  <c r="G155" i="9" s="1"/>
  <c r="R21" i="9"/>
  <c r="P39" i="9"/>
  <c r="C56" i="9"/>
  <c r="I62" i="9"/>
  <c r="F56" i="9"/>
  <c r="B64" i="9"/>
  <c r="E64" i="9" s="1"/>
  <c r="I65" i="9"/>
  <c r="M71" i="9"/>
  <c r="I73" i="9"/>
  <c r="R92" i="9"/>
  <c r="S92" i="9" s="1"/>
  <c r="O90" i="9"/>
  <c r="H111" i="9"/>
  <c r="E118" i="9"/>
  <c r="I139" i="9"/>
  <c r="J139" i="9" s="1"/>
  <c r="T139" i="9" s="1"/>
  <c r="F137" i="9"/>
  <c r="T140" i="9"/>
  <c r="J147" i="9"/>
  <c r="T147" i="9" s="1"/>
  <c r="T153" i="9"/>
  <c r="M45" i="9"/>
  <c r="R60" i="9"/>
  <c r="S60" i="9" s="1"/>
  <c r="T60" i="9" s="1"/>
  <c r="N72" i="9"/>
  <c r="S72" i="9" s="1"/>
  <c r="T72" i="9" s="1"/>
  <c r="J75" i="9"/>
  <c r="T75" i="9" s="1"/>
  <c r="E87" i="9"/>
  <c r="J91" i="9"/>
  <c r="T102" i="9"/>
  <c r="J121" i="9"/>
  <c r="T121" i="9" s="1"/>
  <c r="E123" i="9"/>
  <c r="J123" i="9" s="1"/>
  <c r="G137" i="9"/>
  <c r="E41" i="9"/>
  <c r="J41" i="9" s="1"/>
  <c r="T41" i="9" s="1"/>
  <c r="B39" i="9"/>
  <c r="E39" i="9" s="1"/>
  <c r="J46" i="9"/>
  <c r="T129" i="9"/>
  <c r="T21" i="9"/>
  <c r="R26" i="9"/>
  <c r="S26" i="9" s="1"/>
  <c r="N35" i="9"/>
  <c r="S35" i="9" s="1"/>
  <c r="K33" i="9"/>
  <c r="G39" i="9"/>
  <c r="S49" i="9"/>
  <c r="T49" i="9" s="1"/>
  <c r="N57" i="9"/>
  <c r="S57" i="9" s="1"/>
  <c r="R104" i="9"/>
  <c r="O111" i="9"/>
  <c r="R111" i="9" s="1"/>
  <c r="S8" i="9"/>
  <c r="T8" i="9" s="1"/>
  <c r="I39" i="9"/>
  <c r="M56" i="9"/>
  <c r="R119" i="9"/>
  <c r="B7" i="9"/>
  <c r="Q33" i="9"/>
  <c r="I40" i="9"/>
  <c r="J40" i="9" s="1"/>
  <c r="T40" i="9" s="1"/>
  <c r="S13" i="9"/>
  <c r="J28" i="9"/>
  <c r="T28" i="9" s="1"/>
  <c r="J29" i="9"/>
  <c r="T29" i="9" s="1"/>
  <c r="S14" i="9"/>
  <c r="T14" i="9" s="1"/>
  <c r="N23" i="9"/>
  <c r="S23" i="9" s="1"/>
  <c r="N25" i="9"/>
  <c r="I28" i="9"/>
  <c r="D45" i="9"/>
  <c r="O56" i="9"/>
  <c r="R56" i="9" s="1"/>
  <c r="N56" i="9"/>
  <c r="S56" i="9" s="1"/>
  <c r="I58" i="9"/>
  <c r="J58" i="9" s="1"/>
  <c r="T58" i="9" s="1"/>
  <c r="G56" i="9"/>
  <c r="J67" i="9"/>
  <c r="T67" i="9" s="1"/>
  <c r="E68" i="9"/>
  <c r="J68" i="9" s="1"/>
  <c r="T68" i="9" s="1"/>
  <c r="S77" i="9"/>
  <c r="T77" i="9" s="1"/>
  <c r="J88" i="9"/>
  <c r="T88" i="9" s="1"/>
  <c r="I90" i="9"/>
  <c r="E92" i="9"/>
  <c r="J92" i="9" s="1"/>
  <c r="Q96" i="9"/>
  <c r="N100" i="9"/>
  <c r="S100" i="9" s="1"/>
  <c r="F104" i="9"/>
  <c r="I104" i="9" s="1"/>
  <c r="I107" i="9"/>
  <c r="J107" i="9" s="1"/>
  <c r="T107" i="9" s="1"/>
  <c r="T109" i="9"/>
  <c r="J127" i="9"/>
  <c r="T127" i="9" s="1"/>
  <c r="R129" i="9"/>
  <c r="J149" i="9"/>
  <c r="T149" i="9" s="1"/>
  <c r="L118" i="9"/>
  <c r="L137" i="9"/>
  <c r="N137" i="9" s="1"/>
  <c r="S137" i="9" s="1"/>
  <c r="G45" i="9"/>
  <c r="E97" i="9"/>
  <c r="J97" i="9" s="1"/>
  <c r="T97" i="9" s="1"/>
  <c r="B96" i="9"/>
  <c r="J105" i="9"/>
  <c r="F111" i="9"/>
  <c r="M118" i="9"/>
  <c r="F125" i="9"/>
  <c r="E131" i="9"/>
  <c r="M137" i="9"/>
  <c r="H45" i="9"/>
  <c r="S76" i="9"/>
  <c r="F79" i="9"/>
  <c r="I79" i="9" s="1"/>
  <c r="H86" i="9"/>
  <c r="H145" i="9" s="1"/>
  <c r="H151" i="9" s="1"/>
  <c r="H155" i="9" s="1"/>
  <c r="T113" i="9"/>
  <c r="Q111" i="9"/>
  <c r="N119" i="9"/>
  <c r="S119" i="9" s="1"/>
  <c r="G125" i="9"/>
  <c r="S153" i="9"/>
  <c r="N21" i="9"/>
  <c r="S21" i="9" s="1"/>
  <c r="O25" i="9"/>
  <c r="H56" i="9"/>
  <c r="N82" i="9"/>
  <c r="S82" i="9" s="1"/>
  <c r="I87" i="9"/>
  <c r="C90" i="9"/>
  <c r="Q90" i="9"/>
  <c r="E94" i="9"/>
  <c r="J94" i="9" s="1"/>
  <c r="T94" i="9" s="1"/>
  <c r="E106" i="9"/>
  <c r="J106" i="9" s="1"/>
  <c r="T106" i="9" s="1"/>
  <c r="B104" i="9"/>
  <c r="C111" i="9"/>
  <c r="H125" i="9"/>
  <c r="S128" i="9"/>
  <c r="M7" i="9"/>
  <c r="E10" i="9"/>
  <c r="J10" i="9" s="1"/>
  <c r="T10" i="9" s="1"/>
  <c r="B25" i="9"/>
  <c r="E25" i="9" s="1"/>
  <c r="P25" i="9"/>
  <c r="L33" i="9"/>
  <c r="L145" i="9" s="1"/>
  <c r="L151" i="9" s="1"/>
  <c r="L155" i="9" s="1"/>
  <c r="N52" i="9"/>
  <c r="S52" i="9" s="1"/>
  <c r="T52" i="9" s="1"/>
  <c r="I53" i="9"/>
  <c r="I57" i="9"/>
  <c r="J57" i="9" s="1"/>
  <c r="T57" i="9" s="1"/>
  <c r="N69" i="9"/>
  <c r="S69" i="9" s="1"/>
  <c r="H79" i="9"/>
  <c r="R98" i="9"/>
  <c r="S98" i="9" s="1"/>
  <c r="T98" i="9" s="1"/>
  <c r="C104" i="9"/>
  <c r="D111" i="9"/>
  <c r="P118" i="9"/>
  <c r="I126" i="9"/>
  <c r="J126" i="9" s="1"/>
  <c r="T126" i="9" s="1"/>
  <c r="G131" i="9"/>
  <c r="F33" i="9"/>
  <c r="I33" i="9" s="1"/>
  <c r="I34" i="9"/>
  <c r="Q39" i="9"/>
  <c r="C71" i="9"/>
  <c r="O71" i="9"/>
  <c r="R71" i="9" s="1"/>
  <c r="R72" i="9"/>
  <c r="K96" i="9"/>
  <c r="N96" i="9" s="1"/>
  <c r="K111" i="9"/>
  <c r="F118" i="9"/>
  <c r="I118" i="9" s="1"/>
  <c r="I119" i="9"/>
  <c r="B137" i="9"/>
  <c r="E137" i="9" s="1"/>
  <c r="E138" i="9"/>
  <c r="J138" i="9" s="1"/>
  <c r="T138" i="9" s="1"/>
  <c r="K90" i="9"/>
  <c r="N90" i="9" s="1"/>
  <c r="N91" i="9"/>
  <c r="S91" i="9" s="1"/>
  <c r="L96" i="9"/>
  <c r="K104" i="9"/>
  <c r="N104" i="9" s="1"/>
  <c r="N105" i="9"/>
  <c r="L111" i="9"/>
  <c r="N62" i="9"/>
  <c r="S62" i="9" s="1"/>
  <c r="B79" i="9"/>
  <c r="E79" i="9" s="1"/>
  <c r="E80" i="9"/>
  <c r="J80" i="9" s="1"/>
  <c r="T80" i="9" s="1"/>
  <c r="I92" i="9"/>
  <c r="I61" i="9"/>
  <c r="J61" i="9" s="1"/>
  <c r="T61" i="9" s="1"/>
  <c r="N97" i="9"/>
  <c r="S97" i="9" s="1"/>
  <c r="N112" i="9"/>
  <c r="S112" i="9" s="1"/>
  <c r="T135" i="8"/>
  <c r="T13" i="8"/>
  <c r="T105" i="8"/>
  <c r="J16" i="8"/>
  <c r="T16" i="8" s="1"/>
  <c r="I71" i="8"/>
  <c r="T75" i="8"/>
  <c r="N10" i="8"/>
  <c r="S10" i="8" s="1"/>
  <c r="M7" i="8"/>
  <c r="S12" i="8"/>
  <c r="T12" i="8" s="1"/>
  <c r="S129" i="8"/>
  <c r="T129" i="8" s="1"/>
  <c r="N45" i="8"/>
  <c r="S45" i="8" s="1"/>
  <c r="T120" i="8"/>
  <c r="T59" i="8"/>
  <c r="T43" i="8"/>
  <c r="T31" i="8"/>
  <c r="N64" i="8"/>
  <c r="N71" i="8"/>
  <c r="S71" i="8" s="1"/>
  <c r="T10" i="8"/>
  <c r="S75" i="8"/>
  <c r="T60" i="8"/>
  <c r="T74" i="8"/>
  <c r="J93" i="8"/>
  <c r="T93" i="8" s="1"/>
  <c r="R49" i="8"/>
  <c r="S49" i="8" s="1"/>
  <c r="T49" i="8" s="1"/>
  <c r="D7" i="8"/>
  <c r="G7" i="8"/>
  <c r="R12" i="8"/>
  <c r="J18" i="8"/>
  <c r="T18" i="8" s="1"/>
  <c r="N23" i="8"/>
  <c r="S23" i="8" s="1"/>
  <c r="P25" i="8"/>
  <c r="S42" i="8"/>
  <c r="T42" i="8" s="1"/>
  <c r="N46" i="8"/>
  <c r="S46" i="8" s="1"/>
  <c r="T46" i="8" s="1"/>
  <c r="L45" i="8"/>
  <c r="S77" i="8"/>
  <c r="T77" i="8" s="1"/>
  <c r="R80" i="8"/>
  <c r="O79" i="8"/>
  <c r="R79" i="8" s="1"/>
  <c r="R91" i="8"/>
  <c r="Q90" i="8"/>
  <c r="E101" i="8"/>
  <c r="J101" i="8" s="1"/>
  <c r="L111" i="8"/>
  <c r="E126" i="8"/>
  <c r="J126" i="8" s="1"/>
  <c r="T126" i="8" s="1"/>
  <c r="B125" i="8"/>
  <c r="E125" i="8" s="1"/>
  <c r="R125" i="8"/>
  <c r="S133" i="8"/>
  <c r="T134" i="8"/>
  <c r="L137" i="8"/>
  <c r="T153" i="8"/>
  <c r="N69" i="8"/>
  <c r="S69" i="8" s="1"/>
  <c r="O71" i="8"/>
  <c r="R71" i="8" s="1"/>
  <c r="R73" i="8"/>
  <c r="S73" i="8" s="1"/>
  <c r="R98" i="8"/>
  <c r="S98" i="8" s="1"/>
  <c r="O96" i="8"/>
  <c r="E118" i="8"/>
  <c r="I34" i="8"/>
  <c r="J34" i="8" s="1"/>
  <c r="T34" i="8" s="1"/>
  <c r="R47" i="8"/>
  <c r="S47" i="8" s="1"/>
  <c r="T50" i="8"/>
  <c r="B56" i="8"/>
  <c r="E56" i="8" s="1"/>
  <c r="F64" i="8"/>
  <c r="I64" i="8" s="1"/>
  <c r="D71" i="8"/>
  <c r="R106" i="8"/>
  <c r="C118" i="8"/>
  <c r="E128" i="8"/>
  <c r="T147" i="8"/>
  <c r="N21" i="8"/>
  <c r="S21" i="8" s="1"/>
  <c r="T21" i="8" s="1"/>
  <c r="F25" i="8"/>
  <c r="I25" i="8" s="1"/>
  <c r="G33" i="8"/>
  <c r="C33" i="8"/>
  <c r="E33" i="8" s="1"/>
  <c r="E35" i="8"/>
  <c r="J35" i="8" s="1"/>
  <c r="T35" i="8" s="1"/>
  <c r="R52" i="8"/>
  <c r="I68" i="8"/>
  <c r="J68" i="8" s="1"/>
  <c r="T68" i="8" s="1"/>
  <c r="C71" i="8"/>
  <c r="J82" i="8"/>
  <c r="T82" i="8" s="1"/>
  <c r="D90" i="8"/>
  <c r="E90" i="8" s="1"/>
  <c r="J90" i="8" s="1"/>
  <c r="T90" i="8" s="1"/>
  <c r="R93" i="8"/>
  <c r="S93" i="8" s="1"/>
  <c r="I97" i="8"/>
  <c r="J97" i="8" s="1"/>
  <c r="T97" i="8" s="1"/>
  <c r="R119" i="8"/>
  <c r="S119" i="8" s="1"/>
  <c r="O118" i="8"/>
  <c r="T122" i="8"/>
  <c r="I128" i="8"/>
  <c r="I132" i="8"/>
  <c r="J132" i="8" s="1"/>
  <c r="I40" i="8"/>
  <c r="O45" i="8"/>
  <c r="R45" i="8" s="1"/>
  <c r="R46" i="8"/>
  <c r="B64" i="8"/>
  <c r="E64" i="8" s="1"/>
  <c r="J64" i="8" s="1"/>
  <c r="E67" i="8"/>
  <c r="J67" i="8" s="1"/>
  <c r="T67" i="8" s="1"/>
  <c r="N57" i="8"/>
  <c r="S57" i="8" s="1"/>
  <c r="K56" i="8"/>
  <c r="N56" i="8" s="1"/>
  <c r="C7" i="8"/>
  <c r="S15" i="8"/>
  <c r="T15" i="8" s="1"/>
  <c r="S26" i="8"/>
  <c r="F33" i="8"/>
  <c r="I35" i="8"/>
  <c r="B45" i="8"/>
  <c r="E45" i="8" s="1"/>
  <c r="J47" i="8"/>
  <c r="N48" i="8"/>
  <c r="O56" i="8"/>
  <c r="L56" i="8"/>
  <c r="D96" i="8"/>
  <c r="E114" i="8"/>
  <c r="J114" i="8" s="1"/>
  <c r="T114" i="8" s="1"/>
  <c r="T119" i="8"/>
  <c r="Q118" i="8"/>
  <c r="N120" i="8"/>
  <c r="S120" i="8" s="1"/>
  <c r="L118" i="8"/>
  <c r="S121" i="8"/>
  <c r="T121" i="8" s="1"/>
  <c r="J139" i="8"/>
  <c r="T139" i="8" s="1"/>
  <c r="J140" i="8"/>
  <c r="T140" i="8" s="1"/>
  <c r="R133" i="8"/>
  <c r="O131" i="8"/>
  <c r="R131" i="8" s="1"/>
  <c r="R26" i="8"/>
  <c r="T17" i="8"/>
  <c r="G96" i="8"/>
  <c r="Q7" i="8"/>
  <c r="J29" i="8"/>
  <c r="T29" i="8" s="1"/>
  <c r="K33" i="8"/>
  <c r="J52" i="8"/>
  <c r="T62" i="8"/>
  <c r="H71" i="8"/>
  <c r="N80" i="8"/>
  <c r="K79" i="8"/>
  <c r="N79" i="8" s="1"/>
  <c r="H79" i="8"/>
  <c r="O86" i="8"/>
  <c r="R86" i="8" s="1"/>
  <c r="S86" i="8" s="1"/>
  <c r="T86" i="8" s="1"/>
  <c r="R87" i="8"/>
  <c r="S87" i="8" s="1"/>
  <c r="M90" i="8"/>
  <c r="T92" i="8"/>
  <c r="K96" i="8"/>
  <c r="N97" i="8"/>
  <c r="S97" i="8" s="1"/>
  <c r="O104" i="8"/>
  <c r="R104" i="8" s="1"/>
  <c r="T107" i="8"/>
  <c r="I125" i="8"/>
  <c r="L125" i="8"/>
  <c r="F137" i="8"/>
  <c r="I137" i="8" s="1"/>
  <c r="I139" i="8"/>
  <c r="R90" i="8"/>
  <c r="P96" i="8"/>
  <c r="L7" i="8"/>
  <c r="E26" i="8"/>
  <c r="J26" i="8" s="1"/>
  <c r="E112" i="8"/>
  <c r="J112" i="8" s="1"/>
  <c r="T112" i="8" s="1"/>
  <c r="B111" i="8"/>
  <c r="E111" i="8" s="1"/>
  <c r="B131" i="8"/>
  <c r="E131" i="8" s="1"/>
  <c r="E133" i="8"/>
  <c r="J133" i="8" s="1"/>
  <c r="T133" i="8" s="1"/>
  <c r="O7" i="8"/>
  <c r="N74" i="8"/>
  <c r="S74" i="8" s="1"/>
  <c r="F79" i="8"/>
  <c r="J104" i="8"/>
  <c r="P118" i="8"/>
  <c r="E8" i="8"/>
  <c r="J8" i="8" s="1"/>
  <c r="R8" i="8"/>
  <c r="S8" i="8" s="1"/>
  <c r="N16" i="8"/>
  <c r="S16" i="8" s="1"/>
  <c r="N25" i="8"/>
  <c r="I36" i="8"/>
  <c r="J36" i="8" s="1"/>
  <c r="T36" i="8" s="1"/>
  <c r="E41" i="8"/>
  <c r="J41" i="8" s="1"/>
  <c r="T41" i="8" s="1"/>
  <c r="G45" i="8"/>
  <c r="I51" i="8"/>
  <c r="J51" i="8" s="1"/>
  <c r="T51" i="8" s="1"/>
  <c r="E53" i="8"/>
  <c r="J53" i="8" s="1"/>
  <c r="T53" i="8" s="1"/>
  <c r="N62" i="8"/>
  <c r="S62" i="8" s="1"/>
  <c r="M64" i="8"/>
  <c r="L79" i="8"/>
  <c r="I81" i="8"/>
  <c r="T83" i="8"/>
  <c r="F96" i="8"/>
  <c r="I96" i="8" s="1"/>
  <c r="J99" i="8"/>
  <c r="T99" i="8" s="1"/>
  <c r="N105" i="8"/>
  <c r="S105" i="8" s="1"/>
  <c r="I123" i="8"/>
  <c r="J123" i="8" s="1"/>
  <c r="M125" i="8"/>
  <c r="R35" i="8"/>
  <c r="O33" i="8"/>
  <c r="E57" i="8"/>
  <c r="J57" i="8" s="1"/>
  <c r="D56" i="8"/>
  <c r="J84" i="8"/>
  <c r="T84" i="8" s="1"/>
  <c r="F90" i="8"/>
  <c r="I90" i="8" s="1"/>
  <c r="I91" i="8"/>
  <c r="J91" i="8" s="1"/>
  <c r="T91" i="8" s="1"/>
  <c r="B7" i="8"/>
  <c r="F7" i="8"/>
  <c r="O25" i="8"/>
  <c r="F39" i="8"/>
  <c r="I39" i="8" s="1"/>
  <c r="R66" i="8"/>
  <c r="O64" i="8"/>
  <c r="S67" i="8"/>
  <c r="N76" i="8"/>
  <c r="S76" i="8" s="1"/>
  <c r="T76" i="8" s="1"/>
  <c r="M79" i="8"/>
  <c r="S101" i="8"/>
  <c r="N113" i="8"/>
  <c r="N138" i="8"/>
  <c r="S138" i="8" s="1"/>
  <c r="T138" i="8" s="1"/>
  <c r="K137" i="8"/>
  <c r="S22" i="8"/>
  <c r="T22" i="8" s="1"/>
  <c r="B25" i="8"/>
  <c r="E25" i="8" s="1"/>
  <c r="D33" i="8"/>
  <c r="N35" i="8"/>
  <c r="S35" i="8" s="1"/>
  <c r="R61" i="8"/>
  <c r="S61" i="8" s="1"/>
  <c r="T61" i="8" s="1"/>
  <c r="N66" i="8"/>
  <c r="S66" i="8" s="1"/>
  <c r="T66" i="8" s="1"/>
  <c r="R72" i="8"/>
  <c r="S72" i="8" s="1"/>
  <c r="T72" i="8" s="1"/>
  <c r="R75" i="8"/>
  <c r="N91" i="8"/>
  <c r="S91" i="8" s="1"/>
  <c r="L96" i="8"/>
  <c r="F131" i="8"/>
  <c r="I131" i="8" s="1"/>
  <c r="S135" i="8"/>
  <c r="I141" i="8"/>
  <c r="K90" i="8"/>
  <c r="N90" i="8" s="1"/>
  <c r="S90" i="8" s="1"/>
  <c r="I93" i="8"/>
  <c r="E98" i="8"/>
  <c r="J98" i="8" s="1"/>
  <c r="N109" i="8"/>
  <c r="S109" i="8" s="1"/>
  <c r="T109" i="8" s="1"/>
  <c r="N123" i="8"/>
  <c r="S123" i="8" s="1"/>
  <c r="M137" i="8"/>
  <c r="I37" i="8"/>
  <c r="J37" i="8" s="1"/>
  <c r="T37" i="8" s="1"/>
  <c r="H45" i="8"/>
  <c r="H145" i="8" s="1"/>
  <c r="H151" i="8" s="1"/>
  <c r="H155" i="8" s="1"/>
  <c r="R48" i="8"/>
  <c r="Q56" i="8"/>
  <c r="E69" i="8"/>
  <c r="J69" i="8" s="1"/>
  <c r="T69" i="8" s="1"/>
  <c r="N84" i="8"/>
  <c r="S84" i="8" s="1"/>
  <c r="E94" i="8"/>
  <c r="J94" i="8" s="1"/>
  <c r="T94" i="8" s="1"/>
  <c r="G111" i="8"/>
  <c r="I111" i="8" s="1"/>
  <c r="R115" i="8"/>
  <c r="S115" i="8" s="1"/>
  <c r="T115" i="8" s="1"/>
  <c r="G125" i="8"/>
  <c r="R129" i="8"/>
  <c r="K131" i="8"/>
  <c r="N131" i="8" s="1"/>
  <c r="S131" i="8" s="1"/>
  <c r="R138" i="8"/>
  <c r="M33" i="8"/>
  <c r="B39" i="8"/>
  <c r="E39" i="8" s="1"/>
  <c r="J39" i="8" s="1"/>
  <c r="B79" i="8"/>
  <c r="E79" i="8" s="1"/>
  <c r="N92" i="8"/>
  <c r="S92" i="8" s="1"/>
  <c r="K104" i="8"/>
  <c r="N104" i="8" s="1"/>
  <c r="K118" i="8"/>
  <c r="G25" i="8"/>
  <c r="M71" i="8"/>
  <c r="I73" i="8"/>
  <c r="J73" i="8" s="1"/>
  <c r="T73" i="8" s="1"/>
  <c r="I87" i="8"/>
  <c r="J87" i="8" s="1"/>
  <c r="T87" i="8" s="1"/>
  <c r="B96" i="8"/>
  <c r="E96" i="8" s="1"/>
  <c r="R113" i="8"/>
  <c r="R127" i="8"/>
  <c r="S127" i="8" s="1"/>
  <c r="N132" i="8"/>
  <c r="S132" i="8" s="1"/>
  <c r="G137" i="8"/>
  <c r="J141" i="8"/>
  <c r="T141" i="8" s="1"/>
  <c r="I23" i="8"/>
  <c r="J23" i="8" s="1"/>
  <c r="T23" i="8" s="1"/>
  <c r="R30" i="8"/>
  <c r="S30" i="8" s="1"/>
  <c r="T30" i="8" s="1"/>
  <c r="R34" i="8"/>
  <c r="S34" i="8" s="1"/>
  <c r="N37" i="8"/>
  <c r="S37" i="8" s="1"/>
  <c r="Q39" i="8"/>
  <c r="R39" i="8" s="1"/>
  <c r="S39" i="8" s="1"/>
  <c r="F45" i="8"/>
  <c r="I48" i="8"/>
  <c r="J48" i="8" s="1"/>
  <c r="N52" i="8"/>
  <c r="S52" i="8" s="1"/>
  <c r="B71" i="8"/>
  <c r="E71" i="8" s="1"/>
  <c r="J71" i="8" s="1"/>
  <c r="T71" i="8" s="1"/>
  <c r="F104" i="8"/>
  <c r="I104" i="8" s="1"/>
  <c r="K111" i="8"/>
  <c r="F118" i="8"/>
  <c r="I118" i="8" s="1"/>
  <c r="K125" i="8"/>
  <c r="B137" i="8"/>
  <c r="E137" i="8" s="1"/>
  <c r="E28" i="8"/>
  <c r="J28" i="8" s="1"/>
  <c r="T28" i="8" s="1"/>
  <c r="P33" i="8"/>
  <c r="E40" i="8"/>
  <c r="J40" i="8" s="1"/>
  <c r="T40" i="8" s="1"/>
  <c r="H56" i="8"/>
  <c r="I56" i="8" s="1"/>
  <c r="R58" i="8"/>
  <c r="S58" i="8" s="1"/>
  <c r="T58" i="8" s="1"/>
  <c r="P64" i="8"/>
  <c r="P145" i="8" s="1"/>
  <c r="P151" i="8" s="1"/>
  <c r="P155" i="8" s="1"/>
  <c r="E81" i="8"/>
  <c r="J81" i="8" s="1"/>
  <c r="T81" i="8" s="1"/>
  <c r="E102" i="8"/>
  <c r="J102" i="8" s="1"/>
  <c r="T102" i="8" s="1"/>
  <c r="N106" i="8"/>
  <c r="I113" i="8"/>
  <c r="J113" i="8" s="1"/>
  <c r="M118" i="8"/>
  <c r="I127" i="8"/>
  <c r="J127" i="8" s="1"/>
  <c r="S39" i="7"/>
  <c r="T75" i="7"/>
  <c r="T51" i="7"/>
  <c r="T17" i="7"/>
  <c r="J113" i="7"/>
  <c r="T113" i="7" s="1"/>
  <c r="R138" i="7"/>
  <c r="S138" i="7" s="1"/>
  <c r="O137" i="7"/>
  <c r="R137" i="7" s="1"/>
  <c r="K45" i="7"/>
  <c r="N45" i="7" s="1"/>
  <c r="T15" i="7"/>
  <c r="S67" i="7"/>
  <c r="G118" i="7"/>
  <c r="I119" i="7"/>
  <c r="T8" i="7"/>
  <c r="T28" i="7"/>
  <c r="T73" i="7"/>
  <c r="B64" i="7"/>
  <c r="E67" i="7"/>
  <c r="J67" i="7" s="1"/>
  <c r="T67" i="7" s="1"/>
  <c r="B118" i="7"/>
  <c r="E118" i="7" s="1"/>
  <c r="J118" i="7" s="1"/>
  <c r="T118" i="7" s="1"/>
  <c r="B7" i="7"/>
  <c r="J31" i="7"/>
  <c r="T36" i="7"/>
  <c r="F45" i="7"/>
  <c r="I46" i="7"/>
  <c r="T106" i="7"/>
  <c r="J116" i="7"/>
  <c r="T116" i="7" s="1"/>
  <c r="C7" i="7"/>
  <c r="T42" i="7"/>
  <c r="G45" i="7"/>
  <c r="S52" i="7"/>
  <c r="T52" i="7" s="1"/>
  <c r="S54" i="7"/>
  <c r="J62" i="7"/>
  <c r="T62" i="7" s="1"/>
  <c r="R82" i="7"/>
  <c r="S82" i="7" s="1"/>
  <c r="O79" i="7"/>
  <c r="R87" i="7"/>
  <c r="S87" i="7" s="1"/>
  <c r="O86" i="7"/>
  <c r="R86" i="7" s="1"/>
  <c r="T93" i="7"/>
  <c r="S118" i="7"/>
  <c r="J132" i="7"/>
  <c r="T132" i="7" s="1"/>
  <c r="J141" i="7"/>
  <c r="J46" i="7"/>
  <c r="T46" i="7" s="1"/>
  <c r="G64" i="7"/>
  <c r="R93" i="7"/>
  <c r="S93" i="7" s="1"/>
  <c r="D7" i="7"/>
  <c r="N9" i="7"/>
  <c r="S9" i="7" s="1"/>
  <c r="K7" i="7"/>
  <c r="K25" i="7"/>
  <c r="N34" i="7"/>
  <c r="S34" i="7" s="1"/>
  <c r="H45" i="7"/>
  <c r="N58" i="7"/>
  <c r="S58" i="7" s="1"/>
  <c r="I65" i="7"/>
  <c r="S72" i="7"/>
  <c r="E87" i="7"/>
  <c r="J87" i="7" s="1"/>
  <c r="B86" i="7"/>
  <c r="E86" i="7" s="1"/>
  <c r="I92" i="7"/>
  <c r="F90" i="7"/>
  <c r="I90" i="7" s="1"/>
  <c r="K104" i="7"/>
  <c r="N104" i="7" s="1"/>
  <c r="N105" i="7"/>
  <c r="S105" i="7" s="1"/>
  <c r="R127" i="7"/>
  <c r="P125" i="7"/>
  <c r="R125" i="7" s="1"/>
  <c r="J133" i="7"/>
  <c r="T133" i="7" s="1"/>
  <c r="S10" i="7"/>
  <c r="T10" i="7" s="1"/>
  <c r="F25" i="7"/>
  <c r="I25" i="7" s="1"/>
  <c r="I26" i="7"/>
  <c r="T50" i="7"/>
  <c r="J81" i="7"/>
  <c r="E84" i="7"/>
  <c r="J84" i="7" s="1"/>
  <c r="T84" i="7" s="1"/>
  <c r="T121" i="7"/>
  <c r="B137" i="7"/>
  <c r="E137" i="7" s="1"/>
  <c r="E138" i="7"/>
  <c r="J138" i="7" s="1"/>
  <c r="S141" i="7"/>
  <c r="E131" i="7"/>
  <c r="R48" i="7"/>
  <c r="S48" i="7" s="1"/>
  <c r="E98" i="7"/>
  <c r="C96" i="7"/>
  <c r="J122" i="7"/>
  <c r="T9" i="7"/>
  <c r="J35" i="7"/>
  <c r="T35" i="7" s="1"/>
  <c r="N42" i="7"/>
  <c r="S42" i="7" s="1"/>
  <c r="T54" i="7"/>
  <c r="D96" i="7"/>
  <c r="J125" i="7"/>
  <c r="J11" i="7"/>
  <c r="T11" i="7" s="1"/>
  <c r="R42" i="7"/>
  <c r="O39" i="7"/>
  <c r="R39" i="7" s="1"/>
  <c r="L86" i="7"/>
  <c r="N86" i="7" s="1"/>
  <c r="N88" i="7"/>
  <c r="F7" i="7"/>
  <c r="M7" i="7"/>
  <c r="L7" i="7"/>
  <c r="J13" i="7"/>
  <c r="T13" i="7" s="1"/>
  <c r="N21" i="7"/>
  <c r="S21" i="7" s="1"/>
  <c r="T21" i="7" s="1"/>
  <c r="S22" i="7"/>
  <c r="T22" i="7" s="1"/>
  <c r="Q25" i="7"/>
  <c r="S28" i="7"/>
  <c r="M33" i="7"/>
  <c r="T40" i="7"/>
  <c r="S53" i="7"/>
  <c r="R58" i="7"/>
  <c r="O56" i="7"/>
  <c r="R56" i="7" s="1"/>
  <c r="S77" i="7"/>
  <c r="T77" i="7" s="1"/>
  <c r="Q79" i="7"/>
  <c r="R81" i="7"/>
  <c r="S81" i="7" s="1"/>
  <c r="E96" i="7"/>
  <c r="J96" i="7" s="1"/>
  <c r="T142" i="7"/>
  <c r="T153" i="7"/>
  <c r="O7" i="7"/>
  <c r="R8" i="7"/>
  <c r="J26" i="7"/>
  <c r="E114" i="7"/>
  <c r="J114" i="7" s="1"/>
  <c r="T114" i="7" s="1"/>
  <c r="T120" i="7"/>
  <c r="T115" i="7"/>
  <c r="E47" i="7"/>
  <c r="J47" i="7" s="1"/>
  <c r="B45" i="7"/>
  <c r="E45" i="7" s="1"/>
  <c r="R67" i="7"/>
  <c r="O64" i="7"/>
  <c r="R99" i="7"/>
  <c r="S99" i="7" s="1"/>
  <c r="S17" i="7"/>
  <c r="T30" i="7"/>
  <c r="S132" i="7"/>
  <c r="T48" i="7"/>
  <c r="F71" i="7"/>
  <c r="I72" i="7"/>
  <c r="E99" i="7"/>
  <c r="J99" i="7" s="1"/>
  <c r="T99" i="7" s="1"/>
  <c r="B104" i="7"/>
  <c r="E109" i="7"/>
  <c r="J109" i="7" s="1"/>
  <c r="T109" i="7" s="1"/>
  <c r="F125" i="7"/>
  <c r="I125" i="7" s="1"/>
  <c r="R132" i="7"/>
  <c r="O131" i="7"/>
  <c r="R131" i="7" s="1"/>
  <c r="N8" i="7"/>
  <c r="S8" i="7" s="1"/>
  <c r="R26" i="7"/>
  <c r="S26" i="7" s="1"/>
  <c r="M25" i="7"/>
  <c r="K33" i="7"/>
  <c r="N33" i="7" s="1"/>
  <c r="D45" i="7"/>
  <c r="T49" i="7"/>
  <c r="K64" i="7"/>
  <c r="N64" i="7" s="1"/>
  <c r="J80" i="7"/>
  <c r="T80" i="7" s="1"/>
  <c r="F96" i="7"/>
  <c r="I96" i="7" s="1"/>
  <c r="J101" i="7"/>
  <c r="T101" i="7" s="1"/>
  <c r="E135" i="7"/>
  <c r="J135" i="7" s="1"/>
  <c r="T135" i="7" s="1"/>
  <c r="K125" i="7"/>
  <c r="N126" i="7"/>
  <c r="S126" i="7" s="1"/>
  <c r="H7" i="7"/>
  <c r="C64" i="7"/>
  <c r="E65" i="7"/>
  <c r="J65" i="7" s="1"/>
  <c r="T65" i="7" s="1"/>
  <c r="H71" i="7"/>
  <c r="B79" i="7"/>
  <c r="E79" i="7" s="1"/>
  <c r="B90" i="7"/>
  <c r="E90" i="7" s="1"/>
  <c r="J90" i="7" s="1"/>
  <c r="R97" i="7"/>
  <c r="S107" i="7"/>
  <c r="L125" i="7"/>
  <c r="K131" i="7"/>
  <c r="G131" i="7"/>
  <c r="I131" i="7" s="1"/>
  <c r="K137" i="7"/>
  <c r="F137" i="7"/>
  <c r="I137" i="7" s="1"/>
  <c r="J140" i="7"/>
  <c r="T140" i="7" s="1"/>
  <c r="J149" i="7"/>
  <c r="M111" i="7"/>
  <c r="H39" i="7"/>
  <c r="E58" i="7"/>
  <c r="J58" i="7" s="1"/>
  <c r="B56" i="7"/>
  <c r="E56" i="7" s="1"/>
  <c r="J82" i="7"/>
  <c r="T82" i="7" s="1"/>
  <c r="N97" i="7"/>
  <c r="S97" i="7" s="1"/>
  <c r="O118" i="7"/>
  <c r="R118" i="7" s="1"/>
  <c r="L90" i="7"/>
  <c r="F104" i="7"/>
  <c r="I104" i="7" s="1"/>
  <c r="I107" i="7"/>
  <c r="J107" i="7" s="1"/>
  <c r="T107" i="7" s="1"/>
  <c r="F111" i="7"/>
  <c r="I111" i="7" s="1"/>
  <c r="I112" i="7"/>
  <c r="J112" i="7" s="1"/>
  <c r="T112" i="7" s="1"/>
  <c r="I132" i="7"/>
  <c r="B25" i="7"/>
  <c r="B33" i="7"/>
  <c r="E33" i="7" s="1"/>
  <c r="J33" i="7" s="1"/>
  <c r="S66" i="7"/>
  <c r="I105" i="7"/>
  <c r="J105" i="7" s="1"/>
  <c r="T105" i="7" s="1"/>
  <c r="J119" i="7"/>
  <c r="T119" i="7" s="1"/>
  <c r="L131" i="7"/>
  <c r="S139" i="7"/>
  <c r="T139" i="7" s="1"/>
  <c r="S31" i="7"/>
  <c r="I56" i="7"/>
  <c r="K79" i="7"/>
  <c r="N79" i="7" s="1"/>
  <c r="F79" i="7"/>
  <c r="I79" i="7" s="1"/>
  <c r="R31" i="7"/>
  <c r="I67" i="7"/>
  <c r="F64" i="7"/>
  <c r="J88" i="7"/>
  <c r="M90" i="7"/>
  <c r="B111" i="7"/>
  <c r="E111" i="7" s="1"/>
  <c r="S29" i="7"/>
  <c r="T29" i="7" s="1"/>
  <c r="P45" i="7"/>
  <c r="N91" i="7"/>
  <c r="S91" i="7" s="1"/>
  <c r="T91" i="7" s="1"/>
  <c r="G7" i="7"/>
  <c r="G145" i="7" s="1"/>
  <c r="G151" i="7" s="1"/>
  <c r="G155" i="7" s="1"/>
  <c r="Q33" i="7"/>
  <c r="R33" i="7" s="1"/>
  <c r="G71" i="7"/>
  <c r="I81" i="7"/>
  <c r="C25" i="7"/>
  <c r="O25" i="7"/>
  <c r="R29" i="7"/>
  <c r="B39" i="7"/>
  <c r="E39" i="7" s="1"/>
  <c r="R47" i="7"/>
  <c r="S47" i="7" s="1"/>
  <c r="O45" i="7"/>
  <c r="R45" i="7" s="1"/>
  <c r="I53" i="7"/>
  <c r="J53" i="7" s="1"/>
  <c r="T53" i="7" s="1"/>
  <c r="E60" i="7"/>
  <c r="J60" i="7" s="1"/>
  <c r="T60" i="7" s="1"/>
  <c r="E66" i="7"/>
  <c r="J66" i="7" s="1"/>
  <c r="R66" i="7"/>
  <c r="B71" i="7"/>
  <c r="E72" i="7"/>
  <c r="E92" i="7"/>
  <c r="J92" i="7" s="1"/>
  <c r="T92" i="7" s="1"/>
  <c r="I97" i="7"/>
  <c r="J97" i="7" s="1"/>
  <c r="T97" i="7" s="1"/>
  <c r="Q96" i="7"/>
  <c r="R96" i="7" s="1"/>
  <c r="R98" i="7"/>
  <c r="S98" i="7" s="1"/>
  <c r="O104" i="7"/>
  <c r="R104" i="7" s="1"/>
  <c r="D104" i="7"/>
  <c r="K111" i="7"/>
  <c r="N111" i="7" s="1"/>
  <c r="S111" i="7" s="1"/>
  <c r="N112" i="7"/>
  <c r="S112" i="7" s="1"/>
  <c r="M131" i="7"/>
  <c r="R141" i="7"/>
  <c r="J61" i="7"/>
  <c r="T61" i="7" s="1"/>
  <c r="D64" i="7"/>
  <c r="Q64" i="7"/>
  <c r="M125" i="7"/>
  <c r="S129" i="7"/>
  <c r="T129" i="7" s="1"/>
  <c r="P7" i="7"/>
  <c r="G39" i="7"/>
  <c r="G86" i="7"/>
  <c r="I86" i="7" s="1"/>
  <c r="K96" i="7"/>
  <c r="N96" i="7" s="1"/>
  <c r="N127" i="7"/>
  <c r="Q7" i="7"/>
  <c r="F33" i="7"/>
  <c r="I33" i="7" s="1"/>
  <c r="I34" i="7"/>
  <c r="J34" i="7" s="1"/>
  <c r="T34" i="7" s="1"/>
  <c r="E41" i="7"/>
  <c r="J41" i="7" s="1"/>
  <c r="T41" i="7" s="1"/>
  <c r="N51" i="7"/>
  <c r="S51" i="7" s="1"/>
  <c r="N57" i="7"/>
  <c r="S57" i="7" s="1"/>
  <c r="T57" i="7" s="1"/>
  <c r="K56" i="7"/>
  <c r="N56" i="7" s="1"/>
  <c r="S56" i="7" s="1"/>
  <c r="E59" i="7"/>
  <c r="J59" i="7" s="1"/>
  <c r="T59" i="7" s="1"/>
  <c r="E68" i="7"/>
  <c r="J68" i="7" s="1"/>
  <c r="T68" i="7" s="1"/>
  <c r="H86" i="7"/>
  <c r="R88" i="7"/>
  <c r="R92" i="7"/>
  <c r="S92" i="7" s="1"/>
  <c r="L96" i="7"/>
  <c r="I98" i="7"/>
  <c r="N114" i="7"/>
  <c r="S114" i="7" s="1"/>
  <c r="F118" i="7"/>
  <c r="I118" i="7" s="1"/>
  <c r="E126" i="7"/>
  <c r="J126" i="7" s="1"/>
  <c r="R149" i="7"/>
  <c r="S149" i="7" s="1"/>
  <c r="N43" i="7"/>
  <c r="S43" i="7" s="1"/>
  <c r="T43" i="7" s="1"/>
  <c r="C71" i="7"/>
  <c r="O71" i="7"/>
  <c r="R71" i="7" s="1"/>
  <c r="S71" i="7" s="1"/>
  <c r="I83" i="7"/>
  <c r="J83" i="7" s="1"/>
  <c r="T83" i="7" s="1"/>
  <c r="K90" i="7"/>
  <c r="N90" i="7" s="1"/>
  <c r="S90" i="7" s="1"/>
  <c r="E102" i="7"/>
  <c r="J102" i="7" s="1"/>
  <c r="T102" i="7" s="1"/>
  <c r="I113" i="7"/>
  <c r="Q118" i="7"/>
  <c r="I141" i="7"/>
  <c r="F39" i="7"/>
  <c r="R52" i="7"/>
  <c r="M79" i="7"/>
  <c r="N122" i="7"/>
  <c r="S122" i="7" s="1"/>
  <c r="M137" i="7"/>
  <c r="S102" i="6"/>
  <c r="T48" i="6"/>
  <c r="J99" i="6"/>
  <c r="T99" i="6" s="1"/>
  <c r="T116" i="6"/>
  <c r="K145" i="6"/>
  <c r="T147" i="6"/>
  <c r="R28" i="6"/>
  <c r="S28" i="6" s="1"/>
  <c r="T28" i="6" s="1"/>
  <c r="O25" i="6"/>
  <c r="R80" i="6"/>
  <c r="O79" i="6"/>
  <c r="R79" i="6" s="1"/>
  <c r="F96" i="6"/>
  <c r="I101" i="6"/>
  <c r="R119" i="6"/>
  <c r="S119" i="6" s="1"/>
  <c r="T14" i="6"/>
  <c r="E119" i="6"/>
  <c r="R127" i="6"/>
  <c r="S127" i="6" s="1"/>
  <c r="R36" i="6"/>
  <c r="O33" i="6"/>
  <c r="R33" i="6" s="1"/>
  <c r="T76" i="6"/>
  <c r="S8" i="6"/>
  <c r="E18" i="6"/>
  <c r="J18" i="6" s="1"/>
  <c r="T18" i="6" s="1"/>
  <c r="K25" i="6"/>
  <c r="R45" i="6"/>
  <c r="S46" i="6"/>
  <c r="E65" i="6"/>
  <c r="J65" i="6" s="1"/>
  <c r="E66" i="6"/>
  <c r="J66" i="6" s="1"/>
  <c r="B64" i="6"/>
  <c r="E64" i="6" s="1"/>
  <c r="Q71" i="6"/>
  <c r="S75" i="6"/>
  <c r="T75" i="6" s="1"/>
  <c r="J84" i="6"/>
  <c r="T84" i="6" s="1"/>
  <c r="E139" i="6"/>
  <c r="R139" i="6"/>
  <c r="T149" i="6"/>
  <c r="T19" i="6"/>
  <c r="T141" i="6"/>
  <c r="T67" i="6"/>
  <c r="J8" i="6"/>
  <c r="E39" i="6"/>
  <c r="B79" i="6"/>
  <c r="E79" i="6" s="1"/>
  <c r="E80" i="6"/>
  <c r="J80" i="6" s="1"/>
  <c r="G118" i="6"/>
  <c r="I126" i="6"/>
  <c r="J126" i="6" s="1"/>
  <c r="T121" i="6"/>
  <c r="I8" i="6"/>
  <c r="G7" i="6"/>
  <c r="S20" i="6"/>
  <c r="F33" i="6"/>
  <c r="I33" i="6" s="1"/>
  <c r="I34" i="6"/>
  <c r="K56" i="6"/>
  <c r="N56" i="6" s="1"/>
  <c r="S58" i="6"/>
  <c r="T58" i="6" s="1"/>
  <c r="R65" i="6"/>
  <c r="S65" i="6" s="1"/>
  <c r="T50" i="6"/>
  <c r="R91" i="6"/>
  <c r="N120" i="6"/>
  <c r="S120" i="6" s="1"/>
  <c r="T120" i="6" s="1"/>
  <c r="K118" i="6"/>
  <c r="N118" i="6" s="1"/>
  <c r="O7" i="6"/>
  <c r="R102" i="6"/>
  <c r="O96" i="6"/>
  <c r="G104" i="6"/>
  <c r="I107" i="6"/>
  <c r="T102" i="6"/>
  <c r="B125" i="6"/>
  <c r="E125" i="6" s="1"/>
  <c r="J125" i="6" s="1"/>
  <c r="E127" i="6"/>
  <c r="J127" i="6" s="1"/>
  <c r="N36" i="6"/>
  <c r="L104" i="6"/>
  <c r="N106" i="6"/>
  <c r="S106" i="6" s="1"/>
  <c r="J9" i="6"/>
  <c r="T9" i="6" s="1"/>
  <c r="T81" i="6"/>
  <c r="N88" i="6"/>
  <c r="S88" i="6" s="1"/>
  <c r="T88" i="6" s="1"/>
  <c r="T22" i="6"/>
  <c r="J41" i="6"/>
  <c r="T41" i="6" s="1"/>
  <c r="G56" i="6"/>
  <c r="I56" i="6" s="1"/>
  <c r="T82" i="6"/>
  <c r="I112" i="6"/>
  <c r="F111" i="6"/>
  <c r="T135" i="6"/>
  <c r="J30" i="6"/>
  <c r="I87" i="6"/>
  <c r="T114" i="6"/>
  <c r="B45" i="6"/>
  <c r="E45" i="6" s="1"/>
  <c r="J91" i="6"/>
  <c r="T91" i="6" s="1"/>
  <c r="T113" i="6"/>
  <c r="K125" i="6"/>
  <c r="N126" i="6"/>
  <c r="S126" i="6" s="1"/>
  <c r="R132" i="6"/>
  <c r="O131" i="6"/>
  <c r="Q45" i="6"/>
  <c r="S50" i="6"/>
  <c r="S51" i="6"/>
  <c r="T51" i="6" s="1"/>
  <c r="J60" i="6"/>
  <c r="T60" i="6" s="1"/>
  <c r="F90" i="6"/>
  <c r="I90" i="6" s="1"/>
  <c r="B90" i="6"/>
  <c r="E90" i="6" s="1"/>
  <c r="J90" i="6" s="1"/>
  <c r="P90" i="6"/>
  <c r="R90" i="6" s="1"/>
  <c r="I104" i="6"/>
  <c r="L111" i="6"/>
  <c r="N112" i="6"/>
  <c r="S112" i="6" s="1"/>
  <c r="J132" i="6"/>
  <c r="S133" i="6"/>
  <c r="T133" i="6" s="1"/>
  <c r="R141" i="6"/>
  <c r="S141" i="6" s="1"/>
  <c r="S17" i="6"/>
  <c r="T17" i="6" s="1"/>
  <c r="E26" i="6"/>
  <c r="J26" i="6" s="1"/>
  <c r="T26" i="6" s="1"/>
  <c r="R30" i="6"/>
  <c r="P39" i="6"/>
  <c r="E46" i="6"/>
  <c r="J46" i="6" s="1"/>
  <c r="T46" i="6" s="1"/>
  <c r="I53" i="6"/>
  <c r="J53" i="6" s="1"/>
  <c r="T53" i="6" s="1"/>
  <c r="G79" i="6"/>
  <c r="C90" i="6"/>
  <c r="L96" i="6"/>
  <c r="N97" i="6"/>
  <c r="S97" i="6" s="1"/>
  <c r="I99" i="6"/>
  <c r="B104" i="6"/>
  <c r="M111" i="6"/>
  <c r="N138" i="6"/>
  <c r="S138" i="6" s="1"/>
  <c r="K137" i="6"/>
  <c r="I153" i="6"/>
  <c r="J153" i="6" s="1"/>
  <c r="T153" i="6" s="1"/>
  <c r="I15" i="6"/>
  <c r="J15" i="6" s="1"/>
  <c r="T15" i="6" s="1"/>
  <c r="Q25" i="6"/>
  <c r="Q145" i="6" s="1"/>
  <c r="Q151" i="6" s="1"/>
  <c r="Q155" i="6" s="1"/>
  <c r="R34" i="6"/>
  <c r="S34" i="6" s="1"/>
  <c r="Q39" i="6"/>
  <c r="I42" i="6"/>
  <c r="J42" i="6" s="1"/>
  <c r="T42" i="6" s="1"/>
  <c r="Q56" i="6"/>
  <c r="S62" i="6"/>
  <c r="T62" i="6" s="1"/>
  <c r="F64" i="6"/>
  <c r="N69" i="6"/>
  <c r="S69" i="6" s="1"/>
  <c r="T69" i="6" s="1"/>
  <c r="N76" i="6"/>
  <c r="S76" i="6" s="1"/>
  <c r="F79" i="6"/>
  <c r="K79" i="6"/>
  <c r="N79" i="6" s="1"/>
  <c r="H79" i="6"/>
  <c r="E83" i="6"/>
  <c r="J83" i="6" s="1"/>
  <c r="T83" i="6" s="1"/>
  <c r="O86" i="6"/>
  <c r="R86" i="6" s="1"/>
  <c r="M96" i="6"/>
  <c r="N98" i="6"/>
  <c r="S98" i="6" s="1"/>
  <c r="T98" i="6" s="1"/>
  <c r="G96" i="6"/>
  <c r="C104" i="6"/>
  <c r="E115" i="6"/>
  <c r="J115" i="6" s="1"/>
  <c r="T115" i="6" s="1"/>
  <c r="H118" i="6"/>
  <c r="P131" i="6"/>
  <c r="S134" i="6"/>
  <c r="T134" i="6" s="1"/>
  <c r="L137" i="6"/>
  <c r="S30" i="6"/>
  <c r="N86" i="6"/>
  <c r="S86" i="6" s="1"/>
  <c r="I9" i="6"/>
  <c r="F7" i="6"/>
  <c r="R39" i="6"/>
  <c r="N71" i="6"/>
  <c r="J105" i="6"/>
  <c r="T105" i="6" s="1"/>
  <c r="E118" i="6"/>
  <c r="L125" i="6"/>
  <c r="P7" i="6"/>
  <c r="P145" i="6" s="1"/>
  <c r="P151" i="6" s="1"/>
  <c r="P155" i="6" s="1"/>
  <c r="J23" i="6"/>
  <c r="T23" i="6" s="1"/>
  <c r="D25" i="6"/>
  <c r="P33" i="6"/>
  <c r="L39" i="6"/>
  <c r="N39" i="6" s="1"/>
  <c r="S39" i="6" s="1"/>
  <c r="T61" i="6"/>
  <c r="L79" i="6"/>
  <c r="E87" i="6"/>
  <c r="J87" i="6" s="1"/>
  <c r="T87" i="6" s="1"/>
  <c r="C86" i="6"/>
  <c r="E86" i="6" s="1"/>
  <c r="J86" i="6" s="1"/>
  <c r="T86" i="6" s="1"/>
  <c r="K90" i="6"/>
  <c r="N90" i="6" s="1"/>
  <c r="N91" i="6"/>
  <c r="S91" i="6" s="1"/>
  <c r="E92" i="6"/>
  <c r="J92" i="6" s="1"/>
  <c r="T92" i="6" s="1"/>
  <c r="H96" i="6"/>
  <c r="H111" i="6"/>
  <c r="Q131" i="6"/>
  <c r="S139" i="6"/>
  <c r="B7" i="6"/>
  <c r="N12" i="6"/>
  <c r="S12" i="6" s="1"/>
  <c r="E34" i="6"/>
  <c r="J34" i="6" s="1"/>
  <c r="B33" i="6"/>
  <c r="E33" i="6" s="1"/>
  <c r="E40" i="6"/>
  <c r="J40" i="6" s="1"/>
  <c r="T40" i="6" s="1"/>
  <c r="E57" i="6"/>
  <c r="J57" i="6" s="1"/>
  <c r="T57" i="6" s="1"/>
  <c r="O64" i="6"/>
  <c r="R64" i="6" s="1"/>
  <c r="J68" i="6"/>
  <c r="T68" i="6" s="1"/>
  <c r="S77" i="6"/>
  <c r="T77" i="6" s="1"/>
  <c r="M79" i="6"/>
  <c r="K104" i="6"/>
  <c r="N104" i="6" s="1"/>
  <c r="N105" i="6"/>
  <c r="S105" i="6" s="1"/>
  <c r="E106" i="6"/>
  <c r="J106" i="6" s="1"/>
  <c r="T106" i="6" s="1"/>
  <c r="O118" i="6"/>
  <c r="J123" i="6"/>
  <c r="T123" i="6" s="1"/>
  <c r="B131" i="6"/>
  <c r="E131" i="6" s="1"/>
  <c r="G131" i="6"/>
  <c r="I131" i="6" s="1"/>
  <c r="S140" i="6"/>
  <c r="T140" i="6" s="1"/>
  <c r="S153" i="6"/>
  <c r="D7" i="6"/>
  <c r="D145" i="6" s="1"/>
  <c r="D151" i="6" s="1"/>
  <c r="D155" i="6" s="1"/>
  <c r="B25" i="6"/>
  <c r="E25" i="6" s="1"/>
  <c r="C33" i="6"/>
  <c r="F39" i="6"/>
  <c r="I39" i="6" s="1"/>
  <c r="I40" i="6"/>
  <c r="N41" i="6"/>
  <c r="S41" i="6" s="1"/>
  <c r="K45" i="6"/>
  <c r="N45" i="6" s="1"/>
  <c r="S45" i="6" s="1"/>
  <c r="B56" i="6"/>
  <c r="E56" i="6" s="1"/>
  <c r="N66" i="6"/>
  <c r="S66" i="6" s="1"/>
  <c r="K64" i="6"/>
  <c r="N64" i="6" s="1"/>
  <c r="D71" i="6"/>
  <c r="N74" i="6"/>
  <c r="S74" i="6" s="1"/>
  <c r="T74" i="6" s="1"/>
  <c r="N80" i="6"/>
  <c r="S80" i="6" s="1"/>
  <c r="I86" i="6"/>
  <c r="R87" i="6"/>
  <c r="S87" i="6" s="1"/>
  <c r="R94" i="6"/>
  <c r="S94" i="6" s="1"/>
  <c r="T94" i="6" s="1"/>
  <c r="E97" i="6"/>
  <c r="J97" i="6" s="1"/>
  <c r="T97" i="6" s="1"/>
  <c r="B96" i="6"/>
  <c r="E96" i="6" s="1"/>
  <c r="E101" i="6"/>
  <c r="J101" i="6" s="1"/>
  <c r="T101" i="6" s="1"/>
  <c r="R109" i="6"/>
  <c r="S109" i="6" s="1"/>
  <c r="T109" i="6" s="1"/>
  <c r="E112" i="6"/>
  <c r="J112" i="6" s="1"/>
  <c r="B111" i="6"/>
  <c r="E111" i="6" s="1"/>
  <c r="P118" i="6"/>
  <c r="J122" i="6"/>
  <c r="T122" i="6" s="1"/>
  <c r="H131" i="6"/>
  <c r="L56" i="6"/>
  <c r="M7" i="6"/>
  <c r="F25" i="6"/>
  <c r="Q33" i="6"/>
  <c r="F45" i="6"/>
  <c r="H64" i="6"/>
  <c r="K131" i="6"/>
  <c r="N132" i="6"/>
  <c r="H137" i="6"/>
  <c r="O56" i="6"/>
  <c r="R56" i="6" s="1"/>
  <c r="G71" i="6"/>
  <c r="I71" i="6" s="1"/>
  <c r="G25" i="6"/>
  <c r="D33" i="6"/>
  <c r="N35" i="6"/>
  <c r="S35" i="6" s="1"/>
  <c r="T35" i="6" s="1"/>
  <c r="K33" i="6"/>
  <c r="N33" i="6" s="1"/>
  <c r="G45" i="6"/>
  <c r="M71" i="6"/>
  <c r="E107" i="6"/>
  <c r="J107" i="6" s="1"/>
  <c r="T107" i="6" s="1"/>
  <c r="Q111" i="6"/>
  <c r="R111" i="6" s="1"/>
  <c r="L118" i="6"/>
  <c r="R129" i="6"/>
  <c r="S129" i="6" s="1"/>
  <c r="T129" i="6" s="1"/>
  <c r="L131" i="6"/>
  <c r="I138" i="6"/>
  <c r="F137" i="6"/>
  <c r="I137" i="6" s="1"/>
  <c r="I139" i="6"/>
  <c r="R8" i="6"/>
  <c r="E12" i="6"/>
  <c r="J12" i="6" s="1"/>
  <c r="R17" i="6"/>
  <c r="L25" i="6"/>
  <c r="L145" i="6" s="1"/>
  <c r="L151" i="6" s="1"/>
  <c r="L155" i="6" s="1"/>
  <c r="M39" i="6"/>
  <c r="N43" i="6"/>
  <c r="S43" i="6" s="1"/>
  <c r="T43" i="6" s="1"/>
  <c r="H45" i="6"/>
  <c r="H145" i="6" s="1"/>
  <c r="H151" i="6" s="1"/>
  <c r="H155" i="6" s="1"/>
  <c r="R59" i="6"/>
  <c r="S59" i="6" s="1"/>
  <c r="T59" i="6" s="1"/>
  <c r="B71" i="6"/>
  <c r="E71" i="6" s="1"/>
  <c r="Q96" i="6"/>
  <c r="Q104" i="6"/>
  <c r="R104" i="6" s="1"/>
  <c r="M118" i="6"/>
  <c r="S122" i="6"/>
  <c r="M131" i="6"/>
  <c r="G64" i="6"/>
  <c r="C71" i="6"/>
  <c r="O71" i="6"/>
  <c r="R72" i="6"/>
  <c r="S72" i="6" s="1"/>
  <c r="T72" i="6" s="1"/>
  <c r="K96" i="6"/>
  <c r="N96" i="6" s="1"/>
  <c r="K111" i="6"/>
  <c r="F118" i="6"/>
  <c r="I118" i="6" s="1"/>
  <c r="I119" i="6"/>
  <c r="B137" i="6"/>
  <c r="E137" i="6" s="1"/>
  <c r="J137" i="6" s="1"/>
  <c r="E138" i="6"/>
  <c r="R138" i="6"/>
  <c r="I20" i="6"/>
  <c r="J20" i="6" s="1"/>
  <c r="T20" i="6" s="1"/>
  <c r="R58" i="6"/>
  <c r="T59" i="5"/>
  <c r="T31" i="5"/>
  <c r="T9" i="5"/>
  <c r="T58" i="5"/>
  <c r="F7" i="5"/>
  <c r="I8" i="5"/>
  <c r="K86" i="5"/>
  <c r="N86" i="5" s="1"/>
  <c r="S86" i="5" s="1"/>
  <c r="N88" i="5"/>
  <c r="S88" i="5" s="1"/>
  <c r="T88" i="5" s="1"/>
  <c r="K7" i="5"/>
  <c r="N10" i="5"/>
  <c r="S10" i="5" s="1"/>
  <c r="T43" i="5"/>
  <c r="E46" i="5"/>
  <c r="B45" i="5"/>
  <c r="E45" i="5" s="1"/>
  <c r="S50" i="5"/>
  <c r="T50" i="5" s="1"/>
  <c r="T101" i="5"/>
  <c r="K137" i="5"/>
  <c r="N137" i="5" s="1"/>
  <c r="S137" i="5" s="1"/>
  <c r="N138" i="5"/>
  <c r="S138" i="5" s="1"/>
  <c r="E8" i="5"/>
  <c r="E98" i="5"/>
  <c r="J98" i="5" s="1"/>
  <c r="B96" i="5"/>
  <c r="E96" i="5" s="1"/>
  <c r="T41" i="5"/>
  <c r="J119" i="5"/>
  <c r="S11" i="5"/>
  <c r="D25" i="5"/>
  <c r="T35" i="5"/>
  <c r="T77" i="5"/>
  <c r="R133" i="5"/>
  <c r="O131" i="5"/>
  <c r="R131" i="5" s="1"/>
  <c r="T140" i="5"/>
  <c r="N29" i="5"/>
  <c r="S29" i="5" s="1"/>
  <c r="T29" i="5" s="1"/>
  <c r="K25" i="5"/>
  <c r="N25" i="5" s="1"/>
  <c r="R56" i="5"/>
  <c r="S12" i="5"/>
  <c r="T12" i="5" s="1"/>
  <c r="E26" i="5"/>
  <c r="T37" i="5"/>
  <c r="T122" i="5"/>
  <c r="N34" i="5"/>
  <c r="S34" i="5" s="1"/>
  <c r="K33" i="5"/>
  <c r="N33" i="5" s="1"/>
  <c r="T52" i="5"/>
  <c r="S15" i="5"/>
  <c r="T15" i="5" s="1"/>
  <c r="S133" i="5"/>
  <c r="J11" i="5"/>
  <c r="R99" i="5"/>
  <c r="S99" i="5" s="1"/>
  <c r="T23" i="5"/>
  <c r="T62" i="5"/>
  <c r="T16" i="5"/>
  <c r="F25" i="5"/>
  <c r="I25" i="5" s="1"/>
  <c r="I26" i="5"/>
  <c r="N40" i="5"/>
  <c r="S40" i="5" s="1"/>
  <c r="T47" i="5"/>
  <c r="T94" i="5"/>
  <c r="R96" i="5"/>
  <c r="T13" i="5"/>
  <c r="T27" i="5"/>
  <c r="I30" i="5"/>
  <c r="J30" i="5" s="1"/>
  <c r="T30" i="5" s="1"/>
  <c r="J19" i="5"/>
  <c r="T19" i="5" s="1"/>
  <c r="T20" i="5"/>
  <c r="R39" i="5"/>
  <c r="S39" i="5" s="1"/>
  <c r="J114" i="5"/>
  <c r="T114" i="5" s="1"/>
  <c r="N90" i="5"/>
  <c r="T99" i="5"/>
  <c r="B131" i="5"/>
  <c r="E131" i="5" s="1"/>
  <c r="E133" i="5"/>
  <c r="J133" i="5" s="1"/>
  <c r="R138" i="5"/>
  <c r="O137" i="5"/>
  <c r="R137" i="5" s="1"/>
  <c r="R91" i="5"/>
  <c r="S91" i="5" s="1"/>
  <c r="N71" i="5"/>
  <c r="I81" i="5"/>
  <c r="J81" i="5" s="1"/>
  <c r="T81" i="5" s="1"/>
  <c r="F79" i="5"/>
  <c r="I79" i="5" s="1"/>
  <c r="E87" i="5"/>
  <c r="K96" i="5"/>
  <c r="N97" i="5"/>
  <c r="S97" i="5" s="1"/>
  <c r="H45" i="5"/>
  <c r="N92" i="5"/>
  <c r="S92" i="5" s="1"/>
  <c r="N42" i="5"/>
  <c r="S42" i="5" s="1"/>
  <c r="T42" i="5" s="1"/>
  <c r="G71" i="5"/>
  <c r="T82" i="5"/>
  <c r="B90" i="5"/>
  <c r="E90" i="5" s="1"/>
  <c r="E92" i="5"/>
  <c r="J92" i="5" s="1"/>
  <c r="T92" i="5" s="1"/>
  <c r="I126" i="5"/>
  <c r="J126" i="5" s="1"/>
  <c r="I127" i="5"/>
  <c r="F125" i="5"/>
  <c r="J147" i="5"/>
  <c r="T147" i="5" s="1"/>
  <c r="M7" i="5"/>
  <c r="M45" i="5"/>
  <c r="L79" i="5"/>
  <c r="C90" i="5"/>
  <c r="J102" i="5"/>
  <c r="T102" i="5" s="1"/>
  <c r="J105" i="5"/>
  <c r="T105" i="5" s="1"/>
  <c r="R106" i="5"/>
  <c r="S106" i="5" s="1"/>
  <c r="O104" i="5"/>
  <c r="R104" i="5" s="1"/>
  <c r="R87" i="5"/>
  <c r="S87" i="5" s="1"/>
  <c r="K56" i="5"/>
  <c r="N56" i="5" s="1"/>
  <c r="N58" i="5"/>
  <c r="S58" i="5" s="1"/>
  <c r="R128" i="5"/>
  <c r="S128" i="5" s="1"/>
  <c r="T128" i="5" s="1"/>
  <c r="J48" i="5"/>
  <c r="T48" i="5" s="1"/>
  <c r="J91" i="5"/>
  <c r="T91" i="5" s="1"/>
  <c r="J139" i="5"/>
  <c r="T139" i="5" s="1"/>
  <c r="F90" i="5"/>
  <c r="I90" i="5" s="1"/>
  <c r="I91" i="5"/>
  <c r="O7" i="5"/>
  <c r="S19" i="5"/>
  <c r="P25" i="5"/>
  <c r="H39" i="5"/>
  <c r="H145" i="5" s="1"/>
  <c r="H151" i="5" s="1"/>
  <c r="H155" i="5" s="1"/>
  <c r="O45" i="5"/>
  <c r="N46" i="5"/>
  <c r="S46" i="5" s="1"/>
  <c r="S69" i="5"/>
  <c r="T69" i="5" s="1"/>
  <c r="M79" i="5"/>
  <c r="J84" i="5"/>
  <c r="T84" i="5" s="1"/>
  <c r="H90" i="5"/>
  <c r="I104" i="5"/>
  <c r="K125" i="5"/>
  <c r="N126" i="5"/>
  <c r="S126" i="5" s="1"/>
  <c r="I139" i="5"/>
  <c r="F137" i="5"/>
  <c r="J149" i="5"/>
  <c r="T149" i="5" s="1"/>
  <c r="I97" i="5"/>
  <c r="J97" i="5" s="1"/>
  <c r="T97" i="5" s="1"/>
  <c r="Q56" i="5"/>
  <c r="I71" i="5"/>
  <c r="F86" i="5"/>
  <c r="I86" i="5" s="1"/>
  <c r="I87" i="5"/>
  <c r="S98" i="5"/>
  <c r="B64" i="5"/>
  <c r="M71" i="5"/>
  <c r="H79" i="5"/>
  <c r="B7" i="5"/>
  <c r="P7" i="5"/>
  <c r="R15" i="5"/>
  <c r="E25" i="5"/>
  <c r="J25" i="5" s="1"/>
  <c r="Q25" i="5"/>
  <c r="G39" i="5"/>
  <c r="L45" i="5"/>
  <c r="E67" i="5"/>
  <c r="J67" i="5" s="1"/>
  <c r="T67" i="5" s="1"/>
  <c r="B71" i="5"/>
  <c r="E72" i="5"/>
  <c r="J72" i="5" s="1"/>
  <c r="R72" i="5"/>
  <c r="S72" i="5" s="1"/>
  <c r="P71" i="5"/>
  <c r="S81" i="5"/>
  <c r="B86" i="5"/>
  <c r="E86" i="5" s="1"/>
  <c r="J86" i="5" s="1"/>
  <c r="E106" i="5"/>
  <c r="J106" i="5" s="1"/>
  <c r="B104" i="5"/>
  <c r="E104" i="5" s="1"/>
  <c r="L125" i="5"/>
  <c r="L145" i="5" s="1"/>
  <c r="L151" i="5" s="1"/>
  <c r="L155" i="5" s="1"/>
  <c r="S127" i="5"/>
  <c r="G137" i="5"/>
  <c r="T116" i="5"/>
  <c r="G7" i="5"/>
  <c r="T60" i="5"/>
  <c r="O25" i="5"/>
  <c r="R29" i="5"/>
  <c r="J40" i="5"/>
  <c r="T40" i="5" s="1"/>
  <c r="E127" i="5"/>
  <c r="J127" i="5" s="1"/>
  <c r="T127" i="5" s="1"/>
  <c r="B125" i="5"/>
  <c r="E125" i="5" s="1"/>
  <c r="S67" i="5"/>
  <c r="T10" i="5"/>
  <c r="T75" i="5"/>
  <c r="P111" i="5"/>
  <c r="R111" i="5" s="1"/>
  <c r="R57" i="5"/>
  <c r="S57" i="5" s="1"/>
  <c r="T57" i="5" s="1"/>
  <c r="H71" i="5"/>
  <c r="K79" i="5"/>
  <c r="N80" i="5"/>
  <c r="S80" i="5" s="1"/>
  <c r="T80" i="5" s="1"/>
  <c r="C7" i="5"/>
  <c r="Q7" i="5"/>
  <c r="R22" i="5"/>
  <c r="S22" i="5" s="1"/>
  <c r="T22" i="5" s="1"/>
  <c r="R26" i="5"/>
  <c r="S26" i="5" s="1"/>
  <c r="N27" i="5"/>
  <c r="S27" i="5" s="1"/>
  <c r="I34" i="5"/>
  <c r="F33" i="5"/>
  <c r="I33" i="5" s="1"/>
  <c r="R50" i="5"/>
  <c r="H104" i="5"/>
  <c r="C104" i="5"/>
  <c r="R115" i="5"/>
  <c r="S115" i="5" s="1"/>
  <c r="T115" i="5" s="1"/>
  <c r="G131" i="5"/>
  <c r="I131" i="5" s="1"/>
  <c r="H137" i="5"/>
  <c r="Q45" i="5"/>
  <c r="B33" i="5"/>
  <c r="E33" i="5" s="1"/>
  <c r="J33" i="5" s="1"/>
  <c r="Q39" i="5"/>
  <c r="G56" i="5"/>
  <c r="D64" i="5"/>
  <c r="T83" i="5"/>
  <c r="L96" i="5"/>
  <c r="G111" i="5"/>
  <c r="P64" i="5"/>
  <c r="R64" i="5" s="1"/>
  <c r="C71" i="5"/>
  <c r="O90" i="5"/>
  <c r="R90" i="5" s="1"/>
  <c r="F111" i="5"/>
  <c r="I111" i="5" s="1"/>
  <c r="J111" i="5" s="1"/>
  <c r="T111" i="5" s="1"/>
  <c r="P33" i="5"/>
  <c r="R33" i="5" s="1"/>
  <c r="D39" i="5"/>
  <c r="E39" i="5" s="1"/>
  <c r="N41" i="5"/>
  <c r="S41" i="5" s="1"/>
  <c r="F45" i="5"/>
  <c r="I48" i="5"/>
  <c r="N52" i="5"/>
  <c r="S52" i="5" s="1"/>
  <c r="I53" i="5"/>
  <c r="J53" i="5" s="1"/>
  <c r="T53" i="5" s="1"/>
  <c r="H56" i="5"/>
  <c r="I56" i="5" s="1"/>
  <c r="J56" i="5" s="1"/>
  <c r="C64" i="5"/>
  <c r="E113" i="5"/>
  <c r="J113" i="5" s="1"/>
  <c r="O118" i="5"/>
  <c r="R119" i="5"/>
  <c r="S119" i="5" s="1"/>
  <c r="L131" i="5"/>
  <c r="M118" i="5"/>
  <c r="N118" i="5" s="1"/>
  <c r="C33" i="5"/>
  <c r="Q33" i="5"/>
  <c r="K45" i="5"/>
  <c r="G45" i="5"/>
  <c r="R61" i="5"/>
  <c r="S61" i="5" s="1"/>
  <c r="T61" i="5" s="1"/>
  <c r="F64" i="5"/>
  <c r="I64" i="5" s="1"/>
  <c r="I65" i="5"/>
  <c r="J65" i="5" s="1"/>
  <c r="T65" i="5" s="1"/>
  <c r="B79" i="5"/>
  <c r="E79" i="5" s="1"/>
  <c r="R113" i="5"/>
  <c r="S113" i="5" s="1"/>
  <c r="N120" i="5"/>
  <c r="S120" i="5" s="1"/>
  <c r="T120" i="5" s="1"/>
  <c r="M131" i="5"/>
  <c r="T141" i="5"/>
  <c r="D33" i="5"/>
  <c r="D145" i="5" s="1"/>
  <c r="D151" i="5" s="1"/>
  <c r="D155" i="5" s="1"/>
  <c r="R34" i="5"/>
  <c r="F39" i="5"/>
  <c r="I40" i="5"/>
  <c r="I51" i="5"/>
  <c r="J51" i="5" s="1"/>
  <c r="T51" i="5" s="1"/>
  <c r="N82" i="5"/>
  <c r="S82" i="5" s="1"/>
  <c r="N94" i="5"/>
  <c r="S94" i="5" s="1"/>
  <c r="I107" i="5"/>
  <c r="J107" i="5" s="1"/>
  <c r="T107" i="5" s="1"/>
  <c r="C118" i="5"/>
  <c r="E118" i="5" s="1"/>
  <c r="J118" i="5" s="1"/>
  <c r="Q118" i="5"/>
  <c r="N123" i="5"/>
  <c r="S123" i="5" s="1"/>
  <c r="T123" i="5" s="1"/>
  <c r="N132" i="5"/>
  <c r="S132" i="5" s="1"/>
  <c r="T132" i="5" s="1"/>
  <c r="O71" i="5"/>
  <c r="E34" i="5"/>
  <c r="J34" i="5" s="1"/>
  <c r="I46" i="5"/>
  <c r="K64" i="5"/>
  <c r="N64" i="5" s="1"/>
  <c r="H64" i="5"/>
  <c r="E66" i="5"/>
  <c r="J66" i="5" s="1"/>
  <c r="T66" i="5" s="1"/>
  <c r="L71" i="5"/>
  <c r="R86" i="5"/>
  <c r="G96" i="5"/>
  <c r="I96" i="5" s="1"/>
  <c r="K104" i="5"/>
  <c r="N104" i="5" s="1"/>
  <c r="S104" i="5" s="1"/>
  <c r="E109" i="5"/>
  <c r="J109" i="5" s="1"/>
  <c r="T109" i="5" s="1"/>
  <c r="K111" i="5"/>
  <c r="N111" i="5" s="1"/>
  <c r="S111" i="5" s="1"/>
  <c r="N112" i="5"/>
  <c r="S112" i="5" s="1"/>
  <c r="T112" i="5" s="1"/>
  <c r="G125" i="5"/>
  <c r="I119" i="5"/>
  <c r="E138" i="5"/>
  <c r="J138" i="5" s="1"/>
  <c r="T41" i="4"/>
  <c r="T49" i="4"/>
  <c r="J51" i="4"/>
  <c r="T51" i="4" s="1"/>
  <c r="M145" i="4"/>
  <c r="M151" i="4" s="1"/>
  <c r="M155" i="4" s="1"/>
  <c r="S14" i="4"/>
  <c r="T18" i="4"/>
  <c r="T121" i="4"/>
  <c r="I56" i="4"/>
  <c r="J56" i="4" s="1"/>
  <c r="T56" i="4" s="1"/>
  <c r="T9" i="4"/>
  <c r="S61" i="4"/>
  <c r="T61" i="4" s="1"/>
  <c r="J81" i="4"/>
  <c r="T93" i="4"/>
  <c r="J11" i="4"/>
  <c r="T11" i="4" s="1"/>
  <c r="S22" i="4"/>
  <c r="N33" i="4"/>
  <c r="S42" i="4"/>
  <c r="I118" i="4"/>
  <c r="J116" i="4"/>
  <c r="T116" i="4" s="1"/>
  <c r="T120" i="4"/>
  <c r="E127" i="4"/>
  <c r="J127" i="4" s="1"/>
  <c r="T127" i="4" s="1"/>
  <c r="B125" i="4"/>
  <c r="E125" i="4" s="1"/>
  <c r="N28" i="4"/>
  <c r="S28" i="4" s="1"/>
  <c r="L39" i="4"/>
  <c r="N48" i="4"/>
  <c r="L45" i="4"/>
  <c r="E53" i="4"/>
  <c r="J53" i="4" s="1"/>
  <c r="T53" i="4" s="1"/>
  <c r="M56" i="4"/>
  <c r="J76" i="4"/>
  <c r="T76" i="4" s="1"/>
  <c r="I80" i="4"/>
  <c r="G96" i="4"/>
  <c r="E98" i="4"/>
  <c r="J98" i="4" s="1"/>
  <c r="B96" i="4"/>
  <c r="E96" i="4" s="1"/>
  <c r="R98" i="4"/>
  <c r="M111" i="4"/>
  <c r="I132" i="4"/>
  <c r="J132" i="4" s="1"/>
  <c r="S149" i="4"/>
  <c r="N66" i="4"/>
  <c r="S66" i="4" s="1"/>
  <c r="K64" i="4"/>
  <c r="N64" i="4" s="1"/>
  <c r="S64" i="4" s="1"/>
  <c r="B104" i="4"/>
  <c r="E104" i="4" s="1"/>
  <c r="J104" i="4" s="1"/>
  <c r="T104" i="4" s="1"/>
  <c r="E106" i="4"/>
  <c r="J106" i="4" s="1"/>
  <c r="T106" i="4" s="1"/>
  <c r="T60" i="4"/>
  <c r="D7" i="4"/>
  <c r="D145" i="4" s="1"/>
  <c r="D151" i="4" s="1"/>
  <c r="D155" i="4" s="1"/>
  <c r="T115" i="4"/>
  <c r="R138" i="4"/>
  <c r="O137" i="4"/>
  <c r="R137" i="4" s="1"/>
  <c r="N39" i="4"/>
  <c r="M45" i="4"/>
  <c r="N58" i="4"/>
  <c r="S58" i="4" s="1"/>
  <c r="I79" i="4"/>
  <c r="N104" i="4"/>
  <c r="S104" i="4" s="1"/>
  <c r="E118" i="4"/>
  <c r="J118" i="4" s="1"/>
  <c r="J147" i="4"/>
  <c r="T147" i="4" s="1"/>
  <c r="O7" i="4"/>
  <c r="R42" i="4"/>
  <c r="J46" i="4"/>
  <c r="T46" i="4" s="1"/>
  <c r="J94" i="4"/>
  <c r="I97" i="4"/>
  <c r="J97" i="4" s="1"/>
  <c r="T97" i="4" s="1"/>
  <c r="I126" i="4"/>
  <c r="J126" i="4" s="1"/>
  <c r="I127" i="4"/>
  <c r="F125" i="4"/>
  <c r="T128" i="4"/>
  <c r="N131" i="4"/>
  <c r="T22" i="4"/>
  <c r="J29" i="4"/>
  <c r="T29" i="4" s="1"/>
  <c r="F71" i="4"/>
  <c r="I71" i="4" s="1"/>
  <c r="I73" i="4"/>
  <c r="J142" i="4"/>
  <c r="T142" i="4" s="1"/>
  <c r="J43" i="4"/>
  <c r="T43" i="4" s="1"/>
  <c r="F104" i="4"/>
  <c r="I104" i="4" s="1"/>
  <c r="I105" i="4"/>
  <c r="J105" i="4" s="1"/>
  <c r="T105" i="4" s="1"/>
  <c r="J8" i="4"/>
  <c r="T8" i="4" s="1"/>
  <c r="N34" i="4"/>
  <c r="R81" i="4"/>
  <c r="S81" i="4" s="1"/>
  <c r="E119" i="4"/>
  <c r="J119" i="4" s="1"/>
  <c r="N25" i="4"/>
  <c r="R76" i="4"/>
  <c r="S76" i="4" s="1"/>
  <c r="K111" i="4"/>
  <c r="N111" i="4" s="1"/>
  <c r="S111" i="4" s="1"/>
  <c r="N112" i="4"/>
  <c r="S112" i="4" s="1"/>
  <c r="J20" i="4"/>
  <c r="T20" i="4" s="1"/>
  <c r="I59" i="4"/>
  <c r="J59" i="4" s="1"/>
  <c r="T59" i="4" s="1"/>
  <c r="F25" i="4"/>
  <c r="I25" i="4" s="1"/>
  <c r="I26" i="4"/>
  <c r="F45" i="4"/>
  <c r="P45" i="4"/>
  <c r="J62" i="4"/>
  <c r="T62" i="4" s="1"/>
  <c r="I98" i="4"/>
  <c r="F96" i="4"/>
  <c r="T99" i="4"/>
  <c r="S107" i="4"/>
  <c r="J123" i="4"/>
  <c r="I139" i="4"/>
  <c r="J139" i="4" s="1"/>
  <c r="T139" i="4" s="1"/>
  <c r="F137" i="4"/>
  <c r="J149" i="4"/>
  <c r="T149" i="4" s="1"/>
  <c r="B33" i="4"/>
  <c r="E36" i="4"/>
  <c r="J36" i="4" s="1"/>
  <c r="T36" i="4" s="1"/>
  <c r="E45" i="4"/>
  <c r="T74" i="4"/>
  <c r="T101" i="4"/>
  <c r="T21" i="4"/>
  <c r="T102" i="4"/>
  <c r="C7" i="4"/>
  <c r="E87" i="4"/>
  <c r="B86" i="4"/>
  <c r="E86" i="4" s="1"/>
  <c r="J86" i="4" s="1"/>
  <c r="R91" i="4"/>
  <c r="S91" i="4" s="1"/>
  <c r="E114" i="4"/>
  <c r="J114" i="4" s="1"/>
  <c r="T114" i="4" s="1"/>
  <c r="R133" i="4"/>
  <c r="S133" i="4" s="1"/>
  <c r="O131" i="4"/>
  <c r="R131" i="4" s="1"/>
  <c r="R57" i="4"/>
  <c r="S57" i="4" s="1"/>
  <c r="T57" i="4" s="1"/>
  <c r="J14" i="4"/>
  <c r="G25" i="4"/>
  <c r="G145" i="4" s="1"/>
  <c r="G151" i="4" s="1"/>
  <c r="G155" i="4" s="1"/>
  <c r="F39" i="4"/>
  <c r="I39" i="4" s="1"/>
  <c r="I40" i="4"/>
  <c r="G45" i="4"/>
  <c r="J47" i="4"/>
  <c r="T47" i="4" s="1"/>
  <c r="J67" i="4"/>
  <c r="J68" i="4"/>
  <c r="T68" i="4" s="1"/>
  <c r="K90" i="4"/>
  <c r="N92" i="4"/>
  <c r="S92" i="4" s="1"/>
  <c r="T92" i="4" s="1"/>
  <c r="R96" i="4"/>
  <c r="K96" i="4"/>
  <c r="N97" i="4"/>
  <c r="S97" i="4" s="1"/>
  <c r="R105" i="4"/>
  <c r="S105" i="4" s="1"/>
  <c r="N106" i="4"/>
  <c r="S106" i="4" s="1"/>
  <c r="J112" i="4"/>
  <c r="T112" i="4" s="1"/>
  <c r="K125" i="4"/>
  <c r="N126" i="4"/>
  <c r="S126" i="4" s="1"/>
  <c r="G137" i="4"/>
  <c r="O86" i="4"/>
  <c r="R86" i="4" s="1"/>
  <c r="R87" i="4"/>
  <c r="S87" i="4" s="1"/>
  <c r="S98" i="4"/>
  <c r="K137" i="4"/>
  <c r="N137" i="4" s="1"/>
  <c r="S137" i="4" s="1"/>
  <c r="N138" i="4"/>
  <c r="S138" i="4" s="1"/>
  <c r="R8" i="4"/>
  <c r="S8" i="4" s="1"/>
  <c r="I35" i="4"/>
  <c r="J35" i="4" s="1"/>
  <c r="T35" i="4" s="1"/>
  <c r="F7" i="4"/>
  <c r="T50" i="4"/>
  <c r="R65" i="4"/>
  <c r="S65" i="4" s="1"/>
  <c r="K71" i="4"/>
  <c r="N71" i="4" s="1"/>
  <c r="S71" i="4" s="1"/>
  <c r="S17" i="4"/>
  <c r="T17" i="4" s="1"/>
  <c r="N45" i="4"/>
  <c r="B111" i="4"/>
  <c r="E111" i="4" s="1"/>
  <c r="E133" i="4"/>
  <c r="J133" i="4" s="1"/>
  <c r="B131" i="4"/>
  <c r="E131" i="4" s="1"/>
  <c r="J131" i="4" s="1"/>
  <c r="H7" i="4"/>
  <c r="L56" i="4"/>
  <c r="N56" i="4" s="1"/>
  <c r="S56" i="4" s="1"/>
  <c r="S113" i="4"/>
  <c r="K7" i="4"/>
  <c r="C25" i="4"/>
  <c r="I10" i="4"/>
  <c r="J10" i="4" s="1"/>
  <c r="T10" i="4" s="1"/>
  <c r="R19" i="4"/>
  <c r="S19" i="4" s="1"/>
  <c r="T19" i="4" s="1"/>
  <c r="E30" i="4"/>
  <c r="J30" i="4" s="1"/>
  <c r="T30" i="4" s="1"/>
  <c r="I33" i="4"/>
  <c r="G39" i="4"/>
  <c r="J48" i="4"/>
  <c r="S51" i="4"/>
  <c r="E64" i="4"/>
  <c r="J64" i="4" s="1"/>
  <c r="I67" i="4"/>
  <c r="E73" i="4"/>
  <c r="J73" i="4" s="1"/>
  <c r="T73" i="4" s="1"/>
  <c r="K86" i="4"/>
  <c r="N86" i="4" s="1"/>
  <c r="S86" i="4" s="1"/>
  <c r="N88" i="4"/>
  <c r="S88" i="4" s="1"/>
  <c r="T88" i="4" s="1"/>
  <c r="L90" i="4"/>
  <c r="L145" i="4" s="1"/>
  <c r="L151" i="4" s="1"/>
  <c r="L155" i="4" s="1"/>
  <c r="R106" i="4"/>
  <c r="O104" i="4"/>
  <c r="R104" i="4" s="1"/>
  <c r="N121" i="4"/>
  <c r="S121" i="4" s="1"/>
  <c r="K118" i="4"/>
  <c r="N118" i="4" s="1"/>
  <c r="R125" i="4"/>
  <c r="L125" i="4"/>
  <c r="H137" i="4"/>
  <c r="E28" i="4"/>
  <c r="J28" i="4" s="1"/>
  <c r="T28" i="4" s="1"/>
  <c r="O33" i="4"/>
  <c r="R33" i="4" s="1"/>
  <c r="R34" i="4"/>
  <c r="E42" i="4"/>
  <c r="J42" i="4" s="1"/>
  <c r="T42" i="4" s="1"/>
  <c r="G56" i="4"/>
  <c r="E58" i="4"/>
  <c r="J58" i="4" s="1"/>
  <c r="R61" i="4"/>
  <c r="F64" i="4"/>
  <c r="I64" i="4" s="1"/>
  <c r="I65" i="4"/>
  <c r="J65" i="4" s="1"/>
  <c r="T65" i="4" s="1"/>
  <c r="L71" i="4"/>
  <c r="I81" i="4"/>
  <c r="F90" i="4"/>
  <c r="I90" i="4" s="1"/>
  <c r="J90" i="4" s="1"/>
  <c r="E141" i="4"/>
  <c r="J141" i="4" s="1"/>
  <c r="T141" i="4" s="1"/>
  <c r="O25" i="4"/>
  <c r="R25" i="4" s="1"/>
  <c r="O39" i="4"/>
  <c r="R39" i="4" s="1"/>
  <c r="R48" i="4"/>
  <c r="H56" i="4"/>
  <c r="N62" i="4"/>
  <c r="S62" i="4" s="1"/>
  <c r="G64" i="4"/>
  <c r="E66" i="4"/>
  <c r="J66" i="4" s="1"/>
  <c r="E69" i="4"/>
  <c r="J69" i="4" s="1"/>
  <c r="T69" i="4" s="1"/>
  <c r="M71" i="4"/>
  <c r="R77" i="4"/>
  <c r="S77" i="4" s="1"/>
  <c r="T77" i="4" s="1"/>
  <c r="K79" i="4"/>
  <c r="N80" i="4"/>
  <c r="S80" i="4" s="1"/>
  <c r="C33" i="4"/>
  <c r="H45" i="4"/>
  <c r="S67" i="4"/>
  <c r="M118" i="4"/>
  <c r="B25" i="4"/>
  <c r="P25" i="4"/>
  <c r="P145" i="4" s="1"/>
  <c r="P151" i="4" s="1"/>
  <c r="P155" i="4" s="1"/>
  <c r="B39" i="4"/>
  <c r="P39" i="4"/>
  <c r="I47" i="4"/>
  <c r="B71" i="4"/>
  <c r="E71" i="4" s="1"/>
  <c r="J71" i="4" s="1"/>
  <c r="E72" i="4"/>
  <c r="J72" i="4" s="1"/>
  <c r="T72" i="4" s="1"/>
  <c r="M79" i="4"/>
  <c r="I91" i="4"/>
  <c r="J91" i="4" s="1"/>
  <c r="T91" i="4" s="1"/>
  <c r="L96" i="4"/>
  <c r="G111" i="4"/>
  <c r="N119" i="4"/>
  <c r="L131" i="4"/>
  <c r="H90" i="4"/>
  <c r="F111" i="4"/>
  <c r="Q25" i="4"/>
  <c r="E34" i="4"/>
  <c r="J34" i="4" s="1"/>
  <c r="Q39" i="4"/>
  <c r="O45" i="4"/>
  <c r="O56" i="4"/>
  <c r="R56" i="4" s="1"/>
  <c r="I87" i="4"/>
  <c r="O90" i="4"/>
  <c r="R90" i="4" s="1"/>
  <c r="J113" i="4"/>
  <c r="O118" i="4"/>
  <c r="R119" i="4"/>
  <c r="M131" i="4"/>
  <c r="I23" i="4"/>
  <c r="J23" i="4" s="1"/>
  <c r="T23" i="4" s="1"/>
  <c r="D25" i="4"/>
  <c r="I37" i="4"/>
  <c r="J37" i="4" s="1"/>
  <c r="T37" i="4" s="1"/>
  <c r="D39" i="4"/>
  <c r="C45" i="4"/>
  <c r="B79" i="4"/>
  <c r="E79" i="4" s="1"/>
  <c r="J79" i="4" s="1"/>
  <c r="E83" i="4"/>
  <c r="J83" i="4" s="1"/>
  <c r="T83" i="4" s="1"/>
  <c r="R113" i="4"/>
  <c r="N132" i="4"/>
  <c r="S132" i="4" s="1"/>
  <c r="H64" i="4"/>
  <c r="E26" i="4"/>
  <c r="E40" i="4"/>
  <c r="Q45" i="4"/>
  <c r="I51" i="4"/>
  <c r="O71" i="4"/>
  <c r="R71" i="4" s="1"/>
  <c r="N94" i="4"/>
  <c r="S94" i="4" s="1"/>
  <c r="I107" i="4"/>
  <c r="J107" i="4" s="1"/>
  <c r="T107" i="4" s="1"/>
  <c r="C118" i="4"/>
  <c r="Q118" i="4"/>
  <c r="Q145" i="4" s="1"/>
  <c r="Q151" i="4" s="1"/>
  <c r="Q155" i="4" s="1"/>
  <c r="N123" i="4"/>
  <c r="S123" i="4" s="1"/>
  <c r="G125" i="4"/>
  <c r="E80" i="4"/>
  <c r="I119" i="4"/>
  <c r="E138" i="4"/>
  <c r="J138" i="4" s="1"/>
  <c r="T138" i="4" s="1"/>
  <c r="J12" i="3"/>
  <c r="O111" i="3"/>
  <c r="B45" i="3"/>
  <c r="E46" i="3"/>
  <c r="J46" i="3" s="1"/>
  <c r="S107" i="3"/>
  <c r="C96" i="3"/>
  <c r="E97" i="3"/>
  <c r="J97" i="3" s="1"/>
  <c r="T97" i="3" s="1"/>
  <c r="T74" i="3"/>
  <c r="J37" i="3"/>
  <c r="T37" i="3" s="1"/>
  <c r="S13" i="3"/>
  <c r="E92" i="3"/>
  <c r="J92" i="3" s="1"/>
  <c r="T92" i="3" s="1"/>
  <c r="B90" i="3"/>
  <c r="I73" i="3"/>
  <c r="J73" i="3" s="1"/>
  <c r="T73" i="3" s="1"/>
  <c r="F71" i="3"/>
  <c r="I71" i="3" s="1"/>
  <c r="S120" i="3"/>
  <c r="N80" i="3"/>
  <c r="S80" i="3" s="1"/>
  <c r="T80" i="3" s="1"/>
  <c r="K79" i="3"/>
  <c r="O45" i="3"/>
  <c r="R45" i="3" s="1"/>
  <c r="R46" i="3"/>
  <c r="B111" i="3"/>
  <c r="E111" i="3" s="1"/>
  <c r="P71" i="3"/>
  <c r="M56" i="3"/>
  <c r="G111" i="3"/>
  <c r="J81" i="3"/>
  <c r="T81" i="3" s="1"/>
  <c r="Q7" i="3"/>
  <c r="Q145" i="3" s="1"/>
  <c r="Q151" i="3" s="1"/>
  <c r="Q155" i="3" s="1"/>
  <c r="O104" i="3"/>
  <c r="R104" i="3" s="1"/>
  <c r="I99" i="3"/>
  <c r="F96" i="3"/>
  <c r="R139" i="3"/>
  <c r="B137" i="3"/>
  <c r="E139" i="3"/>
  <c r="J139" i="3" s="1"/>
  <c r="T139" i="3" s="1"/>
  <c r="R125" i="3"/>
  <c r="E107" i="3"/>
  <c r="J107" i="3" s="1"/>
  <c r="S61" i="3"/>
  <c r="T49" i="3"/>
  <c r="S11" i="3"/>
  <c r="T11" i="3" s="1"/>
  <c r="J153" i="3"/>
  <c r="T153" i="3" s="1"/>
  <c r="S139" i="3"/>
  <c r="D131" i="3"/>
  <c r="S128" i="3"/>
  <c r="D125" i="3"/>
  <c r="R112" i="3"/>
  <c r="S112" i="3" s="1"/>
  <c r="L104" i="3"/>
  <c r="N104" i="3" s="1"/>
  <c r="C39" i="3"/>
  <c r="C7" i="3"/>
  <c r="T16" i="3"/>
  <c r="N14" i="3"/>
  <c r="S14" i="3" s="1"/>
  <c r="T14" i="3" s="1"/>
  <c r="K7" i="3"/>
  <c r="N94" i="3"/>
  <c r="S94" i="3" s="1"/>
  <c r="K90" i="3"/>
  <c r="N90" i="3" s="1"/>
  <c r="H90" i="3"/>
  <c r="J87" i="3"/>
  <c r="T87" i="3" s="1"/>
  <c r="T82" i="3"/>
  <c r="O56" i="3"/>
  <c r="R56" i="3" s="1"/>
  <c r="K137" i="3"/>
  <c r="N137" i="3" s="1"/>
  <c r="I106" i="3"/>
  <c r="J99" i="3"/>
  <c r="T99" i="3" s="1"/>
  <c r="O79" i="3"/>
  <c r="R79" i="3" s="1"/>
  <c r="R82" i="3"/>
  <c r="R61" i="3"/>
  <c r="T48" i="3"/>
  <c r="S31" i="3"/>
  <c r="N25" i="3"/>
  <c r="S25" i="3" s="1"/>
  <c r="F137" i="3"/>
  <c r="I137" i="3" s="1"/>
  <c r="M125" i="3"/>
  <c r="M111" i="3"/>
  <c r="N111" i="3" s="1"/>
  <c r="C104" i="3"/>
  <c r="T102" i="3"/>
  <c r="B96" i="3"/>
  <c r="I84" i="3"/>
  <c r="E13" i="3"/>
  <c r="J13" i="3" s="1"/>
  <c r="T13" i="3" s="1"/>
  <c r="L7" i="3"/>
  <c r="T141" i="3"/>
  <c r="O90" i="3"/>
  <c r="R90" i="3" s="1"/>
  <c r="E71" i="3"/>
  <c r="J71" i="3" s="1"/>
  <c r="S116" i="3"/>
  <c r="S93" i="3"/>
  <c r="J88" i="3"/>
  <c r="K71" i="3"/>
  <c r="N71" i="3" s="1"/>
  <c r="N72" i="3"/>
  <c r="S72" i="3" s="1"/>
  <c r="T123" i="3"/>
  <c r="R120" i="3"/>
  <c r="R75" i="3"/>
  <c r="S75" i="3" s="1"/>
  <c r="T75" i="3" s="1"/>
  <c r="O71" i="3"/>
  <c r="R71" i="3" s="1"/>
  <c r="N64" i="3"/>
  <c r="S64" i="3" s="1"/>
  <c r="N34" i="3"/>
  <c r="K33" i="3"/>
  <c r="N121" i="3"/>
  <c r="S121" i="3" s="1"/>
  <c r="T121" i="3" s="1"/>
  <c r="K118" i="3"/>
  <c r="S57" i="3"/>
  <c r="N98" i="3"/>
  <c r="I81" i="3"/>
  <c r="F79" i="3"/>
  <c r="I79" i="3" s="1"/>
  <c r="C79" i="3"/>
  <c r="E79" i="3" s="1"/>
  <c r="J79" i="3" s="1"/>
  <c r="I60" i="3"/>
  <c r="J60" i="3" s="1"/>
  <c r="T60" i="3" s="1"/>
  <c r="T19" i="3"/>
  <c r="N141" i="3"/>
  <c r="S141" i="3" s="1"/>
  <c r="R88" i="3"/>
  <c r="E128" i="3"/>
  <c r="J122" i="3"/>
  <c r="T122" i="3" s="1"/>
  <c r="J94" i="3"/>
  <c r="T94" i="3" s="1"/>
  <c r="E61" i="3"/>
  <c r="J61" i="3" s="1"/>
  <c r="T41" i="3"/>
  <c r="P7" i="3"/>
  <c r="J142" i="3"/>
  <c r="T142" i="3" s="1"/>
  <c r="E127" i="3"/>
  <c r="J127" i="3" s="1"/>
  <c r="T127" i="3" s="1"/>
  <c r="B125" i="3"/>
  <c r="E125" i="3" s="1"/>
  <c r="N83" i="3"/>
  <c r="T47" i="3"/>
  <c r="J149" i="3"/>
  <c r="T149" i="3" s="1"/>
  <c r="B131" i="3"/>
  <c r="I115" i="3"/>
  <c r="J115" i="3" s="1"/>
  <c r="T115" i="3" s="1"/>
  <c r="R107" i="3"/>
  <c r="O64" i="3"/>
  <c r="R64" i="3" s="1"/>
  <c r="R65" i="3"/>
  <c r="S65" i="3" s="1"/>
  <c r="T36" i="3"/>
  <c r="N17" i="3"/>
  <c r="S17" i="3" s="1"/>
  <c r="H7" i="3"/>
  <c r="R8" i="3"/>
  <c r="O7" i="3"/>
  <c r="B7" i="3"/>
  <c r="E8" i="3"/>
  <c r="J8" i="3" s="1"/>
  <c r="T8" i="3" s="1"/>
  <c r="R132" i="3"/>
  <c r="P131" i="3"/>
  <c r="R131" i="3" s="1"/>
  <c r="E106" i="3"/>
  <c r="B104" i="3"/>
  <c r="E104" i="3" s="1"/>
  <c r="H104" i="3"/>
  <c r="G90" i="3"/>
  <c r="I66" i="3"/>
  <c r="J66" i="3" s="1"/>
  <c r="C56" i="3"/>
  <c r="S49" i="3"/>
  <c r="N46" i="3"/>
  <c r="N42" i="3"/>
  <c r="B39" i="3"/>
  <c r="E40" i="3"/>
  <c r="J40" i="3" s="1"/>
  <c r="S29" i="3"/>
  <c r="T17" i="3"/>
  <c r="S16" i="3"/>
  <c r="I10" i="3"/>
  <c r="G7" i="3"/>
  <c r="S8" i="3"/>
  <c r="Q137" i="3"/>
  <c r="R137" i="3" s="1"/>
  <c r="D137" i="3"/>
  <c r="E135" i="3"/>
  <c r="J135" i="3" s="1"/>
  <c r="N126" i="3"/>
  <c r="S126" i="3" s="1"/>
  <c r="T126" i="3" s="1"/>
  <c r="K125" i="3"/>
  <c r="I120" i="3"/>
  <c r="J120" i="3" s="1"/>
  <c r="T120" i="3" s="1"/>
  <c r="F118" i="3"/>
  <c r="I118" i="3" s="1"/>
  <c r="P111" i="3"/>
  <c r="I94" i="3"/>
  <c r="I87" i="3"/>
  <c r="F86" i="3"/>
  <c r="I86" i="3" s="1"/>
  <c r="T72" i="3"/>
  <c r="C64" i="3"/>
  <c r="H64" i="3"/>
  <c r="E59" i="3"/>
  <c r="J59" i="3" s="1"/>
  <c r="T59" i="3" s="1"/>
  <c r="B56" i="3"/>
  <c r="E56" i="3" s="1"/>
  <c r="H56" i="3"/>
  <c r="M45" i="3"/>
  <c r="P39" i="3"/>
  <c r="K39" i="3"/>
  <c r="N39" i="3" s="1"/>
  <c r="S39" i="3" s="1"/>
  <c r="F33" i="3"/>
  <c r="I33" i="3" s="1"/>
  <c r="I35" i="3"/>
  <c r="J35" i="3" s="1"/>
  <c r="T35" i="3" s="1"/>
  <c r="E67" i="3"/>
  <c r="J67" i="3" s="1"/>
  <c r="T67" i="3" s="1"/>
  <c r="B64" i="3"/>
  <c r="T54" i="3"/>
  <c r="S20" i="3"/>
  <c r="T20" i="3" s="1"/>
  <c r="L131" i="3"/>
  <c r="F111" i="3"/>
  <c r="I111" i="3" s="1"/>
  <c r="I112" i="3"/>
  <c r="J112" i="3" s="1"/>
  <c r="T112" i="3" s="1"/>
  <c r="J101" i="3"/>
  <c r="T101" i="3" s="1"/>
  <c r="R96" i="3"/>
  <c r="D86" i="3"/>
  <c r="M79" i="3"/>
  <c r="E62" i="3"/>
  <c r="J62" i="3" s="1"/>
  <c r="T62" i="3" s="1"/>
  <c r="E51" i="3"/>
  <c r="G45" i="3"/>
  <c r="J43" i="3"/>
  <c r="T43" i="3" s="1"/>
  <c r="S41" i="3"/>
  <c r="F39" i="3"/>
  <c r="I39" i="3" s="1"/>
  <c r="J31" i="3"/>
  <c r="T31" i="3" s="1"/>
  <c r="N129" i="3"/>
  <c r="S129" i="3" s="1"/>
  <c r="T129" i="3" s="1"/>
  <c r="H125" i="3"/>
  <c r="Q86" i="3"/>
  <c r="L79" i="3"/>
  <c r="E22" i="3"/>
  <c r="J22" i="3" s="1"/>
  <c r="T22" i="3" s="1"/>
  <c r="R11" i="3"/>
  <c r="I9" i="3"/>
  <c r="J9" i="3" s="1"/>
  <c r="F7" i="3"/>
  <c r="J84" i="3"/>
  <c r="T84" i="3" s="1"/>
  <c r="S51" i="3"/>
  <c r="K45" i="3"/>
  <c r="N45" i="3" s="1"/>
  <c r="S45" i="3" s="1"/>
  <c r="O39" i="3"/>
  <c r="R39" i="3" s="1"/>
  <c r="R40" i="3"/>
  <c r="S40" i="3" s="1"/>
  <c r="E21" i="3"/>
  <c r="J21" i="3" s="1"/>
  <c r="T21" i="3" s="1"/>
  <c r="N19" i="3"/>
  <c r="S19" i="3" s="1"/>
  <c r="N135" i="3"/>
  <c r="S135" i="3" s="1"/>
  <c r="R127" i="3"/>
  <c r="N88" i="3"/>
  <c r="S82" i="3"/>
  <c r="H79" i="3"/>
  <c r="F56" i="3"/>
  <c r="I57" i="3"/>
  <c r="J57" i="3" s="1"/>
  <c r="T57" i="3" s="1"/>
  <c r="I29" i="3"/>
  <c r="J29" i="3" s="1"/>
  <c r="T29" i="3" s="1"/>
  <c r="I93" i="3"/>
  <c r="S53" i="3"/>
  <c r="T53" i="3" s="1"/>
  <c r="E50" i="3"/>
  <c r="J50" i="3" s="1"/>
  <c r="T50" i="3" s="1"/>
  <c r="I31" i="3"/>
  <c r="Q25" i="3"/>
  <c r="E15" i="3"/>
  <c r="J15" i="3" s="1"/>
  <c r="L125" i="3"/>
  <c r="C118" i="3"/>
  <c r="N69" i="3"/>
  <c r="S69" i="3" s="1"/>
  <c r="R42" i="3"/>
  <c r="S27" i="3"/>
  <c r="T27" i="3" s="1"/>
  <c r="R20" i="3"/>
  <c r="N10" i="3"/>
  <c r="S10" i="3" s="1"/>
  <c r="H131" i="3"/>
  <c r="I131" i="3" s="1"/>
  <c r="N127" i="3"/>
  <c r="S127" i="3" s="1"/>
  <c r="B118" i="3"/>
  <c r="I107" i="3"/>
  <c r="R98" i="3"/>
  <c r="E98" i="3"/>
  <c r="J98" i="3" s="1"/>
  <c r="H96" i="3"/>
  <c r="C90" i="3"/>
  <c r="I88" i="3"/>
  <c r="N77" i="3"/>
  <c r="S77" i="3" s="1"/>
  <c r="Q64" i="3"/>
  <c r="L56" i="3"/>
  <c r="Q56" i="3"/>
  <c r="F45" i="3"/>
  <c r="I45" i="3" s="1"/>
  <c r="M33" i="3"/>
  <c r="O25" i="3"/>
  <c r="R25" i="3" s="1"/>
  <c r="B25" i="3"/>
  <c r="E25" i="3" s="1"/>
  <c r="S9" i="3"/>
  <c r="E86" i="3"/>
  <c r="J86" i="3" s="1"/>
  <c r="I76" i="3"/>
  <c r="J76" i="3" s="1"/>
  <c r="T76" i="3" s="1"/>
  <c r="N28" i="3"/>
  <c r="N132" i="3"/>
  <c r="S132" i="3" s="1"/>
  <c r="T132" i="3" s="1"/>
  <c r="K131" i="3"/>
  <c r="N123" i="3"/>
  <c r="S123" i="3" s="1"/>
  <c r="G104" i="3"/>
  <c r="F90" i="3"/>
  <c r="I90" i="3" s="1"/>
  <c r="I65" i="3"/>
  <c r="J65" i="3" s="1"/>
  <c r="F64" i="3"/>
  <c r="I64" i="3" s="1"/>
  <c r="F25" i="3"/>
  <c r="I25" i="3" s="1"/>
  <c r="S134" i="3"/>
  <c r="T134" i="3" s="1"/>
  <c r="D118" i="3"/>
  <c r="E114" i="3"/>
  <c r="J114" i="3" s="1"/>
  <c r="F104" i="3"/>
  <c r="R101" i="3"/>
  <c r="S101" i="3" s="1"/>
  <c r="N74" i="3"/>
  <c r="S74" i="3" s="1"/>
  <c r="H71" i="3"/>
  <c r="D25" i="3"/>
  <c r="R15" i="3"/>
  <c r="R119" i="3"/>
  <c r="S119" i="3" s="1"/>
  <c r="T119" i="3" s="1"/>
  <c r="O118" i="3"/>
  <c r="R118" i="3" s="1"/>
  <c r="R114" i="3"/>
  <c r="S114" i="3" s="1"/>
  <c r="J93" i="3"/>
  <c r="T93" i="3" s="1"/>
  <c r="S81" i="3"/>
  <c r="N66" i="3"/>
  <c r="S66" i="3" s="1"/>
  <c r="D64" i="3"/>
  <c r="E42" i="3"/>
  <c r="J42" i="3" s="1"/>
  <c r="P25" i="3"/>
  <c r="C25" i="3"/>
  <c r="E23" i="3"/>
  <c r="J23" i="3" s="1"/>
  <c r="S15" i="3"/>
  <c r="R133" i="3"/>
  <c r="S133" i="3" s="1"/>
  <c r="T133" i="3" s="1"/>
  <c r="I128" i="3"/>
  <c r="M118" i="3"/>
  <c r="E116" i="3"/>
  <c r="E113" i="3"/>
  <c r="J113" i="3" s="1"/>
  <c r="T113" i="3" s="1"/>
  <c r="H111" i="3"/>
  <c r="E105" i="3"/>
  <c r="J105" i="3" s="1"/>
  <c r="T105" i="3" s="1"/>
  <c r="G96" i="3"/>
  <c r="K96" i="3"/>
  <c r="N96" i="3" s="1"/>
  <c r="S96" i="3" s="1"/>
  <c r="P64" i="3"/>
  <c r="K56" i="3"/>
  <c r="N56" i="3" s="1"/>
  <c r="N58" i="3"/>
  <c r="S58" i="3" s="1"/>
  <c r="T58" i="3" s="1"/>
  <c r="D45" i="3"/>
  <c r="S26" i="3"/>
  <c r="T26" i="3" s="1"/>
  <c r="R23" i="3"/>
  <c r="S23" i="3" s="1"/>
  <c r="N12" i="3"/>
  <c r="S12" i="3" s="1"/>
  <c r="D7" i="3"/>
  <c r="E83" i="3"/>
  <c r="J83" i="3" s="1"/>
  <c r="E69" i="3"/>
  <c r="J69" i="3" s="1"/>
  <c r="E28" i="3"/>
  <c r="J28" i="3" s="1"/>
  <c r="E10" i="3"/>
  <c r="G125" i="3"/>
  <c r="I125" i="3" s="1"/>
  <c r="I116" i="3"/>
  <c r="P86" i="3"/>
  <c r="R86" i="3" s="1"/>
  <c r="S86" i="3" s="1"/>
  <c r="E77" i="3"/>
  <c r="J77" i="3" s="1"/>
  <c r="T77" i="3" s="1"/>
  <c r="I51" i="3"/>
  <c r="R34" i="3"/>
  <c r="O33" i="3"/>
  <c r="R33" i="3" s="1"/>
  <c r="C33" i="3"/>
  <c r="R83" i="3"/>
  <c r="R69" i="3"/>
  <c r="R28" i="3"/>
  <c r="I23" i="3"/>
  <c r="M7" i="3"/>
  <c r="N109" i="3"/>
  <c r="S109" i="3" s="1"/>
  <c r="T109" i="3" s="1"/>
  <c r="G56" i="3"/>
  <c r="D39" i="3"/>
  <c r="B33" i="3"/>
  <c r="E33" i="3" s="1"/>
  <c r="J33" i="3" s="1"/>
  <c r="I18" i="3"/>
  <c r="J18" i="3" s="1"/>
  <c r="T18" i="3" s="1"/>
  <c r="T92" i="9" l="1"/>
  <c r="Q145" i="9"/>
  <c r="Q151" i="9" s="1"/>
  <c r="Q155" i="9" s="1"/>
  <c r="D145" i="9"/>
  <c r="D151" i="9" s="1"/>
  <c r="D155" i="9" s="1"/>
  <c r="J137" i="9"/>
  <c r="T137" i="9" s="1"/>
  <c r="J25" i="9"/>
  <c r="T46" i="9"/>
  <c r="J45" i="9"/>
  <c r="N131" i="9"/>
  <c r="S131" i="9" s="1"/>
  <c r="K145" i="9"/>
  <c r="J39" i="9"/>
  <c r="T39" i="9" s="1"/>
  <c r="T112" i="9"/>
  <c r="R118" i="9"/>
  <c r="J119" i="9"/>
  <c r="T119" i="9" s="1"/>
  <c r="M145" i="9"/>
  <c r="M151" i="9" s="1"/>
  <c r="M155" i="9" s="1"/>
  <c r="J64" i="9"/>
  <c r="T64" i="9" s="1"/>
  <c r="J56" i="9"/>
  <c r="T56" i="9" s="1"/>
  <c r="I71" i="9"/>
  <c r="T76" i="9"/>
  <c r="I7" i="9"/>
  <c r="J79" i="9"/>
  <c r="T79" i="9" s="1"/>
  <c r="N111" i="9"/>
  <c r="S111" i="9" s="1"/>
  <c r="R25" i="9"/>
  <c r="S25" i="9" s="1"/>
  <c r="I56" i="9"/>
  <c r="N45" i="9"/>
  <c r="R64" i="9"/>
  <c r="S64" i="9" s="1"/>
  <c r="F145" i="9"/>
  <c r="I125" i="9"/>
  <c r="J125" i="9" s="1"/>
  <c r="T125" i="9" s="1"/>
  <c r="O145" i="9"/>
  <c r="R7" i="9"/>
  <c r="S7" i="9" s="1"/>
  <c r="N33" i="9"/>
  <c r="S33" i="9" s="1"/>
  <c r="N71" i="9"/>
  <c r="S71" i="9" s="1"/>
  <c r="R45" i="9"/>
  <c r="S96" i="9"/>
  <c r="I137" i="9"/>
  <c r="I45" i="9"/>
  <c r="I86" i="9"/>
  <c r="J86" i="9" s="1"/>
  <c r="T86" i="9" s="1"/>
  <c r="S104" i="9"/>
  <c r="T105" i="9"/>
  <c r="T91" i="9"/>
  <c r="J118" i="9"/>
  <c r="N118" i="9"/>
  <c r="S118" i="9" s="1"/>
  <c r="J34" i="9"/>
  <c r="J73" i="9"/>
  <c r="T73" i="9" s="1"/>
  <c r="R90" i="9"/>
  <c r="S90" i="9" s="1"/>
  <c r="T90" i="9" s="1"/>
  <c r="T123" i="9"/>
  <c r="C145" i="9"/>
  <c r="C151" i="9" s="1"/>
  <c r="C155" i="9" s="1"/>
  <c r="J33" i="9"/>
  <c r="I131" i="9"/>
  <c r="J131" i="9" s="1"/>
  <c r="T131" i="9" s="1"/>
  <c r="S105" i="9"/>
  <c r="E104" i="9"/>
  <c r="J104" i="9" s="1"/>
  <c r="T104" i="9" s="1"/>
  <c r="I111" i="9"/>
  <c r="J111" i="9" s="1"/>
  <c r="T111" i="9" s="1"/>
  <c r="B145" i="9"/>
  <c r="E7" i="9"/>
  <c r="J7" i="9" s="1"/>
  <c r="S34" i="9"/>
  <c r="E96" i="9"/>
  <c r="J96" i="9" s="1"/>
  <c r="T96" i="9" s="1"/>
  <c r="J87" i="9"/>
  <c r="T87" i="9" s="1"/>
  <c r="E71" i="9"/>
  <c r="J65" i="9"/>
  <c r="T65" i="9" s="1"/>
  <c r="T127" i="8"/>
  <c r="T39" i="8"/>
  <c r="J131" i="8"/>
  <c r="T131" i="8" s="1"/>
  <c r="S25" i="8"/>
  <c r="S56" i="8"/>
  <c r="T57" i="8"/>
  <c r="T8" i="8"/>
  <c r="T26" i="8"/>
  <c r="J125" i="8"/>
  <c r="T125" i="8" s="1"/>
  <c r="L145" i="8"/>
  <c r="L151" i="8" s="1"/>
  <c r="L155" i="8" s="1"/>
  <c r="T52" i="8"/>
  <c r="R56" i="8"/>
  <c r="J118" i="8"/>
  <c r="N7" i="8"/>
  <c r="S7" i="8" s="1"/>
  <c r="M145" i="8"/>
  <c r="M151" i="8" s="1"/>
  <c r="M155" i="8" s="1"/>
  <c r="E7" i="8"/>
  <c r="J7" i="8" s="1"/>
  <c r="T7" i="8" s="1"/>
  <c r="B145" i="8"/>
  <c r="C145" i="8"/>
  <c r="C151" i="8" s="1"/>
  <c r="C155" i="8" s="1"/>
  <c r="S80" i="8"/>
  <c r="T80" i="8" s="1"/>
  <c r="T98" i="8"/>
  <c r="R33" i="8"/>
  <c r="N33" i="8"/>
  <c r="R96" i="8"/>
  <c r="N125" i="8"/>
  <c r="S125" i="8" s="1"/>
  <c r="N118" i="8"/>
  <c r="I79" i="8"/>
  <c r="T47" i="8"/>
  <c r="J79" i="8"/>
  <c r="T79" i="8" s="1"/>
  <c r="J25" i="8"/>
  <c r="T25" i="8" s="1"/>
  <c r="Q145" i="8"/>
  <c r="Q151" i="8" s="1"/>
  <c r="Q155" i="8" s="1"/>
  <c r="J45" i="8"/>
  <c r="T45" i="8" s="1"/>
  <c r="T101" i="8"/>
  <c r="J56" i="8"/>
  <c r="T56" i="8" s="1"/>
  <c r="S79" i="8"/>
  <c r="R118" i="8"/>
  <c r="I45" i="8"/>
  <c r="K145" i="8"/>
  <c r="J137" i="8"/>
  <c r="N96" i="8"/>
  <c r="S96" i="8" s="1"/>
  <c r="S48" i="8"/>
  <c r="T48" i="8" s="1"/>
  <c r="J128" i="8"/>
  <c r="T128" i="8" s="1"/>
  <c r="S106" i="8"/>
  <c r="T106" i="8" s="1"/>
  <c r="N111" i="8"/>
  <c r="S111" i="8" s="1"/>
  <c r="S104" i="8"/>
  <c r="R25" i="8"/>
  <c r="T123" i="8"/>
  <c r="T132" i="8"/>
  <c r="G145" i="8"/>
  <c r="G151" i="8" s="1"/>
  <c r="G155" i="8" s="1"/>
  <c r="S113" i="8"/>
  <c r="T113" i="8" s="1"/>
  <c r="J96" i="8"/>
  <c r="J111" i="8"/>
  <c r="R64" i="8"/>
  <c r="S64" i="8" s="1"/>
  <c r="T64" i="8" s="1"/>
  <c r="T104" i="8"/>
  <c r="N137" i="8"/>
  <c r="S137" i="8" s="1"/>
  <c r="F145" i="8"/>
  <c r="I7" i="8"/>
  <c r="O145" i="8"/>
  <c r="R7" i="8"/>
  <c r="I33" i="8"/>
  <c r="J33" i="8" s="1"/>
  <c r="D145" i="8"/>
  <c r="D151" i="8" s="1"/>
  <c r="D155" i="8" s="1"/>
  <c r="S96" i="7"/>
  <c r="J131" i="7"/>
  <c r="N137" i="7"/>
  <c r="S137" i="7" s="1"/>
  <c r="C145" i="7"/>
  <c r="C151" i="7" s="1"/>
  <c r="C155" i="7" s="1"/>
  <c r="J111" i="7"/>
  <c r="T111" i="7" s="1"/>
  <c r="N125" i="7"/>
  <c r="S125" i="7" s="1"/>
  <c r="T125" i="7" s="1"/>
  <c r="M145" i="7"/>
  <c r="M151" i="7" s="1"/>
  <c r="M155" i="7" s="1"/>
  <c r="R25" i="7"/>
  <c r="N25" i="7"/>
  <c r="S25" i="7" s="1"/>
  <c r="S104" i="7"/>
  <c r="J72" i="7"/>
  <c r="T72" i="7" s="1"/>
  <c r="J56" i="7"/>
  <c r="T56" i="7" s="1"/>
  <c r="R7" i="7"/>
  <c r="O145" i="7"/>
  <c r="S86" i="7"/>
  <c r="T122" i="7"/>
  <c r="R79" i="7"/>
  <c r="S79" i="7" s="1"/>
  <c r="I45" i="7"/>
  <c r="T149" i="7"/>
  <c r="J45" i="7"/>
  <c r="T45" i="7" s="1"/>
  <c r="T87" i="7"/>
  <c r="T47" i="7"/>
  <c r="E64" i="7"/>
  <c r="L145" i="7"/>
  <c r="L151" i="7" s="1"/>
  <c r="L155" i="7" s="1"/>
  <c r="N131" i="7"/>
  <c r="S131" i="7" s="1"/>
  <c r="T126" i="7"/>
  <c r="T26" i="7"/>
  <c r="I64" i="7"/>
  <c r="S88" i="7"/>
  <c r="K145" i="7"/>
  <c r="N7" i="7"/>
  <c r="S7" i="7" s="1"/>
  <c r="E71" i="7"/>
  <c r="E25" i="7"/>
  <c r="J25" i="7" s="1"/>
  <c r="T58" i="7"/>
  <c r="T90" i="7"/>
  <c r="D145" i="7"/>
  <c r="D151" i="7" s="1"/>
  <c r="D155" i="7" s="1"/>
  <c r="I71" i="7"/>
  <c r="T138" i="7"/>
  <c r="P145" i="7"/>
  <c r="P151" i="7" s="1"/>
  <c r="P155" i="7" s="1"/>
  <c r="S33" i="7"/>
  <c r="T33" i="7" s="1"/>
  <c r="J137" i="7"/>
  <c r="T137" i="7" s="1"/>
  <c r="T88" i="7"/>
  <c r="F145" i="7"/>
  <c r="I7" i="7"/>
  <c r="Q145" i="7"/>
  <c r="Q151" i="7" s="1"/>
  <c r="Q155" i="7" s="1"/>
  <c r="R64" i="7"/>
  <c r="S64" i="7" s="1"/>
  <c r="J98" i="7"/>
  <c r="T98" i="7" s="1"/>
  <c r="T31" i="7"/>
  <c r="S45" i="7"/>
  <c r="T96" i="7"/>
  <c r="T141" i="7"/>
  <c r="H145" i="7"/>
  <c r="H151" i="7" s="1"/>
  <c r="H155" i="7" s="1"/>
  <c r="I39" i="7"/>
  <c r="J39" i="7" s="1"/>
  <c r="T39" i="7" s="1"/>
  <c r="T81" i="7"/>
  <c r="S127" i="7"/>
  <c r="T127" i="7" s="1"/>
  <c r="T66" i="7"/>
  <c r="J79" i="7"/>
  <c r="E104" i="7"/>
  <c r="J104" i="7" s="1"/>
  <c r="T104" i="7" s="1"/>
  <c r="J86" i="7"/>
  <c r="E7" i="7"/>
  <c r="J7" i="7" s="1"/>
  <c r="B145" i="7"/>
  <c r="T8" i="6"/>
  <c r="J71" i="6"/>
  <c r="S79" i="6"/>
  <c r="N125" i="6"/>
  <c r="S125" i="6" s="1"/>
  <c r="G145" i="6"/>
  <c r="G151" i="6" s="1"/>
  <c r="G155" i="6" s="1"/>
  <c r="N111" i="6"/>
  <c r="S111" i="6" s="1"/>
  <c r="J111" i="6"/>
  <c r="T111" i="6" s="1"/>
  <c r="S64" i="6"/>
  <c r="J118" i="6"/>
  <c r="I79" i="6"/>
  <c r="J79" i="6" s="1"/>
  <c r="T79" i="6" s="1"/>
  <c r="C145" i="6"/>
  <c r="C151" i="6" s="1"/>
  <c r="C155" i="6" s="1"/>
  <c r="R25" i="6"/>
  <c r="K151" i="6"/>
  <c r="S132" i="6"/>
  <c r="S90" i="6"/>
  <c r="T90" i="6"/>
  <c r="J56" i="6"/>
  <c r="I64" i="6"/>
  <c r="J64" i="6" s="1"/>
  <c r="T64" i="6" s="1"/>
  <c r="F145" i="6"/>
  <c r="I7" i="6"/>
  <c r="T30" i="6"/>
  <c r="O145" i="6"/>
  <c r="R7" i="6"/>
  <c r="J131" i="6"/>
  <c r="N131" i="6"/>
  <c r="S131" i="6" s="1"/>
  <c r="J119" i="6"/>
  <c r="T119" i="6" s="1"/>
  <c r="J96" i="6"/>
  <c r="B145" i="6"/>
  <c r="E7" i="6"/>
  <c r="J7" i="6" s="1"/>
  <c r="T7" i="6" s="1"/>
  <c r="S56" i="6"/>
  <c r="T12" i="6"/>
  <c r="S33" i="6"/>
  <c r="I25" i="6"/>
  <c r="J25" i="6" s="1"/>
  <c r="T25" i="6" s="1"/>
  <c r="S104" i="6"/>
  <c r="T125" i="6"/>
  <c r="N137" i="6"/>
  <c r="S137" i="6" s="1"/>
  <c r="T137" i="6" s="1"/>
  <c r="J33" i="6"/>
  <c r="T33" i="6" s="1"/>
  <c r="T126" i="6"/>
  <c r="R71" i="6"/>
  <c r="S71" i="6" s="1"/>
  <c r="T34" i="6"/>
  <c r="T65" i="6"/>
  <c r="T80" i="6"/>
  <c r="M145" i="6"/>
  <c r="M151" i="6" s="1"/>
  <c r="M155" i="6" s="1"/>
  <c r="T132" i="6"/>
  <c r="I111" i="6"/>
  <c r="S36" i="6"/>
  <c r="T36" i="6" s="1"/>
  <c r="J139" i="6"/>
  <c r="T139" i="6" s="1"/>
  <c r="N25" i="6"/>
  <c r="S25" i="6" s="1"/>
  <c r="T112" i="6"/>
  <c r="T66" i="6"/>
  <c r="R118" i="6"/>
  <c r="S118" i="6" s="1"/>
  <c r="I45" i="6"/>
  <c r="J45" i="6" s="1"/>
  <c r="T45" i="6" s="1"/>
  <c r="E104" i="6"/>
  <c r="J104" i="6" s="1"/>
  <c r="T104" i="6" s="1"/>
  <c r="R96" i="6"/>
  <c r="S96" i="6" s="1"/>
  <c r="J138" i="6"/>
  <c r="T138" i="6" s="1"/>
  <c r="R131" i="6"/>
  <c r="T127" i="6"/>
  <c r="J39" i="6"/>
  <c r="T39" i="6" s="1"/>
  <c r="I96" i="6"/>
  <c r="N7" i="6"/>
  <c r="S7" i="6" s="1"/>
  <c r="E7" i="5"/>
  <c r="B145" i="5"/>
  <c r="T106" i="5"/>
  <c r="N79" i="5"/>
  <c r="S79" i="5" s="1"/>
  <c r="R45" i="5"/>
  <c r="T133" i="5"/>
  <c r="T72" i="5"/>
  <c r="J131" i="5"/>
  <c r="J96" i="5"/>
  <c r="T96" i="5" s="1"/>
  <c r="J104" i="5"/>
  <c r="T104" i="5" s="1"/>
  <c r="C145" i="5"/>
  <c r="C151" i="5" s="1"/>
  <c r="C155" i="5" s="1"/>
  <c r="J79" i="5"/>
  <c r="R25" i="5"/>
  <c r="S25" i="5" s="1"/>
  <c r="T25" i="5" s="1"/>
  <c r="S56" i="5"/>
  <c r="T56" i="5" s="1"/>
  <c r="T138" i="5"/>
  <c r="S64" i="5"/>
  <c r="G145" i="5"/>
  <c r="G151" i="5" s="1"/>
  <c r="G155" i="5" s="1"/>
  <c r="E71" i="5"/>
  <c r="J71" i="5" s="1"/>
  <c r="E64" i="5"/>
  <c r="J64" i="5" s="1"/>
  <c r="T98" i="5"/>
  <c r="J46" i="5"/>
  <c r="T46" i="5" s="1"/>
  <c r="N131" i="5"/>
  <c r="S131" i="5" s="1"/>
  <c r="S33" i="5"/>
  <c r="T33" i="5" s="1"/>
  <c r="I39" i="5"/>
  <c r="J39" i="5" s="1"/>
  <c r="T39" i="5" s="1"/>
  <c r="N45" i="5"/>
  <c r="N125" i="5"/>
  <c r="S125" i="5" s="1"/>
  <c r="I125" i="5"/>
  <c r="J125" i="5" s="1"/>
  <c r="T125" i="5" s="1"/>
  <c r="S90" i="5"/>
  <c r="Q145" i="5"/>
  <c r="Q151" i="5" s="1"/>
  <c r="Q155" i="5" s="1"/>
  <c r="J90" i="5"/>
  <c r="T86" i="5"/>
  <c r="F145" i="5"/>
  <c r="I7" i="5"/>
  <c r="I137" i="5"/>
  <c r="J137" i="5" s="1"/>
  <c r="T137" i="5" s="1"/>
  <c r="T34" i="5"/>
  <c r="I45" i="5"/>
  <c r="J45" i="5" s="1"/>
  <c r="O145" i="5"/>
  <c r="R7" i="5"/>
  <c r="N96" i="5"/>
  <c r="S96" i="5" s="1"/>
  <c r="J26" i="5"/>
  <c r="T26" i="5" s="1"/>
  <c r="J8" i="5"/>
  <c r="T8" i="5" s="1"/>
  <c r="T11" i="5"/>
  <c r="T119" i="5"/>
  <c r="R118" i="5"/>
  <c r="S118" i="5" s="1"/>
  <c r="T118" i="5" s="1"/>
  <c r="T113" i="5"/>
  <c r="P145" i="5"/>
  <c r="P151" i="5" s="1"/>
  <c r="P155" i="5" s="1"/>
  <c r="M145" i="5"/>
  <c r="M151" i="5" s="1"/>
  <c r="M155" i="5" s="1"/>
  <c r="R71" i="5"/>
  <c r="S71" i="5" s="1"/>
  <c r="T126" i="5"/>
  <c r="J87" i="5"/>
  <c r="T87" i="5" s="1"/>
  <c r="N7" i="5"/>
  <c r="K145" i="5"/>
  <c r="S131" i="4"/>
  <c r="N79" i="4"/>
  <c r="S79" i="4" s="1"/>
  <c r="T79" i="4" s="1"/>
  <c r="T98" i="4"/>
  <c r="N90" i="4"/>
  <c r="S90" i="4" s="1"/>
  <c r="T90" i="4" s="1"/>
  <c r="S34" i="4"/>
  <c r="T34" i="4" s="1"/>
  <c r="E33" i="4"/>
  <c r="J33" i="4" s="1"/>
  <c r="T33" i="4" s="1"/>
  <c r="B145" i="4"/>
  <c r="K145" i="4"/>
  <c r="N7" i="4"/>
  <c r="S7" i="4" s="1"/>
  <c r="T86" i="4"/>
  <c r="S39" i="4"/>
  <c r="I111" i="4"/>
  <c r="E39" i="4"/>
  <c r="J39" i="4" s="1"/>
  <c r="T39" i="4" s="1"/>
  <c r="T66" i="4"/>
  <c r="H145" i="4"/>
  <c r="H151" i="4" s="1"/>
  <c r="H155" i="4" s="1"/>
  <c r="T132" i="4"/>
  <c r="S48" i="4"/>
  <c r="T48" i="4" s="1"/>
  <c r="T113" i="4"/>
  <c r="J125" i="4"/>
  <c r="T125" i="4" s="1"/>
  <c r="T67" i="4"/>
  <c r="F145" i="4"/>
  <c r="I7" i="4"/>
  <c r="N125" i="4"/>
  <c r="S125" i="4" s="1"/>
  <c r="S33" i="4"/>
  <c r="T123" i="4"/>
  <c r="J40" i="4"/>
  <c r="T40" i="4" s="1"/>
  <c r="T131" i="4"/>
  <c r="T94" i="4"/>
  <c r="S45" i="4"/>
  <c r="T119" i="4"/>
  <c r="O145" i="4"/>
  <c r="R7" i="4"/>
  <c r="T81" i="4"/>
  <c r="I45" i="4"/>
  <c r="J45" i="4" s="1"/>
  <c r="T45" i="4" s="1"/>
  <c r="R45" i="4"/>
  <c r="T71" i="4"/>
  <c r="I137" i="4"/>
  <c r="J137" i="4" s="1"/>
  <c r="T137" i="4" s="1"/>
  <c r="I125" i="4"/>
  <c r="J87" i="4"/>
  <c r="T87" i="4" s="1"/>
  <c r="T64" i="4"/>
  <c r="C145" i="4"/>
  <c r="C151" i="4" s="1"/>
  <c r="C155" i="4" s="1"/>
  <c r="J26" i="4"/>
  <c r="T26" i="4" s="1"/>
  <c r="E25" i="4"/>
  <c r="J25" i="4" s="1"/>
  <c r="T58" i="4"/>
  <c r="T133" i="4"/>
  <c r="E7" i="4"/>
  <c r="J7" i="4" s="1"/>
  <c r="I96" i="4"/>
  <c r="J96" i="4" s="1"/>
  <c r="T96" i="4" s="1"/>
  <c r="T126" i="4"/>
  <c r="J80" i="4"/>
  <c r="T80" i="4" s="1"/>
  <c r="R118" i="4"/>
  <c r="S118" i="4" s="1"/>
  <c r="T118" i="4" s="1"/>
  <c r="S119" i="4"/>
  <c r="J111" i="4"/>
  <c r="T111" i="4" s="1"/>
  <c r="N96" i="4"/>
  <c r="S96" i="4" s="1"/>
  <c r="T14" i="4"/>
  <c r="S25" i="4"/>
  <c r="T65" i="3"/>
  <c r="S34" i="3"/>
  <c r="T34" i="3" s="1"/>
  <c r="T33" i="3"/>
  <c r="T86" i="3"/>
  <c r="P145" i="3"/>
  <c r="P151" i="3" s="1"/>
  <c r="P155" i="3" s="1"/>
  <c r="S137" i="3"/>
  <c r="T98" i="3"/>
  <c r="T23" i="3"/>
  <c r="S104" i="3"/>
  <c r="R111" i="3"/>
  <c r="S111" i="3" s="1"/>
  <c r="E39" i="3"/>
  <c r="J39" i="3" s="1"/>
  <c r="T39" i="3" s="1"/>
  <c r="E131" i="3"/>
  <c r="J131" i="3" s="1"/>
  <c r="S98" i="3"/>
  <c r="B145" i="3"/>
  <c r="E7" i="3"/>
  <c r="J7" i="3" s="1"/>
  <c r="J128" i="3"/>
  <c r="T128" i="3" s="1"/>
  <c r="L145" i="3"/>
  <c r="L151" i="3" s="1"/>
  <c r="L155" i="3" s="1"/>
  <c r="E137" i="3"/>
  <c r="J137" i="3" s="1"/>
  <c r="T137" i="3" s="1"/>
  <c r="T28" i="3"/>
  <c r="T42" i="3"/>
  <c r="S88" i="3"/>
  <c r="T88" i="3" s="1"/>
  <c r="J51" i="3"/>
  <c r="T51" i="3" s="1"/>
  <c r="S46" i="3"/>
  <c r="R7" i="3"/>
  <c r="O145" i="3"/>
  <c r="J106" i="3"/>
  <c r="T106" i="3" s="1"/>
  <c r="J25" i="3"/>
  <c r="T25" i="3" s="1"/>
  <c r="I56" i="3"/>
  <c r="T107" i="3"/>
  <c r="S56" i="3"/>
  <c r="J56" i="3"/>
  <c r="T56" i="3" s="1"/>
  <c r="T40" i="3"/>
  <c r="E90" i="3"/>
  <c r="J90" i="3" s="1"/>
  <c r="M145" i="3"/>
  <c r="M151" i="3" s="1"/>
  <c r="M155" i="3" s="1"/>
  <c r="T15" i="3"/>
  <c r="I7" i="3"/>
  <c r="F145" i="3"/>
  <c r="T135" i="3"/>
  <c r="J10" i="3"/>
  <c r="T10" i="3" s="1"/>
  <c r="E118" i="3"/>
  <c r="J118" i="3" s="1"/>
  <c r="T118" i="3" s="1"/>
  <c r="T9" i="3"/>
  <c r="S42" i="3"/>
  <c r="T69" i="3"/>
  <c r="N131" i="3"/>
  <c r="S131" i="3" s="1"/>
  <c r="E64" i="3"/>
  <c r="J64" i="3" s="1"/>
  <c r="T64" i="3" s="1"/>
  <c r="S90" i="3"/>
  <c r="J111" i="3"/>
  <c r="T71" i="3"/>
  <c r="C145" i="3"/>
  <c r="C151" i="3" s="1"/>
  <c r="C155" i="3" s="1"/>
  <c r="T46" i="3"/>
  <c r="N125" i="3"/>
  <c r="S125" i="3" s="1"/>
  <c r="T61" i="3"/>
  <c r="E45" i="3"/>
  <c r="J45" i="3" s="1"/>
  <c r="T45" i="3" s="1"/>
  <c r="G145" i="3"/>
  <c r="G151" i="3" s="1"/>
  <c r="G155" i="3" s="1"/>
  <c r="H145" i="3"/>
  <c r="H151" i="3" s="1"/>
  <c r="H155" i="3" s="1"/>
  <c r="S83" i="3"/>
  <c r="T83" i="3" s="1"/>
  <c r="N118" i="3"/>
  <c r="S118" i="3" s="1"/>
  <c r="S71" i="3"/>
  <c r="E96" i="3"/>
  <c r="D145" i="3"/>
  <c r="D151" i="3" s="1"/>
  <c r="D155" i="3" s="1"/>
  <c r="I104" i="3"/>
  <c r="J104" i="3" s="1"/>
  <c r="T104" i="3" s="1"/>
  <c r="T66" i="3"/>
  <c r="J125" i="3"/>
  <c r="T125" i="3" s="1"/>
  <c r="N7" i="3"/>
  <c r="S7" i="3" s="1"/>
  <c r="K145" i="3"/>
  <c r="I96" i="3"/>
  <c r="J116" i="3"/>
  <c r="T116" i="3" s="1"/>
  <c r="T114" i="3"/>
  <c r="S28" i="3"/>
  <c r="N33" i="3"/>
  <c r="S33" i="3" s="1"/>
  <c r="N79" i="3"/>
  <c r="S79" i="3" s="1"/>
  <c r="T79" i="3" s="1"/>
  <c r="T12" i="3"/>
  <c r="T7" i="9" l="1"/>
  <c r="T34" i="9"/>
  <c r="B151" i="9"/>
  <c r="E145" i="9"/>
  <c r="T118" i="9"/>
  <c r="F151" i="9"/>
  <c r="I145" i="9"/>
  <c r="J71" i="9"/>
  <c r="T71" i="9" s="1"/>
  <c r="S45" i="9"/>
  <c r="T45" i="9" s="1"/>
  <c r="K151" i="9"/>
  <c r="N145" i="9"/>
  <c r="S145" i="9" s="1"/>
  <c r="T25" i="9"/>
  <c r="T33" i="9"/>
  <c r="R145" i="9"/>
  <c r="O151" i="9"/>
  <c r="T111" i="8"/>
  <c r="S118" i="8"/>
  <c r="T118" i="8"/>
  <c r="F151" i="8"/>
  <c r="I145" i="8"/>
  <c r="E145" i="8"/>
  <c r="J145" i="8" s="1"/>
  <c r="B151" i="8"/>
  <c r="T96" i="8"/>
  <c r="T137" i="8"/>
  <c r="K151" i="8"/>
  <c r="N145" i="8"/>
  <c r="S145" i="8" s="1"/>
  <c r="R145" i="8"/>
  <c r="O151" i="8"/>
  <c r="S33" i="8"/>
  <c r="T33" i="8" s="1"/>
  <c r="O151" i="7"/>
  <c r="R145" i="7"/>
  <c r="T7" i="7"/>
  <c r="T131" i="7"/>
  <c r="I145" i="7"/>
  <c r="F151" i="7"/>
  <c r="K151" i="7"/>
  <c r="N145" i="7"/>
  <c r="S145" i="7" s="1"/>
  <c r="E145" i="7"/>
  <c r="J145" i="7" s="1"/>
  <c r="T145" i="7" s="1"/>
  <c r="B151" i="7"/>
  <c r="T86" i="7"/>
  <c r="J64" i="7"/>
  <c r="T64" i="7" s="1"/>
  <c r="T79" i="7"/>
  <c r="T25" i="7"/>
  <c r="J71" i="7"/>
  <c r="T71" i="7" s="1"/>
  <c r="B151" i="6"/>
  <c r="E145" i="6"/>
  <c r="T118" i="6"/>
  <c r="T96" i="6"/>
  <c r="T131" i="6"/>
  <c r="N145" i="6"/>
  <c r="I145" i="6"/>
  <c r="F151" i="6"/>
  <c r="T56" i="6"/>
  <c r="R145" i="6"/>
  <c r="O151" i="6"/>
  <c r="N151" i="6"/>
  <c r="K155" i="6"/>
  <c r="N155" i="6" s="1"/>
  <c r="T71" i="6"/>
  <c r="T79" i="5"/>
  <c r="S45" i="5"/>
  <c r="T45" i="5" s="1"/>
  <c r="R145" i="5"/>
  <c r="O151" i="5"/>
  <c r="E145" i="5"/>
  <c r="B151" i="5"/>
  <c r="F151" i="5"/>
  <c r="I145" i="5"/>
  <c r="T90" i="5"/>
  <c r="T131" i="5"/>
  <c r="K151" i="5"/>
  <c r="N145" i="5"/>
  <c r="T71" i="5"/>
  <c r="J7" i="5"/>
  <c r="T64" i="5"/>
  <c r="S7" i="5"/>
  <c r="E145" i="4"/>
  <c r="B151" i="4"/>
  <c r="R145" i="4"/>
  <c r="O151" i="4"/>
  <c r="K151" i="4"/>
  <c r="N145" i="4"/>
  <c r="S145" i="4" s="1"/>
  <c r="T7" i="4"/>
  <c r="F151" i="4"/>
  <c r="I145" i="4"/>
  <c r="T25" i="4"/>
  <c r="T7" i="3"/>
  <c r="E145" i="3"/>
  <c r="B151" i="3"/>
  <c r="J96" i="3"/>
  <c r="T96" i="3" s="1"/>
  <c r="F151" i="3"/>
  <c r="I145" i="3"/>
  <c r="O151" i="3"/>
  <c r="R145" i="3"/>
  <c r="T131" i="3"/>
  <c r="T90" i="3"/>
  <c r="N145" i="3"/>
  <c r="S145" i="3" s="1"/>
  <c r="K151" i="3"/>
  <c r="T111" i="3"/>
  <c r="N151" i="9" l="1"/>
  <c r="K155" i="9"/>
  <c r="N155" i="9" s="1"/>
  <c r="S155" i="9" s="1"/>
  <c r="I151" i="9"/>
  <c r="F155" i="9"/>
  <c r="I155" i="9" s="1"/>
  <c r="O155" i="9"/>
  <c r="R155" i="9" s="1"/>
  <c r="R151" i="9"/>
  <c r="J145" i="9"/>
  <c r="T145" i="9" s="1"/>
  <c r="B155" i="9"/>
  <c r="E155" i="9" s="1"/>
  <c r="J155" i="9" s="1"/>
  <c r="T155" i="9" s="1"/>
  <c r="E151" i="9"/>
  <c r="J151" i="9" s="1"/>
  <c r="B155" i="8"/>
  <c r="E155" i="8" s="1"/>
  <c r="E151" i="8"/>
  <c r="N151" i="8"/>
  <c r="K155" i="8"/>
  <c r="N155" i="8" s="1"/>
  <c r="T145" i="8"/>
  <c r="I151" i="8"/>
  <c r="F155" i="8"/>
  <c r="I155" i="8" s="1"/>
  <c r="R151" i="8"/>
  <c r="O155" i="8"/>
  <c r="R155" i="8" s="1"/>
  <c r="N151" i="7"/>
  <c r="K155" i="7"/>
  <c r="N155" i="7" s="1"/>
  <c r="E151" i="7"/>
  <c r="B155" i="7"/>
  <c r="E155" i="7" s="1"/>
  <c r="F155" i="7"/>
  <c r="I155" i="7" s="1"/>
  <c r="I151" i="7"/>
  <c r="R151" i="7"/>
  <c r="O155" i="7"/>
  <c r="R155" i="7" s="1"/>
  <c r="O155" i="6"/>
  <c r="R155" i="6" s="1"/>
  <c r="R151" i="6"/>
  <c r="I151" i="6"/>
  <c r="F155" i="6"/>
  <c r="I155" i="6" s="1"/>
  <c r="S145" i="6"/>
  <c r="J145" i="6"/>
  <c r="T145" i="6" s="1"/>
  <c r="S151" i="6"/>
  <c r="S155" i="6"/>
  <c r="E151" i="6"/>
  <c r="J151" i="6" s="1"/>
  <c r="T151" i="6" s="1"/>
  <c r="B155" i="6"/>
  <c r="E155" i="6" s="1"/>
  <c r="J155" i="6" s="1"/>
  <c r="T155" i="6" s="1"/>
  <c r="K155" i="5"/>
  <c r="N155" i="5" s="1"/>
  <c r="N151" i="5"/>
  <c r="I151" i="5"/>
  <c r="F155" i="5"/>
  <c r="I155" i="5" s="1"/>
  <c r="J145" i="5"/>
  <c r="R151" i="5"/>
  <c r="O155" i="5"/>
  <c r="R155" i="5" s="1"/>
  <c r="E151" i="5"/>
  <c r="J151" i="5" s="1"/>
  <c r="B155" i="5"/>
  <c r="E155" i="5" s="1"/>
  <c r="J155" i="5" s="1"/>
  <c r="T7" i="5"/>
  <c r="S145" i="5"/>
  <c r="I151" i="4"/>
  <c r="F155" i="4"/>
  <c r="I155" i="4" s="1"/>
  <c r="K155" i="4"/>
  <c r="N155" i="4" s="1"/>
  <c r="N151" i="4"/>
  <c r="R151" i="4"/>
  <c r="O155" i="4"/>
  <c r="R155" i="4" s="1"/>
  <c r="E151" i="4"/>
  <c r="J151" i="4" s="1"/>
  <c r="B155" i="4"/>
  <c r="E155" i="4" s="1"/>
  <c r="J155" i="4" s="1"/>
  <c r="J145" i="4"/>
  <c r="T145" i="4" s="1"/>
  <c r="K155" i="3"/>
  <c r="N155" i="3" s="1"/>
  <c r="N151" i="3"/>
  <c r="O155" i="3"/>
  <c r="R155" i="3" s="1"/>
  <c r="R151" i="3"/>
  <c r="I151" i="3"/>
  <c r="F155" i="3"/>
  <c r="I155" i="3" s="1"/>
  <c r="E151" i="3"/>
  <c r="J151" i="3" s="1"/>
  <c r="B155" i="3"/>
  <c r="E155" i="3" s="1"/>
  <c r="J155" i="3" s="1"/>
  <c r="J145" i="3"/>
  <c r="T145" i="3" s="1"/>
  <c r="T151" i="9" l="1"/>
  <c r="S151" i="9"/>
  <c r="S155" i="8"/>
  <c r="S151" i="8"/>
  <c r="J151" i="8"/>
  <c r="T151" i="8" s="1"/>
  <c r="J155" i="8"/>
  <c r="T155" i="8" s="1"/>
  <c r="J155" i="7"/>
  <c r="J151" i="7"/>
  <c r="S155" i="7"/>
  <c r="S151" i="7"/>
  <c r="T145" i="5"/>
  <c r="S151" i="5"/>
  <c r="T151" i="5" s="1"/>
  <c r="S155" i="5"/>
  <c r="T155" i="5" s="1"/>
  <c r="S151" i="4"/>
  <c r="T151" i="4" s="1"/>
  <c r="S155" i="4"/>
  <c r="T155" i="4" s="1"/>
  <c r="S151" i="3"/>
  <c r="T151" i="3" s="1"/>
  <c r="S155" i="3"/>
  <c r="T155" i="3" s="1"/>
  <c r="T151" i="7" l="1"/>
  <c r="T155" i="7"/>
  <c r="R153" i="2" l="1"/>
  <c r="N153" i="2"/>
  <c r="I153" i="2"/>
  <c r="E153" i="2"/>
  <c r="J153" i="2" s="1"/>
  <c r="S149" i="2"/>
  <c r="R149" i="2"/>
  <c r="N149" i="2"/>
  <c r="I149" i="2"/>
  <c r="R147" i="2"/>
  <c r="N147" i="2"/>
  <c r="S147" i="2" s="1"/>
  <c r="I147" i="2"/>
  <c r="J147" i="2" s="1"/>
  <c r="T147" i="2" s="1"/>
  <c r="E147" i="2"/>
  <c r="R142" i="2"/>
  <c r="I142" i="2"/>
  <c r="E142" i="2"/>
  <c r="J142" i="2" s="1"/>
  <c r="R141" i="2"/>
  <c r="S141" i="2" s="1"/>
  <c r="N141" i="2"/>
  <c r="I141" i="2"/>
  <c r="E141" i="2"/>
  <c r="J141" i="2" s="1"/>
  <c r="R140" i="2"/>
  <c r="L137" i="2"/>
  <c r="N140" i="2"/>
  <c r="I140" i="2"/>
  <c r="R139" i="2"/>
  <c r="N139" i="2"/>
  <c r="S139" i="2" s="1"/>
  <c r="G137" i="2"/>
  <c r="E139" i="2"/>
  <c r="I138" i="2"/>
  <c r="E138" i="2"/>
  <c r="J138" i="2" s="1"/>
  <c r="Q137" i="2"/>
  <c r="P137" i="2"/>
  <c r="O137" i="2"/>
  <c r="R137" i="2" s="1"/>
  <c r="H137" i="2"/>
  <c r="R135" i="2"/>
  <c r="N135" i="2"/>
  <c r="S135" i="2" s="1"/>
  <c r="C131" i="2"/>
  <c r="E135" i="2"/>
  <c r="R134" i="2"/>
  <c r="N134" i="2"/>
  <c r="S134" i="2" s="1"/>
  <c r="I134" i="2"/>
  <c r="E134" i="2"/>
  <c r="R133" i="2"/>
  <c r="N133" i="2"/>
  <c r="S133" i="2" s="1"/>
  <c r="I133" i="2"/>
  <c r="E133" i="2"/>
  <c r="M131" i="2"/>
  <c r="L131" i="2"/>
  <c r="N132" i="2"/>
  <c r="I132" i="2"/>
  <c r="E132" i="2"/>
  <c r="J132" i="2" s="1"/>
  <c r="Q131" i="2"/>
  <c r="G131" i="2"/>
  <c r="F131" i="2"/>
  <c r="D131" i="2"/>
  <c r="R129" i="2"/>
  <c r="N129" i="2"/>
  <c r="I129" i="2"/>
  <c r="E129" i="2"/>
  <c r="J129" i="2" s="1"/>
  <c r="R128" i="2"/>
  <c r="Q125" i="2"/>
  <c r="P125" i="2"/>
  <c r="R125" i="2" s="1"/>
  <c r="N128" i="2"/>
  <c r="I128" i="2"/>
  <c r="E128" i="2"/>
  <c r="J128" i="2" s="1"/>
  <c r="R127" i="2"/>
  <c r="S127" i="2" s="1"/>
  <c r="N127" i="2"/>
  <c r="G125" i="2"/>
  <c r="I127" i="2"/>
  <c r="E127" i="2"/>
  <c r="J127" i="2" s="1"/>
  <c r="D125" i="2"/>
  <c r="R126" i="2"/>
  <c r="O125" i="2"/>
  <c r="M125" i="2"/>
  <c r="I126" i="2"/>
  <c r="C125" i="2"/>
  <c r="E125" i="2" s="1"/>
  <c r="H125" i="2"/>
  <c r="B125" i="2"/>
  <c r="R123" i="2"/>
  <c r="N123" i="2"/>
  <c r="S123" i="2" s="1"/>
  <c r="I123" i="2"/>
  <c r="J123" i="2" s="1"/>
  <c r="T123" i="2" s="1"/>
  <c r="E123" i="2"/>
  <c r="R122" i="2"/>
  <c r="S122" i="2" s="1"/>
  <c r="N122" i="2"/>
  <c r="I122" i="2"/>
  <c r="D118" i="2"/>
  <c r="E122" i="2"/>
  <c r="J122" i="2" s="1"/>
  <c r="T122" i="2" s="1"/>
  <c r="R121" i="2"/>
  <c r="N121" i="2"/>
  <c r="S121" i="2" s="1"/>
  <c r="I121" i="2"/>
  <c r="J121" i="2" s="1"/>
  <c r="E121" i="2"/>
  <c r="R120" i="2"/>
  <c r="N120" i="2"/>
  <c r="S120" i="2" s="1"/>
  <c r="I120" i="2"/>
  <c r="E120" i="2"/>
  <c r="J120" i="2" s="1"/>
  <c r="N119" i="2"/>
  <c r="I119" i="2"/>
  <c r="C118" i="2"/>
  <c r="E119" i="2"/>
  <c r="M118" i="2"/>
  <c r="L118" i="2"/>
  <c r="H118" i="2"/>
  <c r="R116" i="2"/>
  <c r="N116" i="2"/>
  <c r="S116" i="2" s="1"/>
  <c r="J116" i="2"/>
  <c r="T116" i="2" s="1"/>
  <c r="I116" i="2"/>
  <c r="E116" i="2"/>
  <c r="R115" i="2"/>
  <c r="N115" i="2"/>
  <c r="I115" i="2"/>
  <c r="E115" i="2"/>
  <c r="J115" i="2" s="1"/>
  <c r="R114" i="2"/>
  <c r="N114" i="2"/>
  <c r="S114" i="2" s="1"/>
  <c r="I114" i="2"/>
  <c r="J114" i="2" s="1"/>
  <c r="T114" i="2" s="1"/>
  <c r="E114" i="2"/>
  <c r="M111" i="2"/>
  <c r="I113" i="2"/>
  <c r="E113" i="2"/>
  <c r="J113" i="2" s="1"/>
  <c r="R112" i="2"/>
  <c r="H111" i="2"/>
  <c r="D111" i="2"/>
  <c r="C111" i="2"/>
  <c r="B111" i="2"/>
  <c r="E111" i="2" s="1"/>
  <c r="R109" i="2"/>
  <c r="N109" i="2"/>
  <c r="S109" i="2" s="1"/>
  <c r="I109" i="2"/>
  <c r="E109" i="2"/>
  <c r="R107" i="2"/>
  <c r="N107" i="2"/>
  <c r="S107" i="2" s="1"/>
  <c r="I107" i="2"/>
  <c r="J107" i="2" s="1"/>
  <c r="T107" i="2" s="1"/>
  <c r="E107" i="2"/>
  <c r="Q104" i="2"/>
  <c r="P104" i="2"/>
  <c r="R106" i="2"/>
  <c r="N106" i="2"/>
  <c r="G104" i="2"/>
  <c r="E106" i="2"/>
  <c r="R105" i="2"/>
  <c r="N105" i="2"/>
  <c r="S105" i="2" s="1"/>
  <c r="E105" i="2"/>
  <c r="D104" i="2"/>
  <c r="C104" i="2"/>
  <c r="S102" i="2"/>
  <c r="R102" i="2"/>
  <c r="N102" i="2"/>
  <c r="E102" i="2"/>
  <c r="R101" i="2"/>
  <c r="N101" i="2"/>
  <c r="S101" i="2" s="1"/>
  <c r="E101" i="2"/>
  <c r="Q96" i="2"/>
  <c r="N100" i="2"/>
  <c r="I100" i="2"/>
  <c r="E100" i="2"/>
  <c r="J100" i="2" s="1"/>
  <c r="R99" i="2"/>
  <c r="I99" i="2"/>
  <c r="E99" i="2"/>
  <c r="J99" i="2" s="1"/>
  <c r="R98" i="2"/>
  <c r="N98" i="2"/>
  <c r="E98" i="2"/>
  <c r="N97" i="2"/>
  <c r="G96" i="2"/>
  <c r="I97" i="2"/>
  <c r="F96" i="2"/>
  <c r="C96" i="2"/>
  <c r="N94" i="2"/>
  <c r="I94" i="2"/>
  <c r="Q90" i="2"/>
  <c r="R93" i="2"/>
  <c r="S93" i="2" s="1"/>
  <c r="N93" i="2"/>
  <c r="I93" i="2"/>
  <c r="J93" i="2" s="1"/>
  <c r="T93" i="2" s="1"/>
  <c r="E93" i="2"/>
  <c r="P90" i="2"/>
  <c r="M90" i="2"/>
  <c r="C90" i="2"/>
  <c r="E92" i="2"/>
  <c r="R91" i="2"/>
  <c r="S91" i="2" s="1"/>
  <c r="N91" i="2"/>
  <c r="G90" i="2"/>
  <c r="E91" i="2"/>
  <c r="L90" i="2"/>
  <c r="H90" i="2"/>
  <c r="B90" i="2"/>
  <c r="R88" i="2"/>
  <c r="N88" i="2"/>
  <c r="S88" i="2" s="1"/>
  <c r="I88" i="2"/>
  <c r="D86" i="2"/>
  <c r="R87" i="2"/>
  <c r="H86" i="2"/>
  <c r="C86" i="2"/>
  <c r="E87" i="2"/>
  <c r="Q86" i="2"/>
  <c r="P86" i="2"/>
  <c r="O86" i="2"/>
  <c r="R86" i="2" s="1"/>
  <c r="M86" i="2"/>
  <c r="L86" i="2"/>
  <c r="F86" i="2"/>
  <c r="R84" i="2"/>
  <c r="N84" i="2"/>
  <c r="I84" i="2"/>
  <c r="E84" i="2"/>
  <c r="J84" i="2" s="1"/>
  <c r="R83" i="2"/>
  <c r="N83" i="2"/>
  <c r="I83" i="2"/>
  <c r="E83" i="2"/>
  <c r="J83" i="2" s="1"/>
  <c r="R82" i="2"/>
  <c r="L79" i="2"/>
  <c r="I82" i="2"/>
  <c r="H79" i="2"/>
  <c r="N81" i="2"/>
  <c r="E81" i="2"/>
  <c r="Q79" i="2"/>
  <c r="P79" i="2"/>
  <c r="N80" i="2"/>
  <c r="I80" i="2"/>
  <c r="E80" i="2"/>
  <c r="J80" i="2" s="1"/>
  <c r="D79" i="2"/>
  <c r="C79" i="2"/>
  <c r="S77" i="2"/>
  <c r="R77" i="2"/>
  <c r="N77" i="2"/>
  <c r="I77" i="2"/>
  <c r="E77" i="2"/>
  <c r="J77" i="2" s="1"/>
  <c r="T77" i="2" s="1"/>
  <c r="R76" i="2"/>
  <c r="M71" i="2"/>
  <c r="L71" i="2"/>
  <c r="K71" i="2"/>
  <c r="N71" i="2" s="1"/>
  <c r="I76" i="2"/>
  <c r="E76" i="2"/>
  <c r="J76" i="2" s="1"/>
  <c r="R75" i="2"/>
  <c r="S75" i="2" s="1"/>
  <c r="N75" i="2"/>
  <c r="I75" i="2"/>
  <c r="E75" i="2"/>
  <c r="J75" i="2" s="1"/>
  <c r="R74" i="2"/>
  <c r="N74" i="2"/>
  <c r="S74" i="2" s="1"/>
  <c r="I74" i="2"/>
  <c r="J74" i="2" s="1"/>
  <c r="T74" i="2" s="1"/>
  <c r="E74" i="2"/>
  <c r="Q71" i="2"/>
  <c r="P71" i="2"/>
  <c r="R73" i="2"/>
  <c r="S73" i="2" s="1"/>
  <c r="N73" i="2"/>
  <c r="I73" i="2"/>
  <c r="E73" i="2"/>
  <c r="J73" i="2" s="1"/>
  <c r="R72" i="2"/>
  <c r="N72" i="2"/>
  <c r="S72" i="2" s="1"/>
  <c r="I72" i="2"/>
  <c r="R69" i="2"/>
  <c r="G64" i="2"/>
  <c r="E69" i="2"/>
  <c r="R68" i="2"/>
  <c r="J68" i="2"/>
  <c r="I68" i="2"/>
  <c r="E68" i="2"/>
  <c r="R67" i="2"/>
  <c r="S67" i="2" s="1"/>
  <c r="N67" i="2"/>
  <c r="I67" i="2"/>
  <c r="E67" i="2"/>
  <c r="J67" i="2" s="1"/>
  <c r="T67" i="2" s="1"/>
  <c r="R66" i="2"/>
  <c r="L64" i="2"/>
  <c r="I66" i="2"/>
  <c r="R65" i="2"/>
  <c r="S65" i="2" s="1"/>
  <c r="N65" i="2"/>
  <c r="I65" i="2"/>
  <c r="J65" i="2" s="1"/>
  <c r="T65" i="2" s="1"/>
  <c r="E65" i="2"/>
  <c r="P64" i="2"/>
  <c r="O64" i="2"/>
  <c r="M64" i="2"/>
  <c r="R62" i="2"/>
  <c r="N62" i="2"/>
  <c r="S62" i="2" s="1"/>
  <c r="I62" i="2"/>
  <c r="E62" i="2"/>
  <c r="R61" i="2"/>
  <c r="N61" i="2"/>
  <c r="S61" i="2" s="1"/>
  <c r="I61" i="2"/>
  <c r="R60" i="2"/>
  <c r="N60" i="2"/>
  <c r="S60" i="2" s="1"/>
  <c r="J60" i="2"/>
  <c r="T60" i="2" s="1"/>
  <c r="I60" i="2"/>
  <c r="E60" i="2"/>
  <c r="R59" i="2"/>
  <c r="N59" i="2"/>
  <c r="S59" i="2" s="1"/>
  <c r="I59" i="2"/>
  <c r="C56" i="2"/>
  <c r="E59" i="2"/>
  <c r="J59" i="2" s="1"/>
  <c r="Q56" i="2"/>
  <c r="P56" i="2"/>
  <c r="N58" i="2"/>
  <c r="D56" i="2"/>
  <c r="R57" i="2"/>
  <c r="L56" i="2"/>
  <c r="N57" i="2"/>
  <c r="S57" i="2" s="1"/>
  <c r="H56" i="2"/>
  <c r="E57" i="2"/>
  <c r="K56" i="2"/>
  <c r="R54" i="2"/>
  <c r="N54" i="2"/>
  <c r="S54" i="2" s="1"/>
  <c r="I54" i="2"/>
  <c r="E54" i="2"/>
  <c r="J54" i="2" s="1"/>
  <c r="R53" i="2"/>
  <c r="N53" i="2"/>
  <c r="I53" i="2"/>
  <c r="E53" i="2"/>
  <c r="J53" i="2" s="1"/>
  <c r="R52" i="2"/>
  <c r="N52" i="2"/>
  <c r="S52" i="2" s="1"/>
  <c r="I52" i="2"/>
  <c r="E52" i="2"/>
  <c r="J52" i="2" s="1"/>
  <c r="T52" i="2" s="1"/>
  <c r="R51" i="2"/>
  <c r="N51" i="2"/>
  <c r="S51" i="2" s="1"/>
  <c r="I51" i="2"/>
  <c r="E51" i="2"/>
  <c r="J51" i="2" s="1"/>
  <c r="T51" i="2" s="1"/>
  <c r="R50" i="2"/>
  <c r="N50" i="2"/>
  <c r="S50" i="2" s="1"/>
  <c r="I50" i="2"/>
  <c r="E50" i="2"/>
  <c r="J50" i="2" s="1"/>
  <c r="R49" i="2"/>
  <c r="L45" i="2"/>
  <c r="N49" i="2"/>
  <c r="S49" i="2" s="1"/>
  <c r="I49" i="2"/>
  <c r="J49" i="2" s="1"/>
  <c r="T49" i="2" s="1"/>
  <c r="E49" i="2"/>
  <c r="O45" i="2"/>
  <c r="N48" i="2"/>
  <c r="E48" i="2"/>
  <c r="S47" i="2"/>
  <c r="R47" i="2"/>
  <c r="N47" i="2"/>
  <c r="I47" i="2"/>
  <c r="J47" i="2" s="1"/>
  <c r="T47" i="2" s="1"/>
  <c r="E47" i="2"/>
  <c r="R46" i="2"/>
  <c r="N46" i="2"/>
  <c r="S46" i="2" s="1"/>
  <c r="I46" i="2"/>
  <c r="E46" i="2"/>
  <c r="R43" i="2"/>
  <c r="I43" i="2"/>
  <c r="D39" i="2"/>
  <c r="E43" i="2"/>
  <c r="J43" i="2" s="1"/>
  <c r="R42" i="2"/>
  <c r="G39" i="2"/>
  <c r="I42" i="2"/>
  <c r="Q39" i="2"/>
  <c r="N41" i="2"/>
  <c r="E41" i="2"/>
  <c r="R40" i="2"/>
  <c r="I40" i="2"/>
  <c r="J40" i="2" s="1"/>
  <c r="E40" i="2"/>
  <c r="P33" i="2"/>
  <c r="N37" i="2"/>
  <c r="I37" i="2"/>
  <c r="E37" i="2"/>
  <c r="J37" i="2" s="1"/>
  <c r="R36" i="2"/>
  <c r="S36" i="2" s="1"/>
  <c r="N36" i="2"/>
  <c r="I36" i="2"/>
  <c r="E36" i="2"/>
  <c r="J36" i="2" s="1"/>
  <c r="R35" i="2"/>
  <c r="M33" i="2"/>
  <c r="N35" i="2"/>
  <c r="S35" i="2" s="1"/>
  <c r="I35" i="2"/>
  <c r="E35" i="2"/>
  <c r="J35" i="2" s="1"/>
  <c r="T35" i="2" s="1"/>
  <c r="R34" i="2"/>
  <c r="D33" i="2"/>
  <c r="R31" i="2"/>
  <c r="S31" i="2" s="1"/>
  <c r="N31" i="2"/>
  <c r="H25" i="2"/>
  <c r="I31" i="2"/>
  <c r="E31" i="2"/>
  <c r="J31" i="2" s="1"/>
  <c r="T31" i="2" s="1"/>
  <c r="R30" i="2"/>
  <c r="N30" i="2"/>
  <c r="S30" i="2" s="1"/>
  <c r="I30" i="2"/>
  <c r="J30" i="2" s="1"/>
  <c r="T30" i="2" s="1"/>
  <c r="E30" i="2"/>
  <c r="R29" i="2"/>
  <c r="S29" i="2" s="1"/>
  <c r="N29" i="2"/>
  <c r="I29" i="2"/>
  <c r="E29" i="2"/>
  <c r="J29" i="2" s="1"/>
  <c r="T29" i="2" s="1"/>
  <c r="R28" i="2"/>
  <c r="M25" i="2"/>
  <c r="N28" i="2"/>
  <c r="S28" i="2" s="1"/>
  <c r="E28" i="2"/>
  <c r="R27" i="2"/>
  <c r="L25" i="2"/>
  <c r="I27" i="2"/>
  <c r="E27" i="2"/>
  <c r="J27" i="2" s="1"/>
  <c r="N26" i="2"/>
  <c r="E26" i="2"/>
  <c r="G25" i="2"/>
  <c r="R23" i="2"/>
  <c r="N23" i="2"/>
  <c r="E23" i="2"/>
  <c r="R22" i="2"/>
  <c r="I22" i="2"/>
  <c r="E22" i="2"/>
  <c r="R21" i="2"/>
  <c r="N21" i="2"/>
  <c r="S21" i="2" s="1"/>
  <c r="I21" i="2"/>
  <c r="E21" i="2"/>
  <c r="J21" i="2" s="1"/>
  <c r="R20" i="2"/>
  <c r="S20" i="2" s="1"/>
  <c r="N20" i="2"/>
  <c r="I20" i="2"/>
  <c r="E20" i="2"/>
  <c r="J20" i="2" s="1"/>
  <c r="T20" i="2" s="1"/>
  <c r="R19" i="2"/>
  <c r="S19" i="2" s="1"/>
  <c r="N19" i="2"/>
  <c r="I19" i="2"/>
  <c r="R18" i="2"/>
  <c r="N18" i="2"/>
  <c r="S18" i="2" s="1"/>
  <c r="I18" i="2"/>
  <c r="J18" i="2" s="1"/>
  <c r="T18" i="2" s="1"/>
  <c r="E18" i="2"/>
  <c r="R17" i="2"/>
  <c r="N17" i="2"/>
  <c r="S17" i="2" s="1"/>
  <c r="I17" i="2"/>
  <c r="N16" i="2"/>
  <c r="I16" i="2"/>
  <c r="E16" i="2"/>
  <c r="R15" i="2"/>
  <c r="N15" i="2"/>
  <c r="S15" i="2" s="1"/>
  <c r="J15" i="2"/>
  <c r="T15" i="2" s="1"/>
  <c r="I15" i="2"/>
  <c r="E15" i="2"/>
  <c r="R14" i="2"/>
  <c r="N14" i="2"/>
  <c r="S14" i="2" s="1"/>
  <c r="I14" i="2"/>
  <c r="E14" i="2"/>
  <c r="N13" i="2"/>
  <c r="I13" i="2"/>
  <c r="R12" i="2"/>
  <c r="N12" i="2"/>
  <c r="S12" i="2" s="1"/>
  <c r="I12" i="2"/>
  <c r="E12" i="2"/>
  <c r="J12" i="2" s="1"/>
  <c r="R11" i="2"/>
  <c r="M7" i="2"/>
  <c r="L7" i="2"/>
  <c r="I11" i="2"/>
  <c r="J11" i="2" s="1"/>
  <c r="E11" i="2"/>
  <c r="S10" i="2"/>
  <c r="T10" i="2" s="1"/>
  <c r="R10" i="2"/>
  <c r="N10" i="2"/>
  <c r="I10" i="2"/>
  <c r="E10" i="2"/>
  <c r="J10" i="2" s="1"/>
  <c r="N9" i="2"/>
  <c r="I9" i="2"/>
  <c r="R8" i="2"/>
  <c r="N8" i="2"/>
  <c r="S8" i="2" s="1"/>
  <c r="H7" i="2"/>
  <c r="G7" i="2"/>
  <c r="E8" i="2"/>
  <c r="K7" i="2"/>
  <c r="T36" i="2" l="1"/>
  <c r="J26" i="2"/>
  <c r="T75" i="2"/>
  <c r="S83" i="2"/>
  <c r="T127" i="2"/>
  <c r="R45" i="2"/>
  <c r="T84" i="2"/>
  <c r="T40" i="2"/>
  <c r="T50" i="2"/>
  <c r="R64" i="2"/>
  <c r="T83" i="2"/>
  <c r="I96" i="2"/>
  <c r="H145" i="2"/>
  <c r="H151" i="2" s="1"/>
  <c r="H155" i="2" s="1"/>
  <c r="N27" i="2"/>
  <c r="S27" i="2" s="1"/>
  <c r="K25" i="2"/>
  <c r="N25" i="2" s="1"/>
  <c r="R41" i="2"/>
  <c r="R58" i="2"/>
  <c r="S58" i="2" s="1"/>
  <c r="T73" i="2"/>
  <c r="I87" i="2"/>
  <c r="J87" i="2" s="1"/>
  <c r="T87" i="2" s="1"/>
  <c r="T121" i="2"/>
  <c r="K125" i="2"/>
  <c r="N126" i="2"/>
  <c r="S126" i="2" s="1"/>
  <c r="E42" i="2"/>
  <c r="J42" i="2" s="1"/>
  <c r="T42" i="2" s="1"/>
  <c r="B39" i="2"/>
  <c r="R81" i="2"/>
  <c r="S81" i="2" s="1"/>
  <c r="O79" i="2"/>
  <c r="R79" i="2" s="1"/>
  <c r="N92" i="2"/>
  <c r="J106" i="2"/>
  <c r="T106" i="2" s="1"/>
  <c r="F125" i="2"/>
  <c r="I125" i="2" s="1"/>
  <c r="J125" i="2" s="1"/>
  <c r="N7" i="2"/>
  <c r="Q25" i="2"/>
  <c r="I57" i="2"/>
  <c r="J57" i="2" s="1"/>
  <c r="T57" i="2" s="1"/>
  <c r="T59" i="2"/>
  <c r="R26" i="2"/>
  <c r="S26" i="2" s="1"/>
  <c r="N76" i="2"/>
  <c r="S76" i="2" s="1"/>
  <c r="T76" i="2" s="1"/>
  <c r="S23" i="2"/>
  <c r="F90" i="2"/>
  <c r="I90" i="2" s="1"/>
  <c r="I91" i="2"/>
  <c r="J91" i="2" s="1"/>
  <c r="T91" i="2" s="1"/>
  <c r="T99" i="2"/>
  <c r="S119" i="2"/>
  <c r="J14" i="2"/>
  <c r="T14" i="2" s="1"/>
  <c r="T21" i="2"/>
  <c r="H39" i="2"/>
  <c r="I41" i="2"/>
  <c r="J41" i="2" s="1"/>
  <c r="T41" i="2" s="1"/>
  <c r="S84" i="2"/>
  <c r="N113" i="2"/>
  <c r="S113" i="2" s="1"/>
  <c r="T113" i="2" s="1"/>
  <c r="T11" i="2"/>
  <c r="E9" i="2"/>
  <c r="J9" i="2" s="1"/>
  <c r="B7" i="2"/>
  <c r="I8" i="2"/>
  <c r="N68" i="2"/>
  <c r="S68" i="2" s="1"/>
  <c r="T68" i="2" s="1"/>
  <c r="K64" i="2"/>
  <c r="N64" i="2" s="1"/>
  <c r="N82" i="2"/>
  <c r="S82" i="2" s="1"/>
  <c r="K79" i="2"/>
  <c r="R37" i="2"/>
  <c r="S37" i="2" s="1"/>
  <c r="T37" i="2" s="1"/>
  <c r="O33" i="2"/>
  <c r="E58" i="2"/>
  <c r="J58" i="2" s="1"/>
  <c r="F71" i="2"/>
  <c r="I71" i="2" s="1"/>
  <c r="I131" i="2"/>
  <c r="T54" i="2"/>
  <c r="F56" i="2"/>
  <c r="I58" i="2"/>
  <c r="K86" i="2"/>
  <c r="N86" i="2" s="1"/>
  <c r="S86" i="2" s="1"/>
  <c r="N87" i="2"/>
  <c r="S87" i="2" s="1"/>
  <c r="R92" i="2"/>
  <c r="O90" i="2"/>
  <c r="R90" i="2" s="1"/>
  <c r="J139" i="2"/>
  <c r="T139" i="2" s="1"/>
  <c r="T12" i="2"/>
  <c r="C25" i="2"/>
  <c r="K45" i="2"/>
  <c r="R48" i="2"/>
  <c r="S48" i="2" s="1"/>
  <c r="K131" i="2"/>
  <c r="N131" i="2" s="1"/>
  <c r="D25" i="2"/>
  <c r="B33" i="2"/>
  <c r="E33" i="2" s="1"/>
  <c r="M45" i="2"/>
  <c r="N56" i="2"/>
  <c r="T141" i="2"/>
  <c r="O56" i="2"/>
  <c r="R56" i="2" s="1"/>
  <c r="D71" i="2"/>
  <c r="R113" i="2"/>
  <c r="O111" i="2"/>
  <c r="R119" i="2"/>
  <c r="O118" i="2"/>
  <c r="S129" i="2"/>
  <c r="T129" i="2" s="1"/>
  <c r="Q33" i="2"/>
  <c r="O39" i="2"/>
  <c r="R39" i="2" s="1"/>
  <c r="M39" i="2"/>
  <c r="M145" i="2" s="1"/>
  <c r="M151" i="2" s="1"/>
  <c r="M155" i="2" s="1"/>
  <c r="N40" i="2"/>
  <c r="S40" i="2" s="1"/>
  <c r="F45" i="2"/>
  <c r="J62" i="2"/>
  <c r="T62" i="2" s="1"/>
  <c r="S98" i="2"/>
  <c r="B104" i="2"/>
  <c r="E104" i="2" s="1"/>
  <c r="P111" i="2"/>
  <c r="J8" i="2"/>
  <c r="T8" i="2" s="1"/>
  <c r="R9" i="2"/>
  <c r="S9" i="2" s="1"/>
  <c r="O7" i="2"/>
  <c r="T27" i="2"/>
  <c r="S41" i="2"/>
  <c r="D96" i="2"/>
  <c r="F111" i="2"/>
  <c r="I112" i="2"/>
  <c r="J134" i="2"/>
  <c r="T134" i="2" s="1"/>
  <c r="N138" i="2"/>
  <c r="K137" i="2"/>
  <c r="T142" i="2"/>
  <c r="F7" i="2"/>
  <c r="J16" i="2"/>
  <c r="E17" i="2"/>
  <c r="J17" i="2" s="1"/>
  <c r="T17" i="2" s="1"/>
  <c r="J22" i="2"/>
  <c r="T22" i="2" s="1"/>
  <c r="C33" i="2"/>
  <c r="E34" i="2"/>
  <c r="I69" i="2"/>
  <c r="J69" i="2" s="1"/>
  <c r="T69" i="2" s="1"/>
  <c r="F64" i="2"/>
  <c r="H96" i="2"/>
  <c r="I102" i="2"/>
  <c r="J102" i="2" s="1"/>
  <c r="T102" i="2" s="1"/>
  <c r="S106" i="2"/>
  <c r="G111" i="2"/>
  <c r="S115" i="2"/>
  <c r="T115" i="2" s="1"/>
  <c r="T120" i="2"/>
  <c r="P118" i="2"/>
  <c r="L125" i="2"/>
  <c r="L145" i="2" s="1"/>
  <c r="L151" i="2" s="1"/>
  <c r="L155" i="2" s="1"/>
  <c r="F25" i="2"/>
  <c r="I25" i="2" s="1"/>
  <c r="I26" i="2"/>
  <c r="J119" i="2"/>
  <c r="R132" i="2"/>
  <c r="S132" i="2" s="1"/>
  <c r="T132" i="2" s="1"/>
  <c r="O131" i="2"/>
  <c r="P45" i="2"/>
  <c r="M56" i="2"/>
  <c r="K111" i="2"/>
  <c r="N112" i="2"/>
  <c r="S112" i="2" s="1"/>
  <c r="D137" i="2"/>
  <c r="S140" i="2"/>
  <c r="P39" i="2"/>
  <c r="C45" i="2"/>
  <c r="B56" i="2"/>
  <c r="E56" i="2" s="1"/>
  <c r="I81" i="2"/>
  <c r="J81" i="2" s="1"/>
  <c r="T81" i="2" s="1"/>
  <c r="F79" i="2"/>
  <c r="I79" i="2" s="1"/>
  <c r="O104" i="2"/>
  <c r="R104" i="2" s="1"/>
  <c r="D45" i="2"/>
  <c r="B86" i="2"/>
  <c r="E86" i="2" s="1"/>
  <c r="D90" i="2"/>
  <c r="E90" i="2" s="1"/>
  <c r="J90" i="2" s="1"/>
  <c r="R100" i="2"/>
  <c r="S100" i="2" s="1"/>
  <c r="T100" i="2" s="1"/>
  <c r="B118" i="2"/>
  <c r="E118" i="2" s="1"/>
  <c r="C137" i="2"/>
  <c r="B45" i="2"/>
  <c r="S53" i="2"/>
  <c r="T53" i="2" s="1"/>
  <c r="M96" i="2"/>
  <c r="K104" i="2"/>
  <c r="N104" i="2" s="1"/>
  <c r="S128" i="2"/>
  <c r="T128" i="2" s="1"/>
  <c r="J133" i="2"/>
  <c r="T133" i="2" s="1"/>
  <c r="P131" i="2"/>
  <c r="C7" i="2"/>
  <c r="P7" i="2"/>
  <c r="P145" i="2" s="1"/>
  <c r="P151" i="2" s="1"/>
  <c r="P155" i="2" s="1"/>
  <c r="R13" i="2"/>
  <c r="S13" i="2" s="1"/>
  <c r="E19" i="2"/>
  <c r="J19" i="2" s="1"/>
  <c r="T19" i="2" s="1"/>
  <c r="N34" i="2"/>
  <c r="S34" i="2" s="1"/>
  <c r="K33" i="2"/>
  <c r="G45" i="2"/>
  <c r="G56" i="2"/>
  <c r="H64" i="2"/>
  <c r="E66" i="2"/>
  <c r="J66" i="2" s="1"/>
  <c r="B64" i="2"/>
  <c r="E64" i="2" s="1"/>
  <c r="B71" i="2"/>
  <c r="E71" i="2" s="1"/>
  <c r="E72" i="2"/>
  <c r="J72" i="2" s="1"/>
  <c r="T72" i="2" s="1"/>
  <c r="E97" i="2"/>
  <c r="J97" i="2" s="1"/>
  <c r="T97" i="2" s="1"/>
  <c r="B96" i="2"/>
  <c r="E96" i="2" s="1"/>
  <c r="N99" i="2"/>
  <c r="S99" i="2" s="1"/>
  <c r="L104" i="2"/>
  <c r="I106" i="2"/>
  <c r="F104" i="2"/>
  <c r="I104" i="2" s="1"/>
  <c r="E149" i="2"/>
  <c r="J149" i="2" s="1"/>
  <c r="T149" i="2" s="1"/>
  <c r="S153" i="2"/>
  <c r="T153" i="2" s="1"/>
  <c r="Q111" i="2"/>
  <c r="F33" i="2"/>
  <c r="J46" i="2"/>
  <c r="T46" i="2" s="1"/>
  <c r="H104" i="2"/>
  <c r="K118" i="2"/>
  <c r="N118" i="2" s="1"/>
  <c r="C39" i="2"/>
  <c r="Q45" i="2"/>
  <c r="G71" i="2"/>
  <c r="I105" i="2"/>
  <c r="J105" i="2" s="1"/>
  <c r="T105" i="2" s="1"/>
  <c r="N66" i="2"/>
  <c r="S66" i="2" s="1"/>
  <c r="H71" i="2"/>
  <c r="O96" i="2"/>
  <c r="R96" i="2" s="1"/>
  <c r="B131" i="2"/>
  <c r="E131" i="2" s="1"/>
  <c r="I34" i="2"/>
  <c r="K39" i="2"/>
  <c r="N42" i="2"/>
  <c r="S42" i="2" s="1"/>
  <c r="D7" i="2"/>
  <c r="Q7" i="2"/>
  <c r="N11" i="2"/>
  <c r="S11" i="2" s="1"/>
  <c r="E13" i="2"/>
  <c r="J13" i="2" s="1"/>
  <c r="L33" i="2"/>
  <c r="H45" i="2"/>
  <c r="E61" i="2"/>
  <c r="J61" i="2" s="1"/>
  <c r="T61" i="2" s="1"/>
  <c r="R80" i="2"/>
  <c r="S80" i="2" s="1"/>
  <c r="T80" i="2" s="1"/>
  <c r="G86" i="2"/>
  <c r="I86" i="2" s="1"/>
  <c r="E88" i="2"/>
  <c r="J88" i="2" s="1"/>
  <c r="T88" i="2" s="1"/>
  <c r="R97" i="2"/>
  <c r="S97" i="2" s="1"/>
  <c r="M104" i="2"/>
  <c r="J109" i="2"/>
  <c r="T109" i="2" s="1"/>
  <c r="G118" i="2"/>
  <c r="I139" i="2"/>
  <c r="F137" i="2"/>
  <c r="I137" i="2" s="1"/>
  <c r="N142" i="2"/>
  <c r="S142" i="2" s="1"/>
  <c r="K96" i="2"/>
  <c r="N96" i="2" s="1"/>
  <c r="H131" i="2"/>
  <c r="R16" i="2"/>
  <c r="S16" i="2" s="1"/>
  <c r="O25" i="2"/>
  <c r="G33" i="2"/>
  <c r="G145" i="2" s="1"/>
  <c r="G151" i="2" s="1"/>
  <c r="G155" i="2" s="1"/>
  <c r="I48" i="2"/>
  <c r="J48" i="2" s="1"/>
  <c r="C64" i="2"/>
  <c r="G79" i="2"/>
  <c r="L96" i="2"/>
  <c r="I98" i="2"/>
  <c r="J98" i="2" s="1"/>
  <c r="T98" i="2" s="1"/>
  <c r="P96" i="2"/>
  <c r="R138" i="2"/>
  <c r="L111" i="2"/>
  <c r="N22" i="2"/>
  <c r="S22" i="2" s="1"/>
  <c r="I23" i="2"/>
  <c r="J23" i="2" s="1"/>
  <c r="T23" i="2" s="1"/>
  <c r="B25" i="2"/>
  <c r="P25" i="2"/>
  <c r="H33" i="2"/>
  <c r="L39" i="2"/>
  <c r="D64" i="2"/>
  <c r="Q64" i="2"/>
  <c r="N69" i="2"/>
  <c r="S69" i="2" s="1"/>
  <c r="E94" i="2"/>
  <c r="J94" i="2" s="1"/>
  <c r="R94" i="2"/>
  <c r="S94" i="2" s="1"/>
  <c r="I101" i="2"/>
  <c r="J101" i="2" s="1"/>
  <c r="T101" i="2" s="1"/>
  <c r="E126" i="2"/>
  <c r="J126" i="2" s="1"/>
  <c r="T126" i="2" s="1"/>
  <c r="I135" i="2"/>
  <c r="J135" i="2" s="1"/>
  <c r="T135" i="2" s="1"/>
  <c r="I28" i="2"/>
  <c r="J28" i="2" s="1"/>
  <c r="T28" i="2" s="1"/>
  <c r="C71" i="2"/>
  <c r="O71" i="2"/>
  <c r="R71" i="2" s="1"/>
  <c r="S71" i="2" s="1"/>
  <c r="K90" i="2"/>
  <c r="N90" i="2" s="1"/>
  <c r="Q118" i="2"/>
  <c r="F39" i="2"/>
  <c r="I39" i="2" s="1"/>
  <c r="M79" i="2"/>
  <c r="M137" i="2"/>
  <c r="N43" i="2"/>
  <c r="S43" i="2" s="1"/>
  <c r="T43" i="2" s="1"/>
  <c r="B79" i="2"/>
  <c r="E79" i="2" s="1"/>
  <c r="J79" i="2" s="1"/>
  <c r="E82" i="2"/>
  <c r="J82" i="2" s="1"/>
  <c r="T82" i="2" s="1"/>
  <c r="I92" i="2"/>
  <c r="J92" i="2" s="1"/>
  <c r="E112" i="2"/>
  <c r="F118" i="2"/>
  <c r="B137" i="2"/>
  <c r="E140" i="2"/>
  <c r="J140" i="2" s="1"/>
  <c r="T48" i="2" l="1"/>
  <c r="I33" i="2"/>
  <c r="N125" i="2"/>
  <c r="S125" i="2" s="1"/>
  <c r="T125" i="2" s="1"/>
  <c r="J131" i="2"/>
  <c r="J86" i="2"/>
  <c r="T86" i="2" s="1"/>
  <c r="R7" i="2"/>
  <c r="S7" i="2" s="1"/>
  <c r="O145" i="2"/>
  <c r="S56" i="2"/>
  <c r="T58" i="2"/>
  <c r="N111" i="2"/>
  <c r="F145" i="2"/>
  <c r="I7" i="2"/>
  <c r="R33" i="2"/>
  <c r="T94" i="2"/>
  <c r="T66" i="2"/>
  <c r="J33" i="2"/>
  <c r="S104" i="2"/>
  <c r="R25" i="2"/>
  <c r="S25" i="2" s="1"/>
  <c r="C145" i="2"/>
  <c r="C151" i="2" s="1"/>
  <c r="C155" i="2" s="1"/>
  <c r="B145" i="2"/>
  <c r="E7" i="2"/>
  <c r="J7" i="2" s="1"/>
  <c r="J71" i="2"/>
  <c r="T71" i="2" s="1"/>
  <c r="T16" i="2"/>
  <c r="T9" i="2"/>
  <c r="K145" i="2"/>
  <c r="S96" i="2"/>
  <c r="N137" i="2"/>
  <c r="S137" i="2" s="1"/>
  <c r="R118" i="2"/>
  <c r="S118" i="2" s="1"/>
  <c r="N79" i="2"/>
  <c r="S79" i="2" s="1"/>
  <c r="T79" i="2" s="1"/>
  <c r="S92" i="2"/>
  <c r="T92" i="2" s="1"/>
  <c r="T13" i="2"/>
  <c r="S138" i="2"/>
  <c r="T138" i="2" s="1"/>
  <c r="R131" i="2"/>
  <c r="J104" i="2"/>
  <c r="R111" i="2"/>
  <c r="S131" i="2"/>
  <c r="S64" i="2"/>
  <c r="T140" i="2"/>
  <c r="S90" i="2"/>
  <c r="T90" i="2" s="1"/>
  <c r="Q145" i="2"/>
  <c r="Q151" i="2" s="1"/>
  <c r="Q155" i="2" s="1"/>
  <c r="N33" i="2"/>
  <c r="S33" i="2" s="1"/>
  <c r="I64" i="2"/>
  <c r="J64" i="2" s="1"/>
  <c r="T64" i="2" s="1"/>
  <c r="E39" i="2"/>
  <c r="J39" i="2" s="1"/>
  <c r="T26" i="2"/>
  <c r="E137" i="2"/>
  <c r="J137" i="2" s="1"/>
  <c r="D145" i="2"/>
  <c r="D151" i="2" s="1"/>
  <c r="D155" i="2" s="1"/>
  <c r="E45" i="2"/>
  <c r="J45" i="2" s="1"/>
  <c r="T119" i="2"/>
  <c r="I56" i="2"/>
  <c r="J56" i="2" s="1"/>
  <c r="T56" i="2" s="1"/>
  <c r="I118" i="2"/>
  <c r="J118" i="2" s="1"/>
  <c r="J34" i="2"/>
  <c r="T34" i="2" s="1"/>
  <c r="I111" i="2"/>
  <c r="J111" i="2" s="1"/>
  <c r="I45" i="2"/>
  <c r="J112" i="2"/>
  <c r="T112" i="2" s="1"/>
  <c r="E25" i="2"/>
  <c r="J25" i="2" s="1"/>
  <c r="N39" i="2"/>
  <c r="S39" i="2" s="1"/>
  <c r="J96" i="2"/>
  <c r="N45" i="2"/>
  <c r="S45" i="2" s="1"/>
  <c r="T118" i="2" l="1"/>
  <c r="E145" i="2"/>
  <c r="B151" i="2"/>
  <c r="R145" i="2"/>
  <c r="O151" i="2"/>
  <c r="T45" i="2"/>
  <c r="K151" i="2"/>
  <c r="N145" i="2"/>
  <c r="S145" i="2" s="1"/>
  <c r="T131" i="2"/>
  <c r="T96" i="2"/>
  <c r="T104" i="2"/>
  <c r="T137" i="2"/>
  <c r="T25" i="2"/>
  <c r="F151" i="2"/>
  <c r="I145" i="2"/>
  <c r="T39" i="2"/>
  <c r="S111" i="2"/>
  <c r="T111" i="2"/>
  <c r="T33" i="2"/>
  <c r="T7" i="2"/>
  <c r="K155" i="2" l="1"/>
  <c r="N155" i="2" s="1"/>
  <c r="N151" i="2"/>
  <c r="R151" i="2"/>
  <c r="O155" i="2"/>
  <c r="R155" i="2" s="1"/>
  <c r="E151" i="2"/>
  <c r="B155" i="2"/>
  <c r="E155" i="2" s="1"/>
  <c r="F155" i="2"/>
  <c r="I155" i="2" s="1"/>
  <c r="I151" i="2"/>
  <c r="J145" i="2"/>
  <c r="T145" i="2" s="1"/>
  <c r="J151" i="2" l="1"/>
  <c r="S151" i="2"/>
  <c r="J155" i="2"/>
  <c r="S155" i="2"/>
  <c r="T155" i="2" l="1"/>
  <c r="T151" i="2"/>
  <c r="R153" i="1" l="1"/>
  <c r="S153" i="1" s="1"/>
  <c r="N153" i="1"/>
  <c r="I153" i="1"/>
  <c r="E153" i="1"/>
  <c r="J153" i="1" s="1"/>
  <c r="T153" i="1" s="1"/>
  <c r="R149" i="1"/>
  <c r="N149" i="1"/>
  <c r="S149" i="1" s="1"/>
  <c r="J149" i="1"/>
  <c r="T149" i="1" s="1"/>
  <c r="I149" i="1"/>
  <c r="E149" i="1"/>
  <c r="R147" i="1"/>
  <c r="I147" i="1"/>
  <c r="E147" i="1"/>
  <c r="J147" i="1" s="1"/>
  <c r="R142" i="1"/>
  <c r="S142" i="1" s="1"/>
  <c r="N142" i="1"/>
  <c r="I142" i="1"/>
  <c r="E142" i="1"/>
  <c r="J142" i="1" s="1"/>
  <c r="N141" i="1"/>
  <c r="H137" i="1"/>
  <c r="E141" i="1"/>
  <c r="O137" i="1"/>
  <c r="I140" i="1"/>
  <c r="R139" i="1"/>
  <c r="S139" i="1" s="1"/>
  <c r="N139" i="1"/>
  <c r="I139" i="1"/>
  <c r="R138" i="1"/>
  <c r="M137" i="1"/>
  <c r="K137" i="1"/>
  <c r="L137" i="1"/>
  <c r="R135" i="1"/>
  <c r="M131" i="1"/>
  <c r="L131" i="1"/>
  <c r="N135" i="1"/>
  <c r="S135" i="1" s="1"/>
  <c r="I135" i="1"/>
  <c r="E135" i="1"/>
  <c r="J135" i="1" s="1"/>
  <c r="R134" i="1"/>
  <c r="S134" i="1" s="1"/>
  <c r="N134" i="1"/>
  <c r="I134" i="1"/>
  <c r="E134" i="1"/>
  <c r="J134" i="1" s="1"/>
  <c r="R133" i="1"/>
  <c r="N133" i="1"/>
  <c r="S133" i="1" s="1"/>
  <c r="I133" i="1"/>
  <c r="E133" i="1"/>
  <c r="J133" i="1" s="1"/>
  <c r="T133" i="1" s="1"/>
  <c r="P131" i="1"/>
  <c r="N132" i="1"/>
  <c r="H131" i="1"/>
  <c r="G131" i="1"/>
  <c r="E132" i="1"/>
  <c r="D131" i="1"/>
  <c r="C131" i="1"/>
  <c r="R129" i="1"/>
  <c r="N129" i="1"/>
  <c r="S129" i="1" s="1"/>
  <c r="I129" i="1"/>
  <c r="J129" i="1" s="1"/>
  <c r="T129" i="1" s="1"/>
  <c r="E129" i="1"/>
  <c r="R128" i="1"/>
  <c r="N128" i="1"/>
  <c r="S128" i="1" s="1"/>
  <c r="I128" i="1"/>
  <c r="E128" i="1"/>
  <c r="J128" i="1" s="1"/>
  <c r="M125" i="1"/>
  <c r="I127" i="1"/>
  <c r="E127" i="1"/>
  <c r="P125" i="1"/>
  <c r="R126" i="1"/>
  <c r="L125" i="1"/>
  <c r="I126" i="1"/>
  <c r="E126" i="1"/>
  <c r="J126" i="1" s="1"/>
  <c r="Q125" i="1"/>
  <c r="G125" i="1"/>
  <c r="F125" i="1"/>
  <c r="D125" i="1"/>
  <c r="B125" i="1"/>
  <c r="T123" i="1"/>
  <c r="S122" i="1"/>
  <c r="R122" i="1"/>
  <c r="N122" i="1"/>
  <c r="I122" i="1"/>
  <c r="R121" i="1"/>
  <c r="M118" i="1"/>
  <c r="G118" i="1"/>
  <c r="E121" i="1"/>
  <c r="R120" i="1"/>
  <c r="I120" i="1"/>
  <c r="Q118" i="1"/>
  <c r="P118" i="1"/>
  <c r="R119" i="1"/>
  <c r="L118" i="1"/>
  <c r="I119" i="1"/>
  <c r="O118" i="1"/>
  <c r="R118" i="1" s="1"/>
  <c r="D118" i="1"/>
  <c r="R116" i="1"/>
  <c r="N116" i="1"/>
  <c r="S116" i="1" s="1"/>
  <c r="I116" i="1"/>
  <c r="E116" i="1"/>
  <c r="J116" i="1" s="1"/>
  <c r="T116" i="1" s="1"/>
  <c r="R115" i="1"/>
  <c r="N115" i="1"/>
  <c r="S115" i="1" s="1"/>
  <c r="I115" i="1"/>
  <c r="E115" i="1"/>
  <c r="S114" i="1"/>
  <c r="R114" i="1"/>
  <c r="N114" i="1"/>
  <c r="I114" i="1"/>
  <c r="E114" i="1"/>
  <c r="J114" i="1" s="1"/>
  <c r="T114" i="1" s="1"/>
  <c r="R113" i="1"/>
  <c r="N113" i="1"/>
  <c r="S113" i="1" s="1"/>
  <c r="H111" i="1"/>
  <c r="E113" i="1"/>
  <c r="P111" i="1"/>
  <c r="L111" i="1"/>
  <c r="K111" i="1"/>
  <c r="I112" i="1"/>
  <c r="D111" i="1"/>
  <c r="Q111" i="1"/>
  <c r="G111" i="1"/>
  <c r="F111" i="1"/>
  <c r="I111" i="1" s="1"/>
  <c r="N109" i="1"/>
  <c r="H104" i="1"/>
  <c r="G104" i="1"/>
  <c r="I109" i="1"/>
  <c r="E109" i="1"/>
  <c r="R107" i="1"/>
  <c r="N107" i="1"/>
  <c r="S107" i="1" s="1"/>
  <c r="I107" i="1"/>
  <c r="J107" i="1" s="1"/>
  <c r="E107" i="1"/>
  <c r="P104" i="1"/>
  <c r="R106" i="1"/>
  <c r="N106" i="1"/>
  <c r="S106" i="1" s="1"/>
  <c r="I106" i="1"/>
  <c r="E106" i="1"/>
  <c r="J106" i="1" s="1"/>
  <c r="Q104" i="1"/>
  <c r="N105" i="1"/>
  <c r="I105" i="1"/>
  <c r="D104" i="1"/>
  <c r="L104" i="1"/>
  <c r="K104" i="1"/>
  <c r="R102" i="1"/>
  <c r="N102" i="1"/>
  <c r="S102" i="1" s="1"/>
  <c r="I102" i="1"/>
  <c r="E102" i="1"/>
  <c r="J102" i="1" s="1"/>
  <c r="T102" i="1" s="1"/>
  <c r="R101" i="1"/>
  <c r="S101" i="1" s="1"/>
  <c r="N101" i="1"/>
  <c r="H96" i="1"/>
  <c r="I101" i="1"/>
  <c r="E101" i="1"/>
  <c r="R100" i="1"/>
  <c r="N100" i="1"/>
  <c r="S100" i="1" s="1"/>
  <c r="I100" i="1"/>
  <c r="E100" i="1"/>
  <c r="J100" i="1" s="1"/>
  <c r="M96" i="1"/>
  <c r="I99" i="1"/>
  <c r="R98" i="1"/>
  <c r="S98" i="1" s="1"/>
  <c r="N98" i="1"/>
  <c r="I98" i="1"/>
  <c r="E98" i="1"/>
  <c r="J98" i="1" s="1"/>
  <c r="P96" i="1"/>
  <c r="I97" i="1"/>
  <c r="Q96" i="1"/>
  <c r="D96" i="1"/>
  <c r="R94" i="1"/>
  <c r="S94" i="1" s="1"/>
  <c r="N94" i="1"/>
  <c r="I94" i="1"/>
  <c r="D90" i="1"/>
  <c r="C90" i="1"/>
  <c r="E94" i="1"/>
  <c r="J94" i="1" s="1"/>
  <c r="R93" i="1"/>
  <c r="N93" i="1"/>
  <c r="S93" i="1" s="1"/>
  <c r="I93" i="1"/>
  <c r="J93" i="1" s="1"/>
  <c r="T93" i="1" s="1"/>
  <c r="E93" i="1"/>
  <c r="Q90" i="1"/>
  <c r="P90" i="1"/>
  <c r="R92" i="1"/>
  <c r="N92" i="1"/>
  <c r="S92" i="1" s="1"/>
  <c r="E92" i="1"/>
  <c r="M90" i="1"/>
  <c r="L90" i="1"/>
  <c r="Q86" i="1"/>
  <c r="P86" i="1"/>
  <c r="O86" i="1"/>
  <c r="R86" i="1" s="1"/>
  <c r="G86" i="1"/>
  <c r="I88" i="1"/>
  <c r="D86" i="1"/>
  <c r="E88" i="1"/>
  <c r="J88" i="1" s="1"/>
  <c r="R87" i="1"/>
  <c r="F86" i="1"/>
  <c r="I86" i="1" s="1"/>
  <c r="E87" i="1"/>
  <c r="M86" i="1"/>
  <c r="L86" i="1"/>
  <c r="H86" i="1"/>
  <c r="C86" i="1"/>
  <c r="B86" i="1"/>
  <c r="E86" i="1" s="1"/>
  <c r="N84" i="1"/>
  <c r="I84" i="1"/>
  <c r="E84" i="1"/>
  <c r="J84" i="1" s="1"/>
  <c r="R83" i="1"/>
  <c r="N83" i="1"/>
  <c r="S83" i="1" s="1"/>
  <c r="I83" i="1"/>
  <c r="J83" i="1" s="1"/>
  <c r="T83" i="1" s="1"/>
  <c r="E83" i="1"/>
  <c r="R82" i="1"/>
  <c r="M79" i="1"/>
  <c r="L79" i="1"/>
  <c r="K79" i="1"/>
  <c r="N79" i="1" s="1"/>
  <c r="I82" i="1"/>
  <c r="R81" i="1"/>
  <c r="F79" i="1"/>
  <c r="E81" i="1"/>
  <c r="R80" i="1"/>
  <c r="N80" i="1"/>
  <c r="S80" i="1" s="1"/>
  <c r="E80" i="1"/>
  <c r="R77" i="1"/>
  <c r="S77" i="1" s="1"/>
  <c r="N77" i="1"/>
  <c r="I77" i="1"/>
  <c r="E77" i="1"/>
  <c r="J77" i="1" s="1"/>
  <c r="T77" i="1" s="1"/>
  <c r="N76" i="1"/>
  <c r="I76" i="1"/>
  <c r="J76" i="1" s="1"/>
  <c r="E76" i="1"/>
  <c r="R75" i="1"/>
  <c r="I75" i="1"/>
  <c r="E75" i="1"/>
  <c r="J75" i="1" s="1"/>
  <c r="R74" i="1"/>
  <c r="N74" i="1"/>
  <c r="I74" i="1"/>
  <c r="E74" i="1"/>
  <c r="J74" i="1" s="1"/>
  <c r="R73" i="1"/>
  <c r="N73" i="1"/>
  <c r="I73" i="1"/>
  <c r="J73" i="1" s="1"/>
  <c r="E73" i="1"/>
  <c r="R72" i="1"/>
  <c r="F71" i="1"/>
  <c r="I71" i="1" s="1"/>
  <c r="E72" i="1"/>
  <c r="O71" i="1"/>
  <c r="H71" i="1"/>
  <c r="G71" i="1"/>
  <c r="B71" i="1"/>
  <c r="R69" i="1"/>
  <c r="N69" i="1"/>
  <c r="S69" i="1" s="1"/>
  <c r="I69" i="1"/>
  <c r="R68" i="1"/>
  <c r="N68" i="1"/>
  <c r="I68" i="1"/>
  <c r="E68" i="1"/>
  <c r="J68" i="1" s="1"/>
  <c r="R67" i="1"/>
  <c r="N67" i="1"/>
  <c r="S67" i="1" s="1"/>
  <c r="I67" i="1"/>
  <c r="J67" i="1" s="1"/>
  <c r="T67" i="1" s="1"/>
  <c r="E67" i="1"/>
  <c r="Q64" i="1"/>
  <c r="P64" i="1"/>
  <c r="N66" i="1"/>
  <c r="I66" i="1"/>
  <c r="D64" i="1"/>
  <c r="B64" i="1"/>
  <c r="R65" i="1"/>
  <c r="H64" i="1"/>
  <c r="E65" i="1"/>
  <c r="O64" i="1"/>
  <c r="R64" i="1" s="1"/>
  <c r="M64" i="1"/>
  <c r="R62" i="1"/>
  <c r="I62" i="1"/>
  <c r="E62" i="1"/>
  <c r="J62" i="1" s="1"/>
  <c r="R61" i="1"/>
  <c r="N61" i="1"/>
  <c r="S61" i="1" s="1"/>
  <c r="I61" i="1"/>
  <c r="J61" i="1" s="1"/>
  <c r="T61" i="1" s="1"/>
  <c r="E61" i="1"/>
  <c r="R60" i="1"/>
  <c r="N60" i="1"/>
  <c r="E60" i="1"/>
  <c r="R59" i="1"/>
  <c r="N59" i="1"/>
  <c r="I59" i="1"/>
  <c r="E59" i="1"/>
  <c r="J59" i="1" s="1"/>
  <c r="R58" i="1"/>
  <c r="N58" i="1"/>
  <c r="S58" i="1" s="1"/>
  <c r="I58" i="1"/>
  <c r="E58" i="1"/>
  <c r="M56" i="1"/>
  <c r="L56" i="1"/>
  <c r="I57" i="1"/>
  <c r="C56" i="1"/>
  <c r="E57" i="1"/>
  <c r="J57" i="1" s="1"/>
  <c r="H56" i="1"/>
  <c r="G56" i="1"/>
  <c r="F56" i="1"/>
  <c r="I56" i="1" s="1"/>
  <c r="D56" i="1"/>
  <c r="R54" i="1"/>
  <c r="N54" i="1"/>
  <c r="S54" i="1" s="1"/>
  <c r="I54" i="1"/>
  <c r="J54" i="1" s="1"/>
  <c r="T54" i="1" s="1"/>
  <c r="E54" i="1"/>
  <c r="R53" i="1"/>
  <c r="I53" i="1"/>
  <c r="E53" i="1"/>
  <c r="J53" i="1" s="1"/>
  <c r="S52" i="1"/>
  <c r="T52" i="1" s="1"/>
  <c r="R52" i="1"/>
  <c r="N52" i="1"/>
  <c r="I52" i="1"/>
  <c r="E52" i="1"/>
  <c r="J52" i="1" s="1"/>
  <c r="R51" i="1"/>
  <c r="N51" i="1"/>
  <c r="S51" i="1" s="1"/>
  <c r="I51" i="1"/>
  <c r="E51" i="1"/>
  <c r="J51" i="1" s="1"/>
  <c r="R50" i="1"/>
  <c r="N50" i="1"/>
  <c r="S50" i="1" s="1"/>
  <c r="I50" i="1"/>
  <c r="E50" i="1"/>
  <c r="N49" i="1"/>
  <c r="I49" i="1"/>
  <c r="E49" i="1"/>
  <c r="O45" i="1"/>
  <c r="N48" i="1"/>
  <c r="I48" i="1"/>
  <c r="E48" i="1"/>
  <c r="J48" i="1" s="1"/>
  <c r="R47" i="1"/>
  <c r="S47" i="1" s="1"/>
  <c r="N47" i="1"/>
  <c r="G45" i="1"/>
  <c r="I47" i="1"/>
  <c r="E47" i="1"/>
  <c r="J47" i="1" s="1"/>
  <c r="R46" i="1"/>
  <c r="I46" i="1"/>
  <c r="E46" i="1"/>
  <c r="J46" i="1" s="1"/>
  <c r="F45" i="1"/>
  <c r="D45" i="1"/>
  <c r="C45" i="1"/>
  <c r="N43" i="1"/>
  <c r="H39" i="1"/>
  <c r="G39" i="1"/>
  <c r="R42" i="1"/>
  <c r="N42" i="1"/>
  <c r="S42" i="1" s="1"/>
  <c r="I42" i="1"/>
  <c r="D39" i="1"/>
  <c r="P39" i="1"/>
  <c r="R39" i="1" s="1"/>
  <c r="O39" i="1"/>
  <c r="I41" i="1"/>
  <c r="F39" i="1"/>
  <c r="E41" i="1"/>
  <c r="J41" i="1" s="1"/>
  <c r="R40" i="1"/>
  <c r="M39" i="1"/>
  <c r="L39" i="1"/>
  <c r="J40" i="1"/>
  <c r="I40" i="1"/>
  <c r="E40" i="1"/>
  <c r="Q39" i="1"/>
  <c r="C39" i="1"/>
  <c r="B39" i="1"/>
  <c r="R37" i="1"/>
  <c r="N37" i="1"/>
  <c r="F33" i="1"/>
  <c r="E37" i="1"/>
  <c r="P33" i="1"/>
  <c r="N36" i="1"/>
  <c r="I36" i="1"/>
  <c r="E36" i="1"/>
  <c r="J36" i="1" s="1"/>
  <c r="R35" i="1"/>
  <c r="N35" i="1"/>
  <c r="S35" i="1" s="1"/>
  <c r="I35" i="1"/>
  <c r="E35" i="1"/>
  <c r="J35" i="1" s="1"/>
  <c r="R34" i="1"/>
  <c r="N34" i="1"/>
  <c r="S34" i="1" s="1"/>
  <c r="I34" i="1"/>
  <c r="J34" i="1" s="1"/>
  <c r="T34" i="1" s="1"/>
  <c r="G33" i="1"/>
  <c r="E34" i="1"/>
  <c r="Q33" i="1"/>
  <c r="M33" i="1"/>
  <c r="L33" i="1"/>
  <c r="R31" i="1"/>
  <c r="N31" i="1"/>
  <c r="I31" i="1"/>
  <c r="E31" i="1"/>
  <c r="J31" i="1" s="1"/>
  <c r="R30" i="1"/>
  <c r="N30" i="1"/>
  <c r="S30" i="1" s="1"/>
  <c r="I30" i="1"/>
  <c r="R29" i="1"/>
  <c r="N29" i="1"/>
  <c r="S29" i="1" s="1"/>
  <c r="I29" i="1"/>
  <c r="D25" i="1"/>
  <c r="C25" i="1"/>
  <c r="N28" i="1"/>
  <c r="H25" i="1"/>
  <c r="M25" i="1"/>
  <c r="N27" i="1"/>
  <c r="I27" i="1"/>
  <c r="E27" i="1"/>
  <c r="J27" i="1" s="1"/>
  <c r="G25" i="1"/>
  <c r="I26" i="1"/>
  <c r="E26" i="1"/>
  <c r="J26" i="1" s="1"/>
  <c r="R23" i="1"/>
  <c r="N23" i="1"/>
  <c r="S23" i="1" s="1"/>
  <c r="I23" i="1"/>
  <c r="E23" i="1"/>
  <c r="J23" i="1" s="1"/>
  <c r="T23" i="1" s="1"/>
  <c r="R22" i="1"/>
  <c r="N22" i="1"/>
  <c r="S22" i="1" s="1"/>
  <c r="I22" i="1"/>
  <c r="E22" i="1"/>
  <c r="N21" i="1"/>
  <c r="I21" i="1"/>
  <c r="J21" i="1" s="1"/>
  <c r="E21" i="1"/>
  <c r="R20" i="1"/>
  <c r="S20" i="1" s="1"/>
  <c r="N20" i="1"/>
  <c r="I20" i="1"/>
  <c r="E20" i="1"/>
  <c r="J20" i="1" s="1"/>
  <c r="T20" i="1" s="1"/>
  <c r="R19" i="1"/>
  <c r="S19" i="1" s="1"/>
  <c r="N19" i="1"/>
  <c r="I19" i="1"/>
  <c r="E19" i="1"/>
  <c r="J19" i="1" s="1"/>
  <c r="T19" i="1" s="1"/>
  <c r="R18" i="1"/>
  <c r="N18" i="1"/>
  <c r="S18" i="1" s="1"/>
  <c r="E18" i="1"/>
  <c r="R17" i="1"/>
  <c r="S17" i="1" s="1"/>
  <c r="N17" i="1"/>
  <c r="I17" i="1"/>
  <c r="E17" i="1"/>
  <c r="R16" i="1"/>
  <c r="N16" i="1"/>
  <c r="S16" i="1" s="1"/>
  <c r="I16" i="1"/>
  <c r="R15" i="1"/>
  <c r="N15" i="1"/>
  <c r="S15" i="1" s="1"/>
  <c r="E15" i="1"/>
  <c r="R14" i="1"/>
  <c r="N14" i="1"/>
  <c r="S14" i="1" s="1"/>
  <c r="I14" i="1"/>
  <c r="E14" i="1"/>
  <c r="J14" i="1" s="1"/>
  <c r="T14" i="1" s="1"/>
  <c r="R13" i="1"/>
  <c r="N13" i="1"/>
  <c r="I13" i="1"/>
  <c r="E13" i="1"/>
  <c r="J13" i="1" s="1"/>
  <c r="R12" i="1"/>
  <c r="N12" i="1"/>
  <c r="S12" i="1" s="1"/>
  <c r="I12" i="1"/>
  <c r="E12" i="1"/>
  <c r="R11" i="1"/>
  <c r="N11" i="1"/>
  <c r="S11" i="1" s="1"/>
  <c r="I11" i="1"/>
  <c r="E11" i="1"/>
  <c r="J11" i="1" s="1"/>
  <c r="T11" i="1" s="1"/>
  <c r="R10" i="1"/>
  <c r="S10" i="1" s="1"/>
  <c r="N10" i="1"/>
  <c r="H7" i="1"/>
  <c r="I10" i="1"/>
  <c r="E10" i="1"/>
  <c r="J10" i="1" s="1"/>
  <c r="T10" i="1" s="1"/>
  <c r="Q7" i="1"/>
  <c r="P7" i="1"/>
  <c r="R9" i="1"/>
  <c r="N9" i="1"/>
  <c r="G7" i="1"/>
  <c r="I9" i="1"/>
  <c r="E9" i="1"/>
  <c r="J9" i="1" s="1"/>
  <c r="R8" i="1"/>
  <c r="M7" i="1"/>
  <c r="L7" i="1"/>
  <c r="I8" i="1"/>
  <c r="E8" i="1"/>
  <c r="J8" i="1" s="1"/>
  <c r="D7" i="1"/>
  <c r="C7" i="1"/>
  <c r="B7" i="1"/>
  <c r="E7" i="1" s="1"/>
  <c r="T62" i="1" l="1"/>
  <c r="T98" i="1"/>
  <c r="J132" i="1"/>
  <c r="T13" i="1"/>
  <c r="J87" i="1"/>
  <c r="T142" i="1"/>
  <c r="J60" i="1"/>
  <c r="S84" i="1"/>
  <c r="T31" i="1"/>
  <c r="J81" i="1"/>
  <c r="T81" i="1" s="1"/>
  <c r="E64" i="1"/>
  <c r="T53" i="1"/>
  <c r="T134" i="1"/>
  <c r="T106" i="1"/>
  <c r="S28" i="1"/>
  <c r="T94" i="1"/>
  <c r="S9" i="1"/>
  <c r="T9" i="1" s="1"/>
  <c r="T36" i="1"/>
  <c r="T47" i="1"/>
  <c r="J127" i="1"/>
  <c r="T128" i="1"/>
  <c r="N137" i="1"/>
  <c r="R45" i="1"/>
  <c r="J92" i="1"/>
  <c r="T92" i="1" s="1"/>
  <c r="T147" i="1"/>
  <c r="S13" i="1"/>
  <c r="J22" i="1"/>
  <c r="T22" i="1" s="1"/>
  <c r="S31" i="1"/>
  <c r="E39" i="1"/>
  <c r="T107" i="1"/>
  <c r="J101" i="1"/>
  <c r="T101" i="1" s="1"/>
  <c r="I121" i="1"/>
  <c r="J121" i="1" s="1"/>
  <c r="T121" i="1" s="1"/>
  <c r="F118" i="1"/>
  <c r="I118" i="1" s="1"/>
  <c r="F131" i="1"/>
  <c r="I131" i="1" s="1"/>
  <c r="I132" i="1"/>
  <c r="I28" i="1"/>
  <c r="C64" i="1"/>
  <c r="C96" i="1"/>
  <c r="E97" i="1"/>
  <c r="J97" i="1" s="1"/>
  <c r="K118" i="1"/>
  <c r="N118" i="1" s="1"/>
  <c r="S118" i="1" s="1"/>
  <c r="N120" i="1"/>
  <c r="S120" i="1" s="1"/>
  <c r="O33" i="1"/>
  <c r="R33" i="1" s="1"/>
  <c r="D71" i="1"/>
  <c r="E71" i="1" s="1"/>
  <c r="J71" i="1" s="1"/>
  <c r="S109" i="1"/>
  <c r="J115" i="1"/>
  <c r="T115" i="1" s="1"/>
  <c r="F7" i="1"/>
  <c r="J17" i="1"/>
  <c r="T17" i="1" s="1"/>
  <c r="B25" i="1"/>
  <c r="E25" i="1" s="1"/>
  <c r="R27" i="1"/>
  <c r="S27" i="1" s="1"/>
  <c r="T27" i="1" s="1"/>
  <c r="O25" i="1"/>
  <c r="L64" i="1"/>
  <c r="I72" i="1"/>
  <c r="J72" i="1" s="1"/>
  <c r="T72" i="1" s="1"/>
  <c r="N82" i="1"/>
  <c r="S82" i="1" s="1"/>
  <c r="R48" i="1"/>
  <c r="N57" i="1"/>
  <c r="S57" i="1" s="1"/>
  <c r="T57" i="1" s="1"/>
  <c r="I87" i="1"/>
  <c r="B111" i="1"/>
  <c r="E112" i="1"/>
  <c r="J112" i="1" s="1"/>
  <c r="K45" i="1"/>
  <c r="N45" i="1" s="1"/>
  <c r="R57" i="1"/>
  <c r="O56" i="1"/>
  <c r="K71" i="1"/>
  <c r="N71" i="1" s="1"/>
  <c r="G96" i="1"/>
  <c r="P137" i="1"/>
  <c r="R137" i="1" s="1"/>
  <c r="J12" i="1"/>
  <c r="T12" i="1" s="1"/>
  <c r="F25" i="1"/>
  <c r="I25" i="1" s="1"/>
  <c r="I37" i="1"/>
  <c r="J37" i="1" s="1"/>
  <c r="T37" i="1" s="1"/>
  <c r="Q45" i="1"/>
  <c r="L45" i="1"/>
  <c r="J50" i="1"/>
  <c r="T50" i="1" s="1"/>
  <c r="P56" i="1"/>
  <c r="I81" i="1"/>
  <c r="C79" i="1"/>
  <c r="K86" i="1"/>
  <c r="N86" i="1" s="1"/>
  <c r="S86" i="1" s="1"/>
  <c r="N87" i="1"/>
  <c r="S87" i="1" s="1"/>
  <c r="H90" i="1"/>
  <c r="N97" i="1"/>
  <c r="S97" i="1" s="1"/>
  <c r="K96" i="1"/>
  <c r="T100" i="1"/>
  <c r="F104" i="1"/>
  <c r="I104" i="1" s="1"/>
  <c r="Q131" i="1"/>
  <c r="I141" i="1"/>
  <c r="J141" i="1" s="1"/>
  <c r="T35" i="1"/>
  <c r="T40" i="1"/>
  <c r="S48" i="1"/>
  <c r="T48" i="1" s="1"/>
  <c r="T51" i="1"/>
  <c r="J58" i="1"/>
  <c r="T58" i="1" s="1"/>
  <c r="I65" i="1"/>
  <c r="J65" i="1" s="1"/>
  <c r="I113" i="1"/>
  <c r="J113" i="1" s="1"/>
  <c r="T113" i="1" s="1"/>
  <c r="N8" i="1"/>
  <c r="S8" i="1" s="1"/>
  <c r="T8" i="1" s="1"/>
  <c r="S49" i="1"/>
  <c r="R66" i="1"/>
  <c r="S66" i="1" s="1"/>
  <c r="E105" i="1"/>
  <c r="J105" i="1" s="1"/>
  <c r="K64" i="1"/>
  <c r="N64" i="1" s="1"/>
  <c r="S64" i="1" s="1"/>
  <c r="N65" i="1"/>
  <c r="S65" i="1" s="1"/>
  <c r="N138" i="1"/>
  <c r="S138" i="1" s="1"/>
  <c r="G79" i="1"/>
  <c r="I43" i="1"/>
  <c r="Q25" i="1"/>
  <c r="Q145" i="1" s="1"/>
  <c r="Q151" i="1" s="1"/>
  <c r="Q155" i="1" s="1"/>
  <c r="P45" i="1"/>
  <c r="S68" i="1"/>
  <c r="T68" i="1" s="1"/>
  <c r="S76" i="1"/>
  <c r="T76" i="1" s="1"/>
  <c r="S43" i="1"/>
  <c r="O7" i="1"/>
  <c r="B33" i="1"/>
  <c r="B145" i="1" s="1"/>
  <c r="R41" i="1"/>
  <c r="M45" i="1"/>
  <c r="O79" i="1"/>
  <c r="O90" i="1"/>
  <c r="R90" i="1" s="1"/>
  <c r="I91" i="1"/>
  <c r="F90" i="1"/>
  <c r="I92" i="1"/>
  <c r="L96" i="1"/>
  <c r="J109" i="1"/>
  <c r="R132" i="1"/>
  <c r="S132" i="1" s="1"/>
  <c r="T135" i="1"/>
  <c r="I138" i="1"/>
  <c r="F137" i="1"/>
  <c r="I137" i="1" s="1"/>
  <c r="S74" i="1"/>
  <c r="T74" i="1" s="1"/>
  <c r="C137" i="1"/>
  <c r="E140" i="1"/>
  <c r="J140" i="1" s="1"/>
  <c r="R26" i="1"/>
  <c r="P25" i="1"/>
  <c r="P145" i="1" s="1"/>
  <c r="P151" i="1" s="1"/>
  <c r="P155" i="1" s="1"/>
  <c r="N40" i="1"/>
  <c r="S40" i="1" s="1"/>
  <c r="K39" i="1"/>
  <c r="N39" i="1" s="1"/>
  <c r="S39" i="1" s="1"/>
  <c r="T84" i="1"/>
  <c r="B131" i="1"/>
  <c r="E131" i="1" s="1"/>
  <c r="J131" i="1" s="1"/>
  <c r="B45" i="1"/>
  <c r="E45" i="1" s="1"/>
  <c r="J86" i="1"/>
  <c r="M111" i="1"/>
  <c r="N111" i="1" s="1"/>
  <c r="S111" i="1" s="1"/>
  <c r="E66" i="1"/>
  <c r="J66" i="1" s="1"/>
  <c r="N112" i="1"/>
  <c r="R88" i="1"/>
  <c r="O111" i="1"/>
  <c r="R111" i="1" s="1"/>
  <c r="R112" i="1"/>
  <c r="H79" i="1"/>
  <c r="I79" i="1" s="1"/>
  <c r="C118" i="1"/>
  <c r="E119" i="1"/>
  <c r="J119" i="1" s="1"/>
  <c r="T119" i="1" s="1"/>
  <c r="C125" i="1"/>
  <c r="E125" i="1" s="1"/>
  <c r="J125" i="1" s="1"/>
  <c r="T125" i="1" s="1"/>
  <c r="K131" i="1"/>
  <c r="N131" i="1" s="1"/>
  <c r="N121" i="1"/>
  <c r="S121" i="1" s="1"/>
  <c r="E82" i="1"/>
  <c r="J82" i="1" s="1"/>
  <c r="B79" i="1"/>
  <c r="C111" i="1"/>
  <c r="L25" i="1"/>
  <c r="L145" i="1" s="1"/>
  <c r="L151" i="1" s="1"/>
  <c r="L155" i="1" s="1"/>
  <c r="K33" i="1"/>
  <c r="N33" i="1" s="1"/>
  <c r="C33" i="1"/>
  <c r="C145" i="1" s="1"/>
  <c r="C151" i="1" s="1"/>
  <c r="C155" i="1" s="1"/>
  <c r="S37" i="1"/>
  <c r="E42" i="1"/>
  <c r="J42" i="1" s="1"/>
  <c r="T42" i="1" s="1"/>
  <c r="N46" i="1"/>
  <c r="S46" i="1" s="1"/>
  <c r="T46" i="1" s="1"/>
  <c r="J49" i="1"/>
  <c r="B56" i="1"/>
  <c r="E56" i="1" s="1"/>
  <c r="J56" i="1" s="1"/>
  <c r="S59" i="1"/>
  <c r="T59" i="1" s="1"/>
  <c r="S60" i="1"/>
  <c r="F64" i="1"/>
  <c r="P71" i="1"/>
  <c r="S73" i="1"/>
  <c r="T73" i="1" s="1"/>
  <c r="G90" i="1"/>
  <c r="O104" i="1"/>
  <c r="R104" i="1" s="1"/>
  <c r="O125" i="1"/>
  <c r="R125" i="1" s="1"/>
  <c r="N126" i="1"/>
  <c r="S126" i="1" s="1"/>
  <c r="T126" i="1" s="1"/>
  <c r="K125" i="1"/>
  <c r="N125" i="1" s="1"/>
  <c r="S125" i="1" s="1"/>
  <c r="G137" i="1"/>
  <c r="D137" i="1"/>
  <c r="K7" i="1"/>
  <c r="I15" i="1"/>
  <c r="J15" i="1" s="1"/>
  <c r="T15" i="1" s="1"/>
  <c r="E29" i="1"/>
  <c r="J29" i="1" s="1"/>
  <c r="T29" i="1" s="1"/>
  <c r="H33" i="1"/>
  <c r="H145" i="1" s="1"/>
  <c r="H151" i="1" s="1"/>
  <c r="H155" i="1" s="1"/>
  <c r="R36" i="1"/>
  <c r="S36" i="1" s="1"/>
  <c r="I39" i="1"/>
  <c r="Q56" i="1"/>
  <c r="G64" i="1"/>
  <c r="G145" i="1" s="1"/>
  <c r="G151" i="1" s="1"/>
  <c r="G155" i="1" s="1"/>
  <c r="E69" i="1"/>
  <c r="J69" i="1" s="1"/>
  <c r="T69" i="1" s="1"/>
  <c r="C71" i="1"/>
  <c r="Q71" i="1"/>
  <c r="R84" i="1"/>
  <c r="K90" i="1"/>
  <c r="N90" i="1" s="1"/>
  <c r="S90" i="1" s="1"/>
  <c r="N91" i="1"/>
  <c r="S91" i="1" s="1"/>
  <c r="O96" i="1"/>
  <c r="R96" i="1" s="1"/>
  <c r="R97" i="1"/>
  <c r="E139" i="1"/>
  <c r="J139" i="1" s="1"/>
  <c r="T139" i="1" s="1"/>
  <c r="R140" i="1"/>
  <c r="R71" i="1"/>
  <c r="P79" i="1"/>
  <c r="E16" i="1"/>
  <c r="J16" i="1" s="1"/>
  <c r="T16" i="1" s="1"/>
  <c r="R49" i="1"/>
  <c r="L71" i="1"/>
  <c r="Q79" i="1"/>
  <c r="M104" i="1"/>
  <c r="N104" i="1" s="1"/>
  <c r="S104" i="1" s="1"/>
  <c r="N127" i="1"/>
  <c r="O131" i="1"/>
  <c r="R131" i="1" s="1"/>
  <c r="B137" i="1"/>
  <c r="E137" i="1" s="1"/>
  <c r="I18" i="1"/>
  <c r="J18" i="1" s="1"/>
  <c r="T18" i="1" s="1"/>
  <c r="E30" i="1"/>
  <c r="J30" i="1" s="1"/>
  <c r="T30" i="1" s="1"/>
  <c r="D33" i="1"/>
  <c r="D145" i="1" s="1"/>
  <c r="D151" i="1" s="1"/>
  <c r="D155" i="1" s="1"/>
  <c r="N41" i="1"/>
  <c r="S41" i="1" s="1"/>
  <c r="T41" i="1" s="1"/>
  <c r="I60" i="1"/>
  <c r="M71" i="1"/>
  <c r="R76" i="1"/>
  <c r="N88" i="1"/>
  <c r="F96" i="1"/>
  <c r="E122" i="1"/>
  <c r="J122" i="1" s="1"/>
  <c r="T122" i="1" s="1"/>
  <c r="R127" i="1"/>
  <c r="Q137" i="1"/>
  <c r="N147" i="1"/>
  <c r="S147" i="1" s="1"/>
  <c r="B90" i="1"/>
  <c r="E90" i="1" s="1"/>
  <c r="I125" i="1"/>
  <c r="H45" i="1"/>
  <c r="I45" i="1" s="1"/>
  <c r="N72" i="1"/>
  <c r="S72" i="1" s="1"/>
  <c r="E91" i="1"/>
  <c r="N99" i="1"/>
  <c r="B104" i="1"/>
  <c r="R105" i="1"/>
  <c r="S105" i="1" s="1"/>
  <c r="E120" i="1"/>
  <c r="J120" i="1" s="1"/>
  <c r="B118" i="1"/>
  <c r="H125" i="1"/>
  <c r="N26" i="1"/>
  <c r="S26" i="1" s="1"/>
  <c r="T26" i="1" s="1"/>
  <c r="K25" i="1"/>
  <c r="N25" i="1" s="1"/>
  <c r="E28" i="1"/>
  <c r="J28" i="1" s="1"/>
  <c r="T28" i="1" s="1"/>
  <c r="R28" i="1"/>
  <c r="K56" i="1"/>
  <c r="N56" i="1" s="1"/>
  <c r="N62" i="1"/>
  <c r="S62" i="1" s="1"/>
  <c r="N75" i="1"/>
  <c r="S75" i="1" s="1"/>
  <c r="T75" i="1" s="1"/>
  <c r="I80" i="1"/>
  <c r="J80" i="1" s="1"/>
  <c r="T80" i="1" s="1"/>
  <c r="C104" i="1"/>
  <c r="R109" i="1"/>
  <c r="H118" i="1"/>
  <c r="E138" i="1"/>
  <c r="N140" i="1"/>
  <c r="S140" i="1" s="1"/>
  <c r="R21" i="1"/>
  <c r="S21" i="1" s="1"/>
  <c r="T21" i="1" s="1"/>
  <c r="D79" i="1"/>
  <c r="N81" i="1"/>
  <c r="S81" i="1" s="1"/>
  <c r="R91" i="1"/>
  <c r="E43" i="1"/>
  <c r="J43" i="1" s="1"/>
  <c r="R43" i="1"/>
  <c r="N53" i="1"/>
  <c r="S53" i="1" s="1"/>
  <c r="B96" i="1"/>
  <c r="E96" i="1" s="1"/>
  <c r="E99" i="1"/>
  <c r="J99" i="1" s="1"/>
  <c r="R99" i="1"/>
  <c r="N119" i="1"/>
  <c r="S119" i="1" s="1"/>
  <c r="R141" i="1"/>
  <c r="S141" i="1" s="1"/>
  <c r="E145" i="1" l="1"/>
  <c r="B151" i="1"/>
  <c r="J45" i="1"/>
  <c r="T131" i="1"/>
  <c r="T87" i="1"/>
  <c r="T105" i="1"/>
  <c r="J137" i="1"/>
  <c r="T137" i="1" s="1"/>
  <c r="T109" i="1"/>
  <c r="T120" i="1"/>
  <c r="S71" i="1"/>
  <c r="T71" i="1" s="1"/>
  <c r="E104" i="1"/>
  <c r="J104" i="1" s="1"/>
  <c r="T104" i="1" s="1"/>
  <c r="M145" i="1"/>
  <c r="M151" i="1" s="1"/>
  <c r="M155" i="1" s="1"/>
  <c r="S99" i="1"/>
  <c r="T140" i="1"/>
  <c r="S45" i="1"/>
  <c r="T43" i="1"/>
  <c r="J91" i="1"/>
  <c r="T91" i="1" s="1"/>
  <c r="T66" i="1"/>
  <c r="T65" i="1"/>
  <c r="E33" i="1"/>
  <c r="J33" i="1" s="1"/>
  <c r="T33" i="1" s="1"/>
  <c r="O145" i="1"/>
  <c r="R7" i="1"/>
  <c r="J138" i="1"/>
  <c r="T138" i="1" s="1"/>
  <c r="E118" i="1"/>
  <c r="J118" i="1" s="1"/>
  <c r="T118" i="1" s="1"/>
  <c r="T141" i="1"/>
  <c r="T97" i="1"/>
  <c r="T132" i="1"/>
  <c r="S127" i="1"/>
  <c r="T127" i="1" s="1"/>
  <c r="R25" i="1"/>
  <c r="S25" i="1" s="1"/>
  <c r="E79" i="1"/>
  <c r="J79" i="1" s="1"/>
  <c r="T79" i="1" s="1"/>
  <c r="S88" i="1"/>
  <c r="T88" i="1" s="1"/>
  <c r="K145" i="1"/>
  <c r="N7" i="1"/>
  <c r="S7" i="1" s="1"/>
  <c r="T82" i="1"/>
  <c r="J25" i="1"/>
  <c r="T60" i="1"/>
  <c r="R79" i="1"/>
  <c r="S79" i="1" s="1"/>
  <c r="I33" i="1"/>
  <c r="E111" i="1"/>
  <c r="J111" i="1" s="1"/>
  <c r="T111" i="1" s="1"/>
  <c r="F145" i="1"/>
  <c r="I7" i="1"/>
  <c r="J7" i="1" s="1"/>
  <c r="T7" i="1" s="1"/>
  <c r="S137" i="1"/>
  <c r="S33" i="1"/>
  <c r="T99" i="1"/>
  <c r="R56" i="1"/>
  <c r="S56" i="1" s="1"/>
  <c r="T56" i="1" s="1"/>
  <c r="I96" i="1"/>
  <c r="J96" i="1" s="1"/>
  <c r="T96" i="1" s="1"/>
  <c r="I64" i="1"/>
  <c r="J64" i="1" s="1"/>
  <c r="T64" i="1" s="1"/>
  <c r="I90" i="1"/>
  <c r="J90" i="1" s="1"/>
  <c r="T90" i="1" s="1"/>
  <c r="J39" i="1"/>
  <c r="T39" i="1" s="1"/>
  <c r="S112" i="1"/>
  <c r="T112" i="1" s="1"/>
  <c r="T49" i="1"/>
  <c r="S131" i="1"/>
  <c r="T86" i="1"/>
  <c r="N96" i="1"/>
  <c r="S96" i="1" s="1"/>
  <c r="I145" i="1" l="1"/>
  <c r="F151" i="1"/>
  <c r="T45" i="1"/>
  <c r="T25" i="1"/>
  <c r="B155" i="1"/>
  <c r="E155" i="1" s="1"/>
  <c r="E151" i="1"/>
  <c r="K151" i="1"/>
  <c r="N145" i="1"/>
  <c r="O151" i="1"/>
  <c r="R145" i="1"/>
  <c r="J145" i="1"/>
  <c r="O155" i="1" l="1"/>
  <c r="R155" i="1" s="1"/>
  <c r="R151" i="1"/>
  <c r="S145" i="1"/>
  <c r="F155" i="1"/>
  <c r="I155" i="1" s="1"/>
  <c r="J155" i="1" s="1"/>
  <c r="T155" i="1" s="1"/>
  <c r="I151" i="1"/>
  <c r="J151" i="1" s="1"/>
  <c r="T151" i="1" s="1"/>
  <c r="T145" i="1"/>
  <c r="N151" i="1"/>
  <c r="S151" i="1" s="1"/>
  <c r="K155" i="1"/>
  <c r="N155" i="1" s="1"/>
  <c r="S155" i="1" s="1"/>
</calcChain>
</file>

<file path=xl/sharedStrings.xml><?xml version="1.0" encoding="utf-8"?>
<sst xmlns="http://schemas.openxmlformats.org/spreadsheetml/2006/main" count="1671" uniqueCount="236">
  <si>
    <t>INTERNAL REVENUE COLLECTIONS BY REGION AND BY PROVINCE *</t>
  </si>
  <si>
    <t>(Amount in Million Pesos)</t>
  </si>
  <si>
    <t>PARTICULARS</t>
  </si>
  <si>
    <t>JANUARY</t>
  </si>
  <si>
    <t>FEBRUARY</t>
  </si>
  <si>
    <t>MARCH</t>
  </si>
  <si>
    <t>1st QUARTER</t>
  </si>
  <si>
    <t>APRIL</t>
  </si>
  <si>
    <t>MAY</t>
  </si>
  <si>
    <t>JUNE</t>
  </si>
  <si>
    <t>2nd QUARTER</t>
  </si>
  <si>
    <t>1st SEMESTER</t>
  </si>
  <si>
    <t>JULY</t>
  </si>
  <si>
    <t>AUGUST</t>
  </si>
  <si>
    <t>SEPTEMBER</t>
  </si>
  <si>
    <t>3rd QUARTER</t>
  </si>
  <si>
    <t>OCTOBER</t>
  </si>
  <si>
    <t>NOVEMBER</t>
  </si>
  <si>
    <t>DECEMBER</t>
  </si>
  <si>
    <t>4th QUARTER</t>
  </si>
  <si>
    <t>2nd SEMESTER</t>
  </si>
  <si>
    <t>TOTAL</t>
  </si>
  <si>
    <t>National Capital Region (NCR)</t>
  </si>
  <si>
    <t>City of Caloocan</t>
  </si>
  <si>
    <t>City of Las Piñas</t>
  </si>
  <si>
    <t>City of Makati</t>
  </si>
  <si>
    <t>Cities of Malabon and Navotas</t>
  </si>
  <si>
    <t>City of Mandaluyong</t>
  </si>
  <si>
    <t>City of Manila</t>
  </si>
  <si>
    <r>
      <t xml:space="preserve">City of Marikina </t>
    </r>
    <r>
      <rPr>
        <vertAlign val="superscript"/>
        <sz val="9"/>
        <color theme="1"/>
        <rFont val="Century Gothic"/>
        <family val="2"/>
      </rPr>
      <t>1/</t>
    </r>
  </si>
  <si>
    <t>City of Muntinlupa</t>
  </si>
  <si>
    <t>City of Parañaque</t>
  </si>
  <si>
    <t>Pasay City</t>
  </si>
  <si>
    <t>City of Pasig</t>
  </si>
  <si>
    <t>Quezon City</t>
  </si>
  <si>
    <t>City of San Juan</t>
  </si>
  <si>
    <t>City of Taguig and Pateros</t>
  </si>
  <si>
    <t>City of Valenzuela</t>
  </si>
  <si>
    <r>
      <t xml:space="preserve">Large Taxpayers Service </t>
    </r>
    <r>
      <rPr>
        <vertAlign val="superscript"/>
        <sz val="9"/>
        <color theme="1"/>
        <rFont val="Century Gothic"/>
        <family val="2"/>
      </rPr>
      <t>2/</t>
    </r>
  </si>
  <si>
    <t>Cordillera Administrative Region  (CAR)</t>
  </si>
  <si>
    <t>Abra</t>
  </si>
  <si>
    <t>Apayao and Kalinga</t>
  </si>
  <si>
    <t>Benguet</t>
  </si>
  <si>
    <t>Ifugao</t>
  </si>
  <si>
    <t>Mountain Province</t>
  </si>
  <si>
    <t>City of Baguio</t>
  </si>
  <si>
    <t>Region I  (Ilocos Region)</t>
  </si>
  <si>
    <t>Ilocos Norte</t>
  </si>
  <si>
    <t>Ilocos Sur</t>
  </si>
  <si>
    <t>La Union</t>
  </si>
  <si>
    <t>Pangasinan</t>
  </si>
  <si>
    <t>Region II (Cagayan Valley)</t>
  </si>
  <si>
    <t xml:space="preserve">Cagayan and Batanes </t>
  </si>
  <si>
    <t>Isabela</t>
  </si>
  <si>
    <t>Nueva Vizcaya</t>
  </si>
  <si>
    <t>Quirino</t>
  </si>
  <si>
    <t>Region III (Central Luzon)</t>
  </si>
  <si>
    <t>Aurora</t>
  </si>
  <si>
    <t>Bataan</t>
  </si>
  <si>
    <t>Bulacan</t>
  </si>
  <si>
    <t>Nueva Ecija</t>
  </si>
  <si>
    <r>
      <t xml:space="preserve">Pampanga </t>
    </r>
    <r>
      <rPr>
        <vertAlign val="superscript"/>
        <sz val="9"/>
        <color theme="1"/>
        <rFont val="Century Gothic"/>
        <family val="2"/>
      </rPr>
      <t>3/</t>
    </r>
  </si>
  <si>
    <t>Tarlac</t>
  </si>
  <si>
    <r>
      <t xml:space="preserve">Zambales </t>
    </r>
    <r>
      <rPr>
        <vertAlign val="superscript"/>
        <sz val="9"/>
        <color theme="1"/>
        <rFont val="Century Gothic"/>
        <family val="2"/>
      </rPr>
      <t>4/</t>
    </r>
  </si>
  <si>
    <t>City of Angeles</t>
  </si>
  <si>
    <t>City of Olongapo</t>
  </si>
  <si>
    <t>Region IV-A  (CALABARZON)</t>
  </si>
  <si>
    <t>Batangas</t>
  </si>
  <si>
    <t>Cavite</t>
  </si>
  <si>
    <t>Laguna</t>
  </si>
  <si>
    <t>Quezon</t>
  </si>
  <si>
    <r>
      <t xml:space="preserve">Rizal </t>
    </r>
    <r>
      <rPr>
        <vertAlign val="superscript"/>
        <sz val="9"/>
        <color theme="1"/>
        <rFont val="Century Gothic"/>
        <family val="2"/>
      </rPr>
      <t>5/</t>
    </r>
  </si>
  <si>
    <r>
      <t xml:space="preserve">City of Lucena </t>
    </r>
    <r>
      <rPr>
        <vertAlign val="superscript"/>
        <sz val="9"/>
        <color theme="1"/>
        <rFont val="Century Gothic"/>
        <family val="2"/>
      </rPr>
      <t>6/</t>
    </r>
  </si>
  <si>
    <t>MIMAROPA Region</t>
  </si>
  <si>
    <t>Marinduque</t>
  </si>
  <si>
    <t>Occidental Mindoro</t>
  </si>
  <si>
    <t>Oriental Mindoro</t>
  </si>
  <si>
    <t>Palawan (includes City of Puerto Princesa)</t>
  </si>
  <si>
    <t>Romblon</t>
  </si>
  <si>
    <t>Region V  (Bicol Region)</t>
  </si>
  <si>
    <t>Albay</t>
  </si>
  <si>
    <t>Camarines Norte</t>
  </si>
  <si>
    <t>Camarines Sur</t>
  </si>
  <si>
    <t>Catanduanes</t>
  </si>
  <si>
    <t>Masbate</t>
  </si>
  <si>
    <t>Sorsogon</t>
  </si>
  <si>
    <t>Region VI  (Western Visayas)</t>
  </si>
  <si>
    <t>Aklan</t>
  </si>
  <si>
    <t>Antique</t>
  </si>
  <si>
    <t>Capiz</t>
  </si>
  <si>
    <t>Iloilo</t>
  </si>
  <si>
    <r>
      <t xml:space="preserve">City of Iloilo (includes the province of Guimaras) </t>
    </r>
    <r>
      <rPr>
        <vertAlign val="superscript"/>
        <sz val="9"/>
        <color theme="1"/>
        <rFont val="Century Gothic"/>
        <family val="2"/>
      </rPr>
      <t>7/</t>
    </r>
  </si>
  <si>
    <t>Negros Island Region (NIR)</t>
  </si>
  <si>
    <t>Negros Occidental (includes City of Bacolod)</t>
  </si>
  <si>
    <t>Negros Oriental and Siquijor</t>
  </si>
  <si>
    <t>Region VII  (Central Visayas)</t>
  </si>
  <si>
    <t>Bohol</t>
  </si>
  <si>
    <t>Cebu (includes Cities of Lapu-Lapu and Mandaue)</t>
  </si>
  <si>
    <t>City of Cebu</t>
  </si>
  <si>
    <r>
      <t xml:space="preserve">LTD Cebu </t>
    </r>
    <r>
      <rPr>
        <vertAlign val="superscript"/>
        <sz val="9"/>
        <color theme="1"/>
        <rFont val="Century Gothic"/>
        <family val="2"/>
      </rPr>
      <t>8/</t>
    </r>
  </si>
  <si>
    <t>Region VIII  (Eastern Visayas)</t>
  </si>
  <si>
    <t>Eastern Samar</t>
  </si>
  <si>
    <t>Leyte</t>
  </si>
  <si>
    <t>Northern Samar</t>
  </si>
  <si>
    <t>Samar</t>
  </si>
  <si>
    <t>Southern Leyte</t>
  </si>
  <si>
    <r>
      <t xml:space="preserve">City of Tacloban (includes the province of Biliran) </t>
    </r>
    <r>
      <rPr>
        <vertAlign val="superscript"/>
        <sz val="9"/>
        <color theme="1"/>
        <rFont val="Century Gothic"/>
        <family val="2"/>
      </rPr>
      <t>9/</t>
    </r>
  </si>
  <si>
    <t>Region IX  (Zamboanga Peninsula)</t>
  </si>
  <si>
    <t>Zamboanga del Norte</t>
  </si>
  <si>
    <t>Zamboanga del Sur</t>
  </si>
  <si>
    <t>Zamboanga Sibugay</t>
  </si>
  <si>
    <r>
      <t xml:space="preserve">City of Isabela </t>
    </r>
    <r>
      <rPr>
        <vertAlign val="superscript"/>
        <sz val="9"/>
        <color theme="1"/>
        <rFont val="Century Gothic"/>
        <family val="2"/>
      </rPr>
      <t>10/</t>
    </r>
  </si>
  <si>
    <t>City of Zamboanga</t>
  </si>
  <si>
    <t>Region X  (Northern Mindanao)</t>
  </si>
  <si>
    <t>Bukidnon</t>
  </si>
  <si>
    <t>Lanao del Norte (includes City of Iligan)</t>
  </si>
  <si>
    <t>Misamis Occidental</t>
  </si>
  <si>
    <r>
      <t xml:space="preserve">Misamis Oriental (includes the province of Camiguin) </t>
    </r>
    <r>
      <rPr>
        <vertAlign val="superscript"/>
        <sz val="9"/>
        <color theme="1"/>
        <rFont val="Century Gothic"/>
        <family val="2"/>
      </rPr>
      <t>11/</t>
    </r>
  </si>
  <si>
    <r>
      <t xml:space="preserve">City of Cagayan de Oro </t>
    </r>
    <r>
      <rPr>
        <vertAlign val="superscript"/>
        <sz val="9"/>
        <color theme="1"/>
        <rFont val="Century Gothic"/>
        <family val="2"/>
      </rPr>
      <t>12/</t>
    </r>
  </si>
  <si>
    <t>Region XI (Davao Region)</t>
  </si>
  <si>
    <t xml:space="preserve">Davao del Norte and Davao de Oro </t>
  </si>
  <si>
    <t>Davao del Sur and Davao Occidental</t>
  </si>
  <si>
    <t>Davao Oriental</t>
  </si>
  <si>
    <t>City of Davao</t>
  </si>
  <si>
    <r>
      <t xml:space="preserve">LTD Davao </t>
    </r>
    <r>
      <rPr>
        <vertAlign val="superscript"/>
        <sz val="9"/>
        <color theme="1"/>
        <rFont val="Century Gothic"/>
        <family val="2"/>
      </rPr>
      <t>13/</t>
    </r>
  </si>
  <si>
    <t>Region XII (SOCCSKSARGEN)</t>
  </si>
  <si>
    <t>Cotabato</t>
  </si>
  <si>
    <t>City of General Santos (includes the province of Sarangani)</t>
  </si>
  <si>
    <t>South Cotabato</t>
  </si>
  <si>
    <t>Sultan Kudarat</t>
  </si>
  <si>
    <t>Region XIII (Caraga)</t>
  </si>
  <si>
    <t>Agusan del Norte (includes City of Butuan)</t>
  </si>
  <si>
    <t>Agusan del Sur</t>
  </si>
  <si>
    <t>Surigao del Norte and Dinagat Islands</t>
  </si>
  <si>
    <t>Surigao del Sur</t>
  </si>
  <si>
    <t>Bangsamoro Autonomous Region in Muslim Mindanao (BARMM)</t>
  </si>
  <si>
    <t>Basilan (includes City of Isabela)</t>
  </si>
  <si>
    <t>Lanao del Sur</t>
  </si>
  <si>
    <t>Maguindanao del Norte and Maguindanao del Sur</t>
  </si>
  <si>
    <t>Sulu</t>
  </si>
  <si>
    <t>Tawi-tawi</t>
  </si>
  <si>
    <r>
      <t xml:space="preserve">Special Geographic Area </t>
    </r>
    <r>
      <rPr>
        <vertAlign val="superscript"/>
        <sz val="9"/>
        <color theme="1"/>
        <rFont val="Century Gothic"/>
        <family val="2"/>
      </rPr>
      <t>14/</t>
    </r>
  </si>
  <si>
    <t>Total BIR Operations</t>
  </si>
  <si>
    <t>Total Non-BIR Operations</t>
  </si>
  <si>
    <t xml:space="preserve">Others  </t>
  </si>
  <si>
    <t>Total Gross Collection</t>
  </si>
  <si>
    <t>Tax Refund</t>
  </si>
  <si>
    <t>Total Collection - Net of Tax Refund</t>
  </si>
  <si>
    <t>* Regional and Provincial Summary is based on Philippine Statistics Authority - Philippine Standard Geographic Code (PSGC), as of June, 2024</t>
  </si>
  <si>
    <t>Source of Data: Research and Statistics Division</t>
  </si>
  <si>
    <t>Notes:</t>
  </si>
  <si>
    <r>
      <rPr>
        <vertAlign val="superscript"/>
        <sz val="8"/>
        <color theme="1"/>
        <rFont val="Century Gothic"/>
        <family val="2"/>
      </rPr>
      <t>1/</t>
    </r>
    <r>
      <rPr>
        <sz val="8"/>
        <color theme="1"/>
        <rFont val="Century Gothic"/>
        <family val="2"/>
      </rPr>
      <t xml:space="preserve"> Includes collections from San Mateo, Antipolo, Rodriguez and Teresa in the province of Rizal </t>
    </r>
  </si>
  <si>
    <r>
      <rPr>
        <vertAlign val="superscript"/>
        <sz val="8"/>
        <color theme="1"/>
        <rFont val="Century Gothic"/>
        <family val="2"/>
      </rPr>
      <t>2/</t>
    </r>
    <r>
      <rPr>
        <sz val="8"/>
        <color theme="1"/>
        <rFont val="Century Gothic"/>
        <family val="2"/>
      </rPr>
      <t xml:space="preserve"> Consists of the country’s largest corporate clients, which are mostly multinationals and publicly-listed companies under NCR</t>
    </r>
  </si>
  <si>
    <r>
      <rPr>
        <vertAlign val="superscript"/>
        <sz val="8"/>
        <color theme="1"/>
        <rFont val="Century Gothic"/>
        <family val="2"/>
      </rPr>
      <t>3/</t>
    </r>
    <r>
      <rPr>
        <sz val="8"/>
        <color theme="1"/>
        <rFont val="Century Gothic"/>
        <family val="2"/>
      </rPr>
      <t xml:space="preserve"> Includes collections from Clark Freeport and Special Economic Zone (CFEZ)</t>
    </r>
  </si>
  <si>
    <r>
      <rPr>
        <vertAlign val="superscript"/>
        <sz val="8"/>
        <color theme="1"/>
        <rFont val="Century Gothic"/>
        <family val="2"/>
      </rPr>
      <t>4/</t>
    </r>
    <r>
      <rPr>
        <sz val="8"/>
        <color theme="1"/>
        <rFont val="Century Gothic"/>
        <family val="2"/>
      </rPr>
      <t xml:space="preserve"> Includes collections from Subic Bay Freeport Zone only</t>
    </r>
  </si>
  <si>
    <r>
      <rPr>
        <vertAlign val="superscript"/>
        <sz val="8"/>
        <color theme="1"/>
        <rFont val="Century Gothic"/>
        <family val="2"/>
      </rPr>
      <t>5/</t>
    </r>
    <r>
      <rPr>
        <sz val="8"/>
        <color theme="1"/>
        <rFont val="Century Gothic"/>
        <family val="2"/>
      </rPr>
      <t xml:space="preserve"> Includes only collections from Cainta and Taytay in the province of Rizal</t>
    </r>
  </si>
  <si>
    <r>
      <rPr>
        <vertAlign val="superscript"/>
        <sz val="8"/>
        <color theme="1"/>
        <rFont val="Century Gothic"/>
        <family val="2"/>
      </rPr>
      <t>6/</t>
    </r>
    <r>
      <rPr>
        <sz val="8"/>
        <color theme="1"/>
        <rFont val="Century Gothic"/>
        <family val="2"/>
      </rPr>
      <t xml:space="preserve"> Also includes collections from 1 city and 17 municipalities in Quezon (Burdeos, Candelaria, Dolores, General Nakar, Infanta, Jomalig, Lucban, Mauban, Pagbilao, Panukulan, Patnanungan, Polillo, Real, Sampaloc, San Antonio, Sariaya, City of Tayabas, Tiaong) </t>
    </r>
  </si>
  <si>
    <r>
      <rPr>
        <vertAlign val="superscript"/>
        <sz val="8"/>
        <color theme="1"/>
        <rFont val="Century Gothic"/>
        <family val="2"/>
      </rPr>
      <t>7/</t>
    </r>
    <r>
      <rPr>
        <sz val="8"/>
        <color theme="1"/>
        <rFont val="Century Gothic"/>
        <family val="2"/>
      </rPr>
      <t xml:space="preserve"> Also includes 15 municipalities in Iloilo (Alimodian, Cabatuan, Guimbal, Igbaras, Leganes, Leon, Maasin, Miagao, Oton, Pavia, San Joaquin, San Miguel, Santa Barbara, Tigbauan, Tubungan) </t>
    </r>
  </si>
  <si>
    <r>
      <rPr>
        <vertAlign val="superscript"/>
        <sz val="8"/>
        <color theme="1"/>
        <rFont val="Century Gothic"/>
        <family val="2"/>
      </rPr>
      <t>8/</t>
    </r>
    <r>
      <rPr>
        <sz val="8"/>
        <color theme="1"/>
        <rFont val="Century Gothic"/>
        <family val="2"/>
      </rPr>
      <t xml:space="preserve"> Consists of the largest corporate clients, which are mostly multinationals and publicly-listed companies under the province of Cebu</t>
    </r>
  </si>
  <si>
    <r>
      <rPr>
        <vertAlign val="superscript"/>
        <sz val="8"/>
        <color theme="1"/>
        <rFont val="Century Gothic"/>
        <family val="2"/>
      </rPr>
      <t>9/</t>
    </r>
    <r>
      <rPr>
        <sz val="8"/>
        <color theme="1"/>
        <rFont val="Century Gothic"/>
        <family val="2"/>
      </rPr>
      <t xml:space="preserve"> Also includes 24 municipalities in Leyte (Abuyog, Alangalang, Babatngon, Barugo, Burauen, Capoocan, Carigara, Dagami, Dulag, Jaro, Javier, Julita, La Paz, Macarthur, Mahaplag, Mayorga, Palo, Pastrana, San Miguel, Santa Fe, Tabontabon, Tanauan, Tolosa, Tunga) </t>
    </r>
  </si>
  <si>
    <r>
      <rPr>
        <vertAlign val="superscript"/>
        <sz val="8"/>
        <color theme="1"/>
        <rFont val="Century Gothic"/>
        <family val="2"/>
      </rPr>
      <t xml:space="preserve">10/ </t>
    </r>
    <r>
      <rPr>
        <sz val="8"/>
        <color theme="1"/>
        <rFont val="Century Gothic"/>
        <family val="2"/>
      </rPr>
      <t>Classified under Region IX (Zamboanga Peninsula) but is geographically located in the province of Basilan (Bangsamoro Autonomous Region in Muslim Mindanao)</t>
    </r>
  </si>
  <si>
    <r>
      <rPr>
        <vertAlign val="superscript"/>
        <sz val="8"/>
        <color theme="1"/>
        <rFont val="Century Gothic"/>
        <family val="2"/>
      </rPr>
      <t xml:space="preserve">11/ </t>
    </r>
    <r>
      <rPr>
        <sz val="8"/>
        <color theme="1"/>
        <rFont val="Century Gothic"/>
        <family val="2"/>
      </rPr>
      <t xml:space="preserve">Also includes 1 city and 9 municipalities in Misamis Oriental (City of Gingoog, Balingoan, Binuangan, Kinoguitan, Lagonglong, Magsaysay, Medina, Salay, Sugbongcogon, Talisayan) </t>
    </r>
  </si>
  <si>
    <r>
      <rPr>
        <vertAlign val="superscript"/>
        <sz val="8"/>
        <color theme="1"/>
        <rFont val="Century Gothic"/>
        <family val="2"/>
      </rPr>
      <t>12/</t>
    </r>
    <r>
      <rPr>
        <sz val="8"/>
        <color theme="1"/>
        <rFont val="Century Gothic"/>
        <family val="2"/>
      </rPr>
      <t xml:space="preserve"> Also includes 1 city and 14 municipalities in Misamis Oriental (Alubijid, Balingasag, Claveria, City of El Salvador, Gitagum, Initao, Jasaan, Laguindingan, Libertad, Lugait, Manticao, Naawan, Opol, Tagoloan, Villanueva) </t>
    </r>
  </si>
  <si>
    <r>
      <rPr>
        <vertAlign val="superscript"/>
        <sz val="8"/>
        <color theme="1"/>
        <rFont val="Century Gothic"/>
        <family val="2"/>
      </rPr>
      <t>13/</t>
    </r>
    <r>
      <rPr>
        <sz val="8"/>
        <color theme="1"/>
        <rFont val="Century Gothic"/>
        <family val="2"/>
      </rPr>
      <t xml:space="preserve"> Consists of the largest corporate clients, which are mostly multinationals and publicly-listed companies situated in Region XI (Davao Region)</t>
    </r>
  </si>
  <si>
    <r>
      <rPr>
        <vertAlign val="superscript"/>
        <sz val="8"/>
        <color theme="1"/>
        <rFont val="Century Gothic"/>
        <family val="2"/>
      </rPr>
      <t>14/</t>
    </r>
    <r>
      <rPr>
        <sz val="8"/>
        <color theme="1"/>
        <rFont val="Century Gothic"/>
        <family val="2"/>
      </rPr>
      <t xml:space="preserve"> Executive Order No. 001, series of 2020, establishes one (1) Development Coordinating Office with eight (8) Area Clusters in Bangsamoro Autonomous Region in Muslim Mindanao.</t>
    </r>
  </si>
  <si>
    <r>
      <rPr>
        <vertAlign val="superscript"/>
        <sz val="8"/>
        <color theme="1"/>
        <rFont val="Century Gothic"/>
        <family val="2"/>
      </rPr>
      <t>12/</t>
    </r>
    <r>
      <rPr>
        <sz val="8"/>
        <color theme="1"/>
        <rFont val="Century Gothic"/>
        <family val="2"/>
      </rPr>
      <t xml:space="preserve"> Also includes 1 city and 14 municipalities in Misamis Oriental (Alubijid, Balingasag, Claveria, City of El Salvador, Gitagum, Initao, Jasaan, Laguindingan, Libertad, Lugait, 
Manticao, Naawan, Opol, Tagoloan, Villanueva) </t>
    </r>
  </si>
  <si>
    <t>For the Period: January to December, 2016</t>
  </si>
  <si>
    <t>Rundate: February 23, 2017</t>
  </si>
  <si>
    <t>For the Period: January to December, 2017</t>
  </si>
  <si>
    <t>Rundate: March 16, 2018</t>
  </si>
  <si>
    <t>For the Period: January to December, 2018</t>
  </si>
  <si>
    <t>Rundate: March 4, 2019</t>
  </si>
  <si>
    <t>For the Period: January to December, 2019</t>
  </si>
  <si>
    <t>Rundate: March 10, 2020</t>
  </si>
  <si>
    <t>For the Period: January to December, 2020</t>
  </si>
  <si>
    <t>Rundate: March 16, 2021</t>
  </si>
  <si>
    <t>Rundate: March 22, 2022</t>
  </si>
  <si>
    <t>For the Period: January to December, 2021</t>
  </si>
  <si>
    <t>For the Period: January to December, 2022</t>
  </si>
  <si>
    <t>Rundate: March 14, 2023</t>
  </si>
  <si>
    <t>For the Period: January to December, 2023</t>
  </si>
  <si>
    <t>Rundate: February 20, 2024</t>
  </si>
  <si>
    <t>For the Period: January to December, 2024</t>
  </si>
  <si>
    <t>Rundate: March 7, 2025</t>
  </si>
  <si>
    <t>(In Million Pesos)</t>
  </si>
  <si>
    <t xml:space="preserve">City of Malabon </t>
  </si>
  <si>
    <t>City of Navotas</t>
  </si>
  <si>
    <t xml:space="preserve">City of Taguig </t>
  </si>
  <si>
    <t>Pateros</t>
  </si>
  <si>
    <t xml:space="preserve">Apayao </t>
  </si>
  <si>
    <t>Kalinga</t>
  </si>
  <si>
    <t xml:space="preserve">Batanes </t>
  </si>
  <si>
    <t>Cagayan</t>
  </si>
  <si>
    <r>
      <t xml:space="preserve">City of Angeles </t>
    </r>
    <r>
      <rPr>
        <vertAlign val="superscript"/>
        <sz val="9"/>
        <color theme="1"/>
        <rFont val="Century Gothic"/>
        <family val="2"/>
      </rPr>
      <t>5/</t>
    </r>
  </si>
  <si>
    <r>
      <t xml:space="preserve">City of Olongapo </t>
    </r>
    <r>
      <rPr>
        <vertAlign val="superscript"/>
        <sz val="9"/>
        <color theme="1"/>
        <rFont val="Century Gothic"/>
        <family val="2"/>
      </rPr>
      <t>6/</t>
    </r>
  </si>
  <si>
    <r>
      <t xml:space="preserve">Quezon </t>
    </r>
    <r>
      <rPr>
        <vertAlign val="superscript"/>
        <sz val="9"/>
        <color theme="1"/>
        <rFont val="Century Gothic"/>
        <family val="2"/>
      </rPr>
      <t>7/</t>
    </r>
  </si>
  <si>
    <r>
      <t xml:space="preserve">Rizal </t>
    </r>
    <r>
      <rPr>
        <vertAlign val="superscript"/>
        <sz val="9"/>
        <color theme="1"/>
        <rFont val="Century Gothic"/>
        <family val="2"/>
      </rPr>
      <t>8/</t>
    </r>
  </si>
  <si>
    <r>
      <t xml:space="preserve">City of Lucena </t>
    </r>
    <r>
      <rPr>
        <vertAlign val="superscript"/>
        <sz val="9"/>
        <color theme="1"/>
        <rFont val="Century Gothic"/>
        <family val="2"/>
      </rPr>
      <t>9/</t>
    </r>
  </si>
  <si>
    <t xml:space="preserve">Palawan </t>
  </si>
  <si>
    <t>City of Puerto Princesa</t>
  </si>
  <si>
    <r>
      <t xml:space="preserve">Iloilo </t>
    </r>
    <r>
      <rPr>
        <vertAlign val="superscript"/>
        <sz val="9"/>
        <color theme="1"/>
        <rFont val="Century Gothic"/>
        <family val="2"/>
      </rPr>
      <t>10/</t>
    </r>
  </si>
  <si>
    <r>
      <t xml:space="preserve">City of Iloilo </t>
    </r>
    <r>
      <rPr>
        <vertAlign val="superscript"/>
        <sz val="9"/>
        <color theme="1"/>
        <rFont val="Century Gothic"/>
        <family val="2"/>
      </rPr>
      <t>11/</t>
    </r>
  </si>
  <si>
    <t xml:space="preserve">Guimaras </t>
  </si>
  <si>
    <t>Negros Occidental</t>
  </si>
  <si>
    <t>City of Bacolod</t>
  </si>
  <si>
    <t xml:space="preserve">Negros Oriental </t>
  </si>
  <si>
    <t>Siquijor</t>
  </si>
  <si>
    <t xml:space="preserve">Cebu </t>
  </si>
  <si>
    <t xml:space="preserve">City of Lapu-Lapu </t>
  </si>
  <si>
    <t>City of Mandaue</t>
  </si>
  <si>
    <r>
      <t xml:space="preserve">LTD Cebu </t>
    </r>
    <r>
      <rPr>
        <vertAlign val="superscript"/>
        <sz val="9"/>
        <color theme="1"/>
        <rFont val="Century Gothic"/>
        <family val="2"/>
      </rPr>
      <t>12/</t>
    </r>
  </si>
  <si>
    <t xml:space="preserve">Biliran </t>
  </si>
  <si>
    <r>
      <t xml:space="preserve">City of Tacloban </t>
    </r>
    <r>
      <rPr>
        <vertAlign val="superscript"/>
        <sz val="9"/>
        <color theme="1"/>
        <rFont val="Century Gothic"/>
        <family val="2"/>
      </rPr>
      <t>13/</t>
    </r>
  </si>
  <si>
    <r>
      <t xml:space="preserve">Leyte </t>
    </r>
    <r>
      <rPr>
        <vertAlign val="superscript"/>
        <sz val="9"/>
        <color theme="1"/>
        <rFont val="Century Gothic"/>
        <family val="2"/>
      </rPr>
      <t>14/</t>
    </r>
  </si>
  <si>
    <r>
      <t xml:space="preserve">Misamis Oriental </t>
    </r>
    <r>
      <rPr>
        <vertAlign val="superscript"/>
        <sz val="9"/>
        <color theme="1"/>
        <rFont val="Century Gothic"/>
        <family val="2"/>
      </rPr>
      <t>15/</t>
    </r>
  </si>
  <si>
    <t>Camiguin</t>
  </si>
  <si>
    <r>
      <t xml:space="preserve">City of Cagayan de Oro </t>
    </r>
    <r>
      <rPr>
        <vertAlign val="superscript"/>
        <sz val="9"/>
        <color theme="1"/>
        <rFont val="Century Gothic"/>
        <family val="2"/>
      </rPr>
      <t>16/</t>
    </r>
  </si>
  <si>
    <t>Lanao del Norte</t>
  </si>
  <si>
    <t>City of Iligan</t>
  </si>
  <si>
    <t>Davao de Oro</t>
  </si>
  <si>
    <t>Davao del Norte</t>
  </si>
  <si>
    <t>Davao del Sur</t>
  </si>
  <si>
    <t>Davao Occidental</t>
  </si>
  <si>
    <r>
      <t xml:space="preserve">LTD Davao </t>
    </r>
    <r>
      <rPr>
        <vertAlign val="superscript"/>
        <sz val="9"/>
        <color theme="1"/>
        <rFont val="Century Gothic"/>
        <family val="2"/>
      </rPr>
      <t>17/</t>
    </r>
  </si>
  <si>
    <t>City of General Santos</t>
  </si>
  <si>
    <t>Sarangani</t>
  </si>
  <si>
    <t>Agusan del Norte</t>
  </si>
  <si>
    <t>City of Butuan</t>
  </si>
  <si>
    <t>Dinagat Islands</t>
  </si>
  <si>
    <t>Surigao del Norte</t>
  </si>
  <si>
    <t>Basilan</t>
  </si>
  <si>
    <r>
      <t xml:space="preserve">City of Isabela </t>
    </r>
    <r>
      <rPr>
        <vertAlign val="superscript"/>
        <sz val="9"/>
        <color theme="1"/>
        <rFont val="Century Gothic"/>
        <family val="2"/>
      </rPr>
      <t>18/</t>
    </r>
  </si>
  <si>
    <t>Maguindanao del Norte</t>
  </si>
  <si>
    <t>Maguindanao del Sur</t>
  </si>
  <si>
    <r>
      <t xml:space="preserve">Special Geographic Area </t>
    </r>
    <r>
      <rPr>
        <vertAlign val="superscript"/>
        <sz val="9"/>
        <color theme="1"/>
        <rFont val="Century Gothic"/>
        <family val="2"/>
      </rPr>
      <t>19/</t>
    </r>
  </si>
  <si>
    <t>For the Period: January to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</si>
</sst>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1"/>
      <color theme="1"/>
      <name val="Arial"/>
      <family val="2"/>
    </font>
    <font>
      <sz val="11"/>
      <color theme="1"/>
      <name val="Century Gothic"/>
      <family val="2"/>
    </font>
    <font>
      <sz val="11"/>
      <color theme="1"/>
      <name val="Arial"/>
      <family val="2"/>
    </font>
    <font>
      <b/>
      <sz val="9"/>
      <color theme="1"/>
      <name val="Century Gothic"/>
      <family val="2"/>
    </font>
    <font>
      <sz val="9"/>
      <color theme="1"/>
      <name val="Century Gothic"/>
      <family val="2"/>
    </font>
    <font>
      <b/>
      <sz val="9"/>
      <color theme="0"/>
      <name val="Century Gothic"/>
      <family val="2"/>
    </font>
    <font>
      <b/>
      <sz val="9"/>
      <color rgb="FFFF0000"/>
      <name val="Century Gothic"/>
      <family val="2"/>
    </font>
    <font>
      <vertAlign val="superscript"/>
      <sz val="9"/>
      <color theme="1"/>
      <name val="Century Gothic"/>
      <family val="2"/>
    </font>
    <font>
      <b/>
      <sz val="8"/>
      <name val="Century Gothic"/>
      <family val="2"/>
    </font>
    <font>
      <sz val="8"/>
      <name val="Century Gothic"/>
      <family val="2"/>
    </font>
    <font>
      <b/>
      <sz val="8"/>
      <color rgb="FFFF0000"/>
      <name val="Century Gothic"/>
      <family val="2"/>
    </font>
    <font>
      <sz val="8"/>
      <color theme="1"/>
      <name val="Century Gothic"/>
      <family val="2"/>
    </font>
    <font>
      <vertAlign val="superscript"/>
      <sz val="8"/>
      <color theme="1"/>
      <name val="Century Gothic"/>
      <family val="2"/>
    </font>
    <font>
      <sz val="9"/>
      <color theme="0"/>
      <name val="Century Gothic"/>
      <family val="2"/>
    </font>
    <font>
      <b/>
      <sz val="9"/>
      <name val="Century Gothic"/>
      <family val="2"/>
    </font>
  </fonts>
  <fills count="3">
    <fill>
      <patternFill patternType="none"/>
    </fill>
    <fill>
      <patternFill patternType="gray125"/>
    </fill>
    <fill>
      <patternFill patternType="solid">
        <fgColor rgb="FF7030A0"/>
        <bgColor indexed="64"/>
      </patternFill>
    </fill>
  </fills>
  <borders count="7">
    <border>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thick">
        <color auto="1"/>
      </bottom>
      <diagonal/>
    </border>
    <border>
      <left style="medium">
        <color auto="1"/>
      </left>
      <right style="medium">
        <color auto="1"/>
      </right>
      <top style="medium">
        <color auto="1"/>
      </top>
      <bottom style="medium">
        <color auto="1"/>
      </bottom>
      <diagonal/>
    </border>
    <border>
      <left/>
      <right/>
      <top/>
      <bottom style="medium">
        <color auto="1"/>
      </bottom>
      <diagonal/>
    </border>
  </borders>
  <cellStyleXfs count="6">
    <xf numFmtId="0" fontId="0" fillId="0" borderId="0"/>
    <xf numFmtId="43" fontId="2"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43" fontId="2" fillId="0" borderId="0" applyFont="0" applyFill="0" applyBorder="0" applyAlignment="0" applyProtection="0"/>
  </cellStyleXfs>
  <cellXfs count="58">
    <xf numFmtId="0" fontId="0" fillId="0" borderId="0" xfId="0"/>
    <xf numFmtId="0" fontId="3" fillId="0" borderId="0" xfId="0" applyFont="1"/>
    <xf numFmtId="0" fontId="3" fillId="0" borderId="0" xfId="0" applyFont="1" applyAlignment="1">
      <alignment horizontal="center"/>
    </xf>
    <xf numFmtId="0" fontId="4" fillId="0" borderId="0" xfId="0" applyFont="1"/>
    <xf numFmtId="0" fontId="5" fillId="2" borderId="1" xfId="0" applyFont="1" applyFill="1" applyBorder="1" applyAlignment="1">
      <alignment horizontal="center"/>
    </xf>
    <xf numFmtId="43" fontId="5" fillId="2" borderId="2" xfId="1" applyFont="1" applyFill="1" applyBorder="1" applyAlignment="1">
      <alignment horizontal="center"/>
    </xf>
    <xf numFmtId="43" fontId="5" fillId="2" borderId="3" xfId="1" applyFont="1" applyFill="1" applyBorder="1" applyAlignment="1">
      <alignment horizontal="center"/>
    </xf>
    <xf numFmtId="43" fontId="3" fillId="0" borderId="0" xfId="1" applyFont="1" applyAlignment="1">
      <alignment horizontal="center"/>
    </xf>
    <xf numFmtId="43" fontId="4" fillId="0" borderId="0" xfId="1" applyFont="1" applyAlignment="1"/>
    <xf numFmtId="43" fontId="4" fillId="0" borderId="0" xfId="1" applyFont="1"/>
    <xf numFmtId="0" fontId="6" fillId="0" borderId="0" xfId="0" applyFont="1"/>
    <xf numFmtId="43" fontId="6" fillId="0" borderId="0" xfId="1" applyFont="1" applyAlignment="1"/>
    <xf numFmtId="0" fontId="4" fillId="0" borderId="0" xfId="0" applyFont="1" applyAlignment="1">
      <alignment horizontal="left" indent="1"/>
    </xf>
    <xf numFmtId="0" fontId="6" fillId="0" borderId="0" xfId="0" applyFont="1" applyAlignment="1">
      <alignment horizontal="left"/>
    </xf>
    <xf numFmtId="0" fontId="6" fillId="0" borderId="0" xfId="0" applyFont="1" applyAlignment="1">
      <alignment horizontal="left" wrapText="1"/>
    </xf>
    <xf numFmtId="43" fontId="6" fillId="0" borderId="0" xfId="1" applyFont="1"/>
    <xf numFmtId="0" fontId="6" fillId="0" borderId="4" xfId="0" applyFont="1" applyBorder="1"/>
    <xf numFmtId="43" fontId="6" fillId="0" borderId="4" xfId="1" applyFont="1" applyBorder="1"/>
    <xf numFmtId="0" fontId="8" fillId="0" borderId="0" xfId="0" applyFont="1"/>
    <xf numFmtId="43" fontId="6" fillId="0" borderId="0" xfId="1" applyFont="1" applyBorder="1"/>
    <xf numFmtId="0" fontId="9" fillId="0" borderId="0" xfId="0" applyFont="1" applyAlignment="1">
      <alignment wrapText="1"/>
    </xf>
    <xf numFmtId="43" fontId="10" fillId="0" borderId="0" xfId="1" applyFont="1"/>
    <xf numFmtId="0" fontId="10" fillId="0" borderId="0" xfId="0" applyFont="1"/>
    <xf numFmtId="0" fontId="11" fillId="0" borderId="0" xfId="0" applyFont="1" applyAlignment="1">
      <alignment wrapText="1"/>
    </xf>
    <xf numFmtId="0" fontId="11" fillId="0" borderId="0" xfId="0" applyFont="1"/>
    <xf numFmtId="0" fontId="11" fillId="0" borderId="0" xfId="0" applyFont="1" applyAlignment="1">
      <alignment horizontal="left" indent="1"/>
    </xf>
    <xf numFmtId="0" fontId="3" fillId="0" borderId="0" xfId="2" applyFont="1"/>
    <xf numFmtId="43" fontId="3" fillId="0" borderId="0" xfId="3" applyFont="1"/>
    <xf numFmtId="43" fontId="13" fillId="0" borderId="0" xfId="3" applyFont="1"/>
    <xf numFmtId="43" fontId="3" fillId="0" borderId="0" xfId="3" applyFont="1" applyAlignment="1">
      <alignment horizontal="center"/>
    </xf>
    <xf numFmtId="43" fontId="4" fillId="0" borderId="0" xfId="3" applyFont="1"/>
    <xf numFmtId="0" fontId="4" fillId="0" borderId="0" xfId="2" applyFont="1"/>
    <xf numFmtId="0" fontId="3" fillId="0" borderId="0" xfId="4" applyFont="1" applyAlignment="1">
      <alignment horizontal="center"/>
    </xf>
    <xf numFmtId="0" fontId="4" fillId="0" borderId="0" xfId="4" applyFont="1"/>
    <xf numFmtId="0" fontId="5" fillId="2" borderId="5" xfId="4" applyFont="1" applyFill="1" applyBorder="1" applyAlignment="1">
      <alignment horizontal="center"/>
    </xf>
    <xf numFmtId="43" fontId="5" fillId="2" borderId="5" xfId="3" applyFont="1" applyFill="1" applyBorder="1" applyAlignment="1">
      <alignment horizontal="center"/>
    </xf>
    <xf numFmtId="43" fontId="13" fillId="0" borderId="0" xfId="3" applyFont="1" applyAlignment="1">
      <alignment horizontal="center"/>
    </xf>
    <xf numFmtId="0" fontId="3" fillId="0" borderId="0" xfId="4" applyFont="1"/>
    <xf numFmtId="0" fontId="4" fillId="0" borderId="0" xfId="2" applyFont="1" applyAlignment="1">
      <alignment horizontal="left"/>
    </xf>
    <xf numFmtId="0" fontId="3" fillId="0" borderId="0" xfId="4" applyFont="1" applyAlignment="1">
      <alignment wrapText="1"/>
    </xf>
    <xf numFmtId="43" fontId="3" fillId="0" borderId="0" xfId="3" applyFont="1" applyAlignment="1">
      <alignment vertical="top"/>
    </xf>
    <xf numFmtId="43" fontId="4" fillId="0" borderId="0" xfId="3" applyFont="1" applyAlignment="1">
      <alignment horizontal="center"/>
    </xf>
    <xf numFmtId="43" fontId="3" fillId="0" borderId="0" xfId="3" applyFont="1" applyBorder="1"/>
    <xf numFmtId="0" fontId="3" fillId="0" borderId="6" xfId="4" applyFont="1" applyBorder="1"/>
    <xf numFmtId="43" fontId="3" fillId="0" borderId="6" xfId="3" applyFont="1" applyBorder="1"/>
    <xf numFmtId="0" fontId="14" fillId="0" borderId="0" xfId="2" applyFont="1" applyAlignment="1">
      <alignment vertical="top"/>
    </xf>
    <xf numFmtId="0" fontId="9" fillId="0" borderId="0" xfId="2" applyFont="1"/>
    <xf numFmtId="43" fontId="10" fillId="0" borderId="0" xfId="5" applyFont="1"/>
    <xf numFmtId="43" fontId="6" fillId="0" borderId="0" xfId="5" applyFont="1"/>
    <xf numFmtId="43" fontId="13" fillId="0" borderId="0" xfId="5" applyFont="1"/>
    <xf numFmtId="0" fontId="6" fillId="0" borderId="0" xfId="2" applyFont="1"/>
    <xf numFmtId="0" fontId="10" fillId="0" borderId="0" xfId="2" applyFont="1"/>
    <xf numFmtId="0" fontId="13" fillId="0" borderId="0" xfId="2" applyFont="1"/>
    <xf numFmtId="0" fontId="8" fillId="0" borderId="0" xfId="2" applyFont="1"/>
    <xf numFmtId="0" fontId="11" fillId="0" borderId="0" xfId="4" applyFont="1"/>
    <xf numFmtId="0" fontId="11" fillId="0" borderId="0" xfId="0" applyFont="1" applyAlignment="1">
      <alignment horizontal="left" wrapText="1" indent="1"/>
    </xf>
    <xf numFmtId="43" fontId="4" fillId="0" borderId="0" xfId="3" applyFont="1" applyAlignment="1">
      <alignment horizontal="center" vertical="center"/>
    </xf>
    <xf numFmtId="0" fontId="1" fillId="0" borderId="0" xfId="4" applyAlignment="1">
      <alignment horizontal="center" vertical="center"/>
    </xf>
  </cellXfs>
  <cellStyles count="6">
    <cellStyle name="Comma" xfId="1" builtinId="3"/>
    <cellStyle name="Comma 2" xfId="3" xr:uid="{7532A45E-EABC-40B9-95A5-781F2F3E4863}"/>
    <cellStyle name="Comma 2 2" xfId="5" xr:uid="{17DA6B7D-61FF-4178-A9FD-FA04A3EDBC71}"/>
    <cellStyle name="Normal" xfId="0" builtinId="0"/>
    <cellStyle name="Normal 2" xfId="2" xr:uid="{F2BCD0CC-94D1-498F-A7B8-5A7C34D829AF}"/>
    <cellStyle name="Normal 3" xfId="4" xr:uid="{9F2C3C9E-9B8C-4F5B-A98E-662067C562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175</xdr:row>
      <xdr:rowOff>76200</xdr:rowOff>
    </xdr:from>
    <xdr:to>
      <xdr:col>14</xdr:col>
      <xdr:colOff>800100</xdr:colOff>
      <xdr:row>208</xdr:row>
      <xdr:rowOff>0</xdr:rowOff>
    </xdr:to>
    <xdr:pic>
      <xdr:nvPicPr>
        <xdr:cNvPr id="2" name="Picture 1">
          <a:extLst>
            <a:ext uri="{FF2B5EF4-FFF2-40B4-BE49-F238E27FC236}">
              <a16:creationId xmlns:a16="http://schemas.microsoft.com/office/drawing/2014/main" id="{1EE3B540-E751-4E19-85A8-04377BAE5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2318325"/>
          <a:ext cx="15297150" cy="591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370FA-480F-4297-9220-69D9928E7EB9}">
  <dimension ref="A1:AJ184"/>
  <sheetViews>
    <sheetView workbookViewId="0">
      <selection activeCell="J18" sqref="J18"/>
    </sheetView>
  </sheetViews>
  <sheetFormatPr defaultRowHeight="14.25" x14ac:dyDescent="0.3"/>
  <cols>
    <col min="1" max="1" width="50.625" style="3" customWidth="1"/>
    <col min="2" max="20" width="11.625" style="3" customWidth="1"/>
    <col min="21" max="16384" width="9" style="3"/>
  </cols>
  <sheetData>
    <row r="1" spans="1:22" x14ac:dyDescent="0.3">
      <c r="A1" s="1" t="s">
        <v>0</v>
      </c>
      <c r="B1" s="1"/>
      <c r="C1" s="1"/>
      <c r="D1" s="1"/>
      <c r="E1" s="1"/>
      <c r="F1" s="1"/>
      <c r="G1" s="1"/>
      <c r="H1" s="1"/>
      <c r="I1" s="1"/>
      <c r="J1" s="1"/>
      <c r="K1" s="1"/>
      <c r="L1" s="1"/>
      <c r="M1" s="1"/>
      <c r="N1" s="1"/>
      <c r="O1" s="1"/>
      <c r="P1" s="1"/>
      <c r="Q1" s="1"/>
      <c r="R1" s="2"/>
      <c r="S1" s="2"/>
    </row>
    <row r="2" spans="1:22" x14ac:dyDescent="0.3">
      <c r="A2" s="1" t="s">
        <v>166</v>
      </c>
      <c r="B2" s="1"/>
      <c r="C2" s="1"/>
      <c r="D2" s="1"/>
      <c r="E2" s="1"/>
      <c r="F2" s="1"/>
      <c r="G2" s="1"/>
      <c r="H2" s="1"/>
      <c r="I2" s="1"/>
      <c r="J2" s="1"/>
      <c r="K2" s="1"/>
      <c r="L2" s="1"/>
      <c r="M2" s="1"/>
      <c r="N2" s="1"/>
      <c r="O2" s="1"/>
      <c r="P2" s="1"/>
      <c r="Q2" s="1"/>
      <c r="R2" s="2"/>
      <c r="S2" s="2"/>
    </row>
    <row r="3" spans="1:22" x14ac:dyDescent="0.3">
      <c r="A3" s="1" t="s">
        <v>1</v>
      </c>
      <c r="B3" s="1"/>
      <c r="C3" s="1"/>
      <c r="D3" s="1"/>
      <c r="E3" s="1"/>
      <c r="F3" s="1"/>
      <c r="G3" s="1"/>
      <c r="H3" s="1"/>
      <c r="I3" s="1"/>
      <c r="J3" s="1"/>
      <c r="K3" s="1"/>
      <c r="L3" s="1"/>
      <c r="M3" s="1"/>
      <c r="N3" s="1"/>
      <c r="O3" s="1"/>
      <c r="P3" s="1"/>
      <c r="Q3" s="1"/>
      <c r="R3" s="2"/>
      <c r="S3" s="2"/>
    </row>
    <row r="4" spans="1:22" ht="15" thickBot="1" x14ac:dyDescent="0.35"/>
    <row r="5" spans="1:22" s="7" customFormat="1" ht="15" thickTop="1" thickBot="1" x14ac:dyDescent="0.3">
      <c r="A5" s="4" t="s">
        <v>2</v>
      </c>
      <c r="B5" s="5" t="s">
        <v>3</v>
      </c>
      <c r="C5" s="5" t="s">
        <v>4</v>
      </c>
      <c r="D5" s="5" t="s">
        <v>5</v>
      </c>
      <c r="E5" s="5" t="s">
        <v>6</v>
      </c>
      <c r="F5" s="5" t="s">
        <v>7</v>
      </c>
      <c r="G5" s="5" t="s">
        <v>8</v>
      </c>
      <c r="H5" s="5" t="s">
        <v>9</v>
      </c>
      <c r="I5" s="5" t="s">
        <v>10</v>
      </c>
      <c r="J5" s="5" t="s">
        <v>11</v>
      </c>
      <c r="K5" s="5" t="s">
        <v>12</v>
      </c>
      <c r="L5" s="5" t="s">
        <v>13</v>
      </c>
      <c r="M5" s="5" t="s">
        <v>14</v>
      </c>
      <c r="N5" s="5" t="s">
        <v>15</v>
      </c>
      <c r="O5" s="5" t="s">
        <v>16</v>
      </c>
      <c r="P5" s="5" t="s">
        <v>17</v>
      </c>
      <c r="Q5" s="6" t="s">
        <v>18</v>
      </c>
      <c r="R5" s="5" t="s">
        <v>19</v>
      </c>
      <c r="S5" s="5" t="s">
        <v>20</v>
      </c>
      <c r="T5" s="5" t="s">
        <v>21</v>
      </c>
    </row>
    <row r="6" spans="1:22" s="9" customFormat="1" ht="15" thickTop="1" x14ac:dyDescent="0.3">
      <c r="A6" s="3"/>
      <c r="B6" s="8"/>
      <c r="C6" s="8"/>
      <c r="D6" s="8"/>
      <c r="E6" s="8"/>
      <c r="F6" s="8"/>
      <c r="G6" s="8"/>
      <c r="H6" s="8"/>
      <c r="I6" s="8"/>
      <c r="J6" s="8"/>
      <c r="K6" s="8"/>
      <c r="L6" s="8"/>
      <c r="M6" s="8"/>
      <c r="N6" s="8"/>
      <c r="O6" s="8"/>
      <c r="P6" s="8"/>
      <c r="Q6" s="8"/>
      <c r="R6" s="8"/>
      <c r="S6" s="8"/>
      <c r="T6" s="8"/>
      <c r="U6" s="8"/>
      <c r="V6" s="8"/>
    </row>
    <row r="7" spans="1:22" s="10" customFormat="1" ht="15" customHeight="1" x14ac:dyDescent="0.25">
      <c r="A7" s="10" t="s">
        <v>22</v>
      </c>
      <c r="B7" s="11">
        <f>SUM(B8:B23)</f>
        <v>104164.51880959996</v>
      </c>
      <c r="C7" s="11">
        <f t="shared" ref="C7:Q7" si="0">SUM(C8:C23)</f>
        <v>75604.867284879991</v>
      </c>
      <c r="D7" s="11">
        <f t="shared" si="0"/>
        <v>82431.46982513</v>
      </c>
      <c r="E7" s="11">
        <f>SUM(B7:D7)</f>
        <v>262200.85591960995</v>
      </c>
      <c r="F7" s="11">
        <f t="shared" si="0"/>
        <v>144000.62738021999</v>
      </c>
      <c r="G7" s="11">
        <f t="shared" si="0"/>
        <v>125076.54173959003</v>
      </c>
      <c r="H7" s="11">
        <f t="shared" si="0"/>
        <v>102499.34723684001</v>
      </c>
      <c r="I7" s="11">
        <f>SUM(F7:H7)</f>
        <v>371576.51635664998</v>
      </c>
      <c r="J7" s="11">
        <f>+E7+I7</f>
        <v>633777.37227625994</v>
      </c>
      <c r="K7" s="11">
        <f t="shared" si="0"/>
        <v>93912.571323150012</v>
      </c>
      <c r="L7" s="11">
        <f t="shared" si="0"/>
        <v>128941.13409069699</v>
      </c>
      <c r="M7" s="11">
        <f t="shared" si="0"/>
        <v>89701.650745430001</v>
      </c>
      <c r="N7" s="11">
        <f>SUM(K7:M7)</f>
        <v>312555.35615927703</v>
      </c>
      <c r="O7" s="11">
        <f t="shared" si="0"/>
        <v>98640.137414379991</v>
      </c>
      <c r="P7" s="11">
        <f t="shared" si="0"/>
        <v>128521.22057246001</v>
      </c>
      <c r="Q7" s="11">
        <f t="shared" si="0"/>
        <v>96862.880173456128</v>
      </c>
      <c r="R7" s="11">
        <f>SUM(O7:Q7)</f>
        <v>324024.23816029611</v>
      </c>
      <c r="S7" s="11">
        <f>+N7+R7</f>
        <v>636579.59431957314</v>
      </c>
      <c r="T7" s="11">
        <f>+J7+S7</f>
        <v>1270356.9665958332</v>
      </c>
      <c r="U7" s="11"/>
      <c r="V7" s="11"/>
    </row>
    <row r="8" spans="1:22" ht="15" customHeight="1" x14ac:dyDescent="0.3">
      <c r="A8" s="12" t="s">
        <v>23</v>
      </c>
      <c r="B8" s="8">
        <v>403.40237903999997</v>
      </c>
      <c r="C8" s="8">
        <v>362.18729391999977</v>
      </c>
      <c r="D8" s="8">
        <v>404.88796387000019</v>
      </c>
      <c r="E8" s="8">
        <f t="shared" ref="E8:E23" si="1">SUM(B8:D8)</f>
        <v>1170.4776368299999</v>
      </c>
      <c r="F8" s="8">
        <v>732.02326406999919</v>
      </c>
      <c r="G8" s="8">
        <v>486.0927189399996</v>
      </c>
      <c r="H8" s="8">
        <v>395.89424245000004</v>
      </c>
      <c r="I8" s="8">
        <f t="shared" ref="I8:I23" si="2">SUM(F8:H8)</f>
        <v>1614.0102254599988</v>
      </c>
      <c r="J8" s="8">
        <f t="shared" ref="J8:J71" si="3">+E8+I8</f>
        <v>2784.4878622899987</v>
      </c>
      <c r="K8" s="8">
        <v>485.98255221000028</v>
      </c>
      <c r="L8" s="8">
        <v>568.36120002999985</v>
      </c>
      <c r="M8" s="8">
        <v>385.07408040999991</v>
      </c>
      <c r="N8" s="8">
        <f t="shared" ref="N8:N23" si="4">SUM(K8:M8)</f>
        <v>1439.41783265</v>
      </c>
      <c r="O8" s="8">
        <v>359.32842686999999</v>
      </c>
      <c r="P8" s="8">
        <v>564.96349558999998</v>
      </c>
      <c r="Q8" s="8">
        <v>463.81808040483054</v>
      </c>
      <c r="R8" s="8">
        <f t="shared" ref="R8:R23" si="5">SUM(O8:Q8)</f>
        <v>1388.1100028648307</v>
      </c>
      <c r="S8" s="8">
        <f t="shared" ref="S8:S71" si="6">+N8+R8</f>
        <v>2827.5278355148307</v>
      </c>
      <c r="T8" s="8">
        <f t="shared" ref="T8:T23" si="7">+J8+S8</f>
        <v>5612.015697804829</v>
      </c>
      <c r="U8" s="8"/>
      <c r="V8" s="8"/>
    </row>
    <row r="9" spans="1:22" ht="15" customHeight="1" x14ac:dyDescent="0.3">
      <c r="A9" s="12" t="s">
        <v>24</v>
      </c>
      <c r="B9" s="8">
        <v>304.18673628999983</v>
      </c>
      <c r="C9" s="8">
        <v>706.37444638999864</v>
      </c>
      <c r="D9" s="8">
        <v>286.43828737999962</v>
      </c>
      <c r="E9" s="8">
        <f t="shared" si="1"/>
        <v>1296.999470059998</v>
      </c>
      <c r="F9" s="8">
        <v>576.91430845999912</v>
      </c>
      <c r="G9" s="8">
        <v>389.87089762999989</v>
      </c>
      <c r="H9" s="8">
        <v>447.69599556000009</v>
      </c>
      <c r="I9" s="8">
        <f t="shared" si="2"/>
        <v>1414.4812016499991</v>
      </c>
      <c r="J9" s="8">
        <f t="shared" si="3"/>
        <v>2711.4806717099973</v>
      </c>
      <c r="K9" s="8">
        <v>366.33563119000036</v>
      </c>
      <c r="L9" s="8">
        <v>468.37315193999996</v>
      </c>
      <c r="M9" s="8">
        <v>305.33599627999996</v>
      </c>
      <c r="N9" s="8">
        <f t="shared" si="4"/>
        <v>1140.0447794100003</v>
      </c>
      <c r="O9" s="8">
        <v>303.28044848000008</v>
      </c>
      <c r="P9" s="8">
        <v>496.15308252999995</v>
      </c>
      <c r="Q9" s="8">
        <v>344.85398952061627</v>
      </c>
      <c r="R9" s="8">
        <f t="shared" si="5"/>
        <v>1144.2875205306163</v>
      </c>
      <c r="S9" s="8">
        <f t="shared" si="6"/>
        <v>2284.3322999406164</v>
      </c>
      <c r="T9" s="8">
        <f t="shared" si="7"/>
        <v>4995.8129716506137</v>
      </c>
      <c r="U9" s="8"/>
      <c r="V9" s="8"/>
    </row>
    <row r="10" spans="1:22" ht="15" customHeight="1" x14ac:dyDescent="0.3">
      <c r="A10" s="12" t="s">
        <v>25</v>
      </c>
      <c r="B10" s="8">
        <v>7273.2280544999976</v>
      </c>
      <c r="C10" s="8">
        <v>5838.9468292800011</v>
      </c>
      <c r="D10" s="8">
        <v>6446.4882320600027</v>
      </c>
      <c r="E10" s="8">
        <f t="shared" si="1"/>
        <v>19558.663115840001</v>
      </c>
      <c r="F10" s="8">
        <v>11612.948411519996</v>
      </c>
      <c r="G10" s="8">
        <v>7676.8983977599983</v>
      </c>
      <c r="H10" s="8">
        <v>6580.7522503199998</v>
      </c>
      <c r="I10" s="8">
        <f t="shared" si="2"/>
        <v>25870.599059599997</v>
      </c>
      <c r="J10" s="8">
        <f t="shared" si="3"/>
        <v>45429.262175440002</v>
      </c>
      <c r="K10" s="8">
        <v>7016.3654483000028</v>
      </c>
      <c r="L10" s="8">
        <v>8170.4782615399927</v>
      </c>
      <c r="M10" s="8">
        <v>5994.466748159999</v>
      </c>
      <c r="N10" s="8">
        <f t="shared" si="4"/>
        <v>21181.310457999993</v>
      </c>
      <c r="O10" s="8">
        <v>6815.4270727900002</v>
      </c>
      <c r="P10" s="8">
        <v>8957.8695977899988</v>
      </c>
      <c r="Q10" s="8">
        <v>6691.4414690339745</v>
      </c>
      <c r="R10" s="8">
        <f t="shared" si="5"/>
        <v>22464.738139613975</v>
      </c>
      <c r="S10" s="8">
        <f t="shared" si="6"/>
        <v>43646.048597613968</v>
      </c>
      <c r="T10" s="8">
        <f t="shared" si="7"/>
        <v>89075.310773053963</v>
      </c>
      <c r="U10" s="8"/>
      <c r="V10" s="8"/>
    </row>
    <row r="11" spans="1:22" ht="15" customHeight="1" x14ac:dyDescent="0.3">
      <c r="A11" s="12" t="s">
        <v>26</v>
      </c>
      <c r="B11" s="8">
        <v>249.0181131199999</v>
      </c>
      <c r="C11" s="8">
        <v>194.81739872000006</v>
      </c>
      <c r="D11" s="8">
        <v>242.47429468999997</v>
      </c>
      <c r="E11" s="8">
        <f t="shared" si="1"/>
        <v>686.30980652999995</v>
      </c>
      <c r="F11" s="8">
        <v>376.93287379000026</v>
      </c>
      <c r="G11" s="8">
        <v>295.97222940000012</v>
      </c>
      <c r="H11" s="8">
        <v>231.2444291999999</v>
      </c>
      <c r="I11" s="8">
        <f t="shared" si="2"/>
        <v>904.14953239000022</v>
      </c>
      <c r="J11" s="8">
        <f t="shared" si="3"/>
        <v>1590.4593389200002</v>
      </c>
      <c r="K11" s="8">
        <v>244.55426682000009</v>
      </c>
      <c r="L11" s="8">
        <v>338.81225658999989</v>
      </c>
      <c r="M11" s="8">
        <v>238.43733343000002</v>
      </c>
      <c r="N11" s="8">
        <f t="shared" si="4"/>
        <v>821.80385683999998</v>
      </c>
      <c r="O11" s="8">
        <v>232.53921131000021</v>
      </c>
      <c r="P11" s="8">
        <v>327.35808010999989</v>
      </c>
      <c r="Q11" s="8">
        <v>268.86447275931448</v>
      </c>
      <c r="R11" s="8">
        <f t="shared" si="5"/>
        <v>828.76176417931458</v>
      </c>
      <c r="S11" s="8">
        <f t="shared" si="6"/>
        <v>1650.5656210193147</v>
      </c>
      <c r="T11" s="8">
        <f t="shared" si="7"/>
        <v>3241.0249599393146</v>
      </c>
      <c r="U11" s="8"/>
      <c r="V11" s="8"/>
    </row>
    <row r="12" spans="1:22" ht="15" customHeight="1" x14ac:dyDescent="0.3">
      <c r="A12" s="12" t="s">
        <v>27</v>
      </c>
      <c r="B12" s="8">
        <v>1606.4196079899998</v>
      </c>
      <c r="C12" s="8">
        <v>1123.0707068300019</v>
      </c>
      <c r="D12" s="8">
        <v>1100.8752009900006</v>
      </c>
      <c r="E12" s="8">
        <f t="shared" si="1"/>
        <v>3830.3655158100028</v>
      </c>
      <c r="F12" s="8">
        <v>2098.8582651000002</v>
      </c>
      <c r="G12" s="8">
        <v>1245.1846656200009</v>
      </c>
      <c r="H12" s="8">
        <v>1331.8407786400012</v>
      </c>
      <c r="I12" s="8">
        <f t="shared" si="2"/>
        <v>4675.8837093600023</v>
      </c>
      <c r="J12" s="8">
        <f t="shared" si="3"/>
        <v>8506.249225170006</v>
      </c>
      <c r="K12" s="8">
        <v>1511.5430875999991</v>
      </c>
      <c r="L12" s="8">
        <v>1489.7421449299995</v>
      </c>
      <c r="M12" s="8">
        <v>1100.2583737499995</v>
      </c>
      <c r="N12" s="8">
        <f t="shared" si="4"/>
        <v>4101.5436062799981</v>
      </c>
      <c r="O12" s="8">
        <v>1245.1775707899988</v>
      </c>
      <c r="P12" s="8">
        <v>1551.8712175900002</v>
      </c>
      <c r="Q12" s="8">
        <v>1199.6726607579751</v>
      </c>
      <c r="R12" s="8">
        <f t="shared" si="5"/>
        <v>3996.7214491379737</v>
      </c>
      <c r="S12" s="8">
        <f t="shared" si="6"/>
        <v>8098.2650554179718</v>
      </c>
      <c r="T12" s="8">
        <f t="shared" si="7"/>
        <v>16604.514280587977</v>
      </c>
      <c r="U12" s="8"/>
      <c r="V12" s="8"/>
    </row>
    <row r="13" spans="1:22" ht="15" customHeight="1" x14ac:dyDescent="0.3">
      <c r="A13" s="12" t="s">
        <v>28</v>
      </c>
      <c r="B13" s="8">
        <v>3338.2520444299989</v>
      </c>
      <c r="C13" s="8">
        <v>2569.0043507099999</v>
      </c>
      <c r="D13" s="8">
        <v>3001.1493076900001</v>
      </c>
      <c r="E13" s="8">
        <f t="shared" si="1"/>
        <v>8908.4057028299994</v>
      </c>
      <c r="F13" s="8">
        <v>4576.1486141300002</v>
      </c>
      <c r="G13" s="8">
        <v>3615.5797826500002</v>
      </c>
      <c r="H13" s="8">
        <v>3668.6869100300014</v>
      </c>
      <c r="I13" s="8">
        <f t="shared" si="2"/>
        <v>11860.415306810002</v>
      </c>
      <c r="J13" s="8">
        <f t="shared" si="3"/>
        <v>20768.82100964</v>
      </c>
      <c r="K13" s="8">
        <v>3330.13901111</v>
      </c>
      <c r="L13" s="8">
        <v>3782.779575609999</v>
      </c>
      <c r="M13" s="8">
        <v>2911.9272248199991</v>
      </c>
      <c r="N13" s="8">
        <f t="shared" si="4"/>
        <v>10024.845811539999</v>
      </c>
      <c r="O13" s="8">
        <v>3151.2694742600006</v>
      </c>
      <c r="P13" s="8">
        <v>4000.18225398</v>
      </c>
      <c r="Q13" s="8">
        <v>3651.4481792104107</v>
      </c>
      <c r="R13" s="8">
        <f t="shared" si="5"/>
        <v>10802.899907450412</v>
      </c>
      <c r="S13" s="8">
        <f t="shared" si="6"/>
        <v>20827.745718990409</v>
      </c>
      <c r="T13" s="8">
        <f t="shared" si="7"/>
        <v>41596.566728630409</v>
      </c>
      <c r="U13" s="8"/>
      <c r="V13" s="8"/>
    </row>
    <row r="14" spans="1:22" ht="18" customHeight="1" x14ac:dyDescent="0.3">
      <c r="A14" s="12" t="s">
        <v>29</v>
      </c>
      <c r="B14" s="8">
        <v>451.63215919999999</v>
      </c>
      <c r="C14" s="8">
        <v>375.18794521000018</v>
      </c>
      <c r="D14" s="8">
        <v>423.43496657000043</v>
      </c>
      <c r="E14" s="8">
        <f t="shared" si="1"/>
        <v>1250.2550709800005</v>
      </c>
      <c r="F14" s="8">
        <v>648.44216784000025</v>
      </c>
      <c r="G14" s="8">
        <v>436.18112456000023</v>
      </c>
      <c r="H14" s="8">
        <v>468.52868129000052</v>
      </c>
      <c r="I14" s="8">
        <f t="shared" si="2"/>
        <v>1553.1519736900011</v>
      </c>
      <c r="J14" s="8">
        <f t="shared" si="3"/>
        <v>2803.4070446700016</v>
      </c>
      <c r="K14" s="8">
        <v>416.09680194000032</v>
      </c>
      <c r="L14" s="8">
        <v>553.29675448</v>
      </c>
      <c r="M14" s="8">
        <v>381.37757691999991</v>
      </c>
      <c r="N14" s="8">
        <f t="shared" si="4"/>
        <v>1350.7711333400002</v>
      </c>
      <c r="O14" s="8">
        <v>394.36043232000026</v>
      </c>
      <c r="P14" s="8">
        <v>494.49568418999979</v>
      </c>
      <c r="Q14" s="8">
        <v>472.04406254989266</v>
      </c>
      <c r="R14" s="8">
        <f t="shared" si="5"/>
        <v>1360.9001790598927</v>
      </c>
      <c r="S14" s="8">
        <f t="shared" si="6"/>
        <v>2711.6713123998929</v>
      </c>
      <c r="T14" s="8">
        <f t="shared" si="7"/>
        <v>5515.078357069895</v>
      </c>
      <c r="U14" s="8"/>
      <c r="V14" s="8"/>
    </row>
    <row r="15" spans="1:22" ht="15" customHeight="1" x14ac:dyDescent="0.3">
      <c r="A15" s="12" t="s">
        <v>30</v>
      </c>
      <c r="B15" s="8">
        <v>638.03605658999982</v>
      </c>
      <c r="C15" s="8">
        <v>688.5443049299995</v>
      </c>
      <c r="D15" s="8">
        <v>728.8650585900001</v>
      </c>
      <c r="E15" s="8">
        <f t="shared" si="1"/>
        <v>2055.4454201099993</v>
      </c>
      <c r="F15" s="8">
        <v>1336.3729050400007</v>
      </c>
      <c r="G15" s="8">
        <v>824.63794148000034</v>
      </c>
      <c r="H15" s="8">
        <v>705.40183703000002</v>
      </c>
      <c r="I15" s="8">
        <f t="shared" si="2"/>
        <v>2866.412683550001</v>
      </c>
      <c r="J15" s="8">
        <f t="shared" si="3"/>
        <v>4921.8581036600008</v>
      </c>
      <c r="K15" s="8">
        <v>718.81399827000075</v>
      </c>
      <c r="L15" s="8">
        <v>898.12744879700097</v>
      </c>
      <c r="M15" s="8">
        <v>748.20087088000059</v>
      </c>
      <c r="N15" s="8">
        <f t="shared" si="4"/>
        <v>2365.1423179470021</v>
      </c>
      <c r="O15" s="8">
        <v>820.52493544999948</v>
      </c>
      <c r="P15" s="8">
        <v>969.12041789999898</v>
      </c>
      <c r="Q15" s="8">
        <v>708.20504442452477</v>
      </c>
      <c r="R15" s="8">
        <f t="shared" si="5"/>
        <v>2497.8503977745231</v>
      </c>
      <c r="S15" s="8">
        <f t="shared" si="6"/>
        <v>4862.9927157215252</v>
      </c>
      <c r="T15" s="8">
        <f t="shared" si="7"/>
        <v>9784.8508193815251</v>
      </c>
      <c r="U15" s="8"/>
      <c r="V15" s="8"/>
    </row>
    <row r="16" spans="1:22" ht="15" customHeight="1" x14ac:dyDescent="0.3">
      <c r="A16" s="12" t="s">
        <v>31</v>
      </c>
      <c r="B16" s="8">
        <v>781.02062947999946</v>
      </c>
      <c r="C16" s="8">
        <v>732.37205998000002</v>
      </c>
      <c r="D16" s="8">
        <v>742.70231219999914</v>
      </c>
      <c r="E16" s="8">
        <f t="shared" si="1"/>
        <v>2256.0950016599986</v>
      </c>
      <c r="F16" s="8">
        <v>1294.89695342</v>
      </c>
      <c r="G16" s="8">
        <v>1001.2559971499991</v>
      </c>
      <c r="H16" s="8">
        <v>1259.9934661899997</v>
      </c>
      <c r="I16" s="8">
        <f t="shared" si="2"/>
        <v>3556.1464167599988</v>
      </c>
      <c r="J16" s="8">
        <f t="shared" si="3"/>
        <v>5812.241418419997</v>
      </c>
      <c r="K16" s="8">
        <v>971.29064436000078</v>
      </c>
      <c r="L16" s="8">
        <v>983.49340939999934</v>
      </c>
      <c r="M16" s="8">
        <v>669.77560963999986</v>
      </c>
      <c r="N16" s="8">
        <f t="shared" si="4"/>
        <v>2624.5596633999999</v>
      </c>
      <c r="O16" s="8">
        <v>809.92800611000052</v>
      </c>
      <c r="P16" s="8">
        <v>1043.4681546899994</v>
      </c>
      <c r="Q16" s="8">
        <v>881.22749093193909</v>
      </c>
      <c r="R16" s="8">
        <f t="shared" si="5"/>
        <v>2734.6236517319389</v>
      </c>
      <c r="S16" s="8">
        <f t="shared" si="6"/>
        <v>5359.1833151319388</v>
      </c>
      <c r="T16" s="8">
        <f t="shared" si="7"/>
        <v>11171.424733551936</v>
      </c>
      <c r="U16" s="8"/>
      <c r="V16" s="8"/>
    </row>
    <row r="17" spans="1:22" ht="15" customHeight="1" x14ac:dyDescent="0.3">
      <c r="A17" s="12" t="s">
        <v>32</v>
      </c>
      <c r="B17" s="8">
        <v>1163.3150491499996</v>
      </c>
      <c r="C17" s="8">
        <v>736.13637290999998</v>
      </c>
      <c r="D17" s="8">
        <v>782.92820790999963</v>
      </c>
      <c r="E17" s="8">
        <f t="shared" si="1"/>
        <v>2682.3796299699989</v>
      </c>
      <c r="F17" s="8">
        <v>1189.9747131700003</v>
      </c>
      <c r="G17" s="8">
        <v>991.95640465999941</v>
      </c>
      <c r="H17" s="8">
        <v>898.43808226999988</v>
      </c>
      <c r="I17" s="8">
        <f t="shared" si="2"/>
        <v>3080.3692000999995</v>
      </c>
      <c r="J17" s="8">
        <f t="shared" si="3"/>
        <v>5762.7488300699988</v>
      </c>
      <c r="K17" s="8">
        <v>978.79206158000056</v>
      </c>
      <c r="L17" s="8">
        <v>1109.3376033999989</v>
      </c>
      <c r="M17" s="8">
        <v>1172.835159030001</v>
      </c>
      <c r="N17" s="8">
        <f t="shared" si="4"/>
        <v>3260.9648240100005</v>
      </c>
      <c r="O17" s="8">
        <v>2069.8283032200006</v>
      </c>
      <c r="P17" s="8">
        <v>1175.8735076399987</v>
      </c>
      <c r="Q17" s="8">
        <v>1067.9885879481062</v>
      </c>
      <c r="R17" s="8">
        <f t="shared" si="5"/>
        <v>4313.6903988081058</v>
      </c>
      <c r="S17" s="8">
        <f t="shared" si="6"/>
        <v>7574.6552228181063</v>
      </c>
      <c r="T17" s="8">
        <f t="shared" si="7"/>
        <v>13337.404052888105</v>
      </c>
      <c r="U17" s="8"/>
      <c r="V17" s="8"/>
    </row>
    <row r="18" spans="1:22" ht="15" customHeight="1" x14ac:dyDescent="0.3">
      <c r="A18" s="12" t="s">
        <v>33</v>
      </c>
      <c r="B18" s="8">
        <v>3007.0102827399969</v>
      </c>
      <c r="C18" s="8">
        <v>2018.5272918399985</v>
      </c>
      <c r="D18" s="8">
        <v>2251.7700243100003</v>
      </c>
      <c r="E18" s="8">
        <f t="shared" si="1"/>
        <v>7277.3075988899964</v>
      </c>
      <c r="F18" s="8">
        <v>3918.4413502199955</v>
      </c>
      <c r="G18" s="8">
        <v>2751.1880956200007</v>
      </c>
      <c r="H18" s="8">
        <v>2357.6882878799997</v>
      </c>
      <c r="I18" s="8">
        <f t="shared" si="2"/>
        <v>9027.3177337199959</v>
      </c>
      <c r="J18" s="8">
        <f t="shared" si="3"/>
        <v>16304.625332609992</v>
      </c>
      <c r="K18" s="8">
        <v>2686.3302688100016</v>
      </c>
      <c r="L18" s="8">
        <v>3040.5526042100005</v>
      </c>
      <c r="M18" s="8">
        <v>2700.6470814000004</v>
      </c>
      <c r="N18" s="8">
        <f t="shared" si="4"/>
        <v>8427.5299544200025</v>
      </c>
      <c r="O18" s="8">
        <v>2622.6600604499999</v>
      </c>
      <c r="P18" s="8">
        <v>3372.5810843099998</v>
      </c>
      <c r="Q18" s="8">
        <v>2538.8587628103855</v>
      </c>
      <c r="R18" s="8">
        <f t="shared" si="5"/>
        <v>8534.0999075703858</v>
      </c>
      <c r="S18" s="8">
        <f t="shared" si="6"/>
        <v>16961.62986199039</v>
      </c>
      <c r="T18" s="8">
        <f t="shared" si="7"/>
        <v>33266.25519460038</v>
      </c>
      <c r="U18" s="8"/>
      <c r="V18" s="8"/>
    </row>
    <row r="19" spans="1:22" ht="15" customHeight="1" x14ac:dyDescent="0.3">
      <c r="A19" s="12" t="s">
        <v>34</v>
      </c>
      <c r="B19" s="8">
        <v>5400.8000965199981</v>
      </c>
      <c r="C19" s="8">
        <v>4058.1859496100014</v>
      </c>
      <c r="D19" s="8">
        <v>4615.3027766099967</v>
      </c>
      <c r="E19" s="8">
        <f t="shared" si="1"/>
        <v>14074.288822739996</v>
      </c>
      <c r="F19" s="8">
        <v>7904.1147021800125</v>
      </c>
      <c r="G19" s="8">
        <v>5355.8067521499997</v>
      </c>
      <c r="H19" s="8">
        <v>5966.2942414000054</v>
      </c>
      <c r="I19" s="8">
        <f t="shared" si="2"/>
        <v>19226.215695730018</v>
      </c>
      <c r="J19" s="8">
        <f t="shared" si="3"/>
        <v>33300.504518470014</v>
      </c>
      <c r="K19" s="8">
        <v>5082.3319347399993</v>
      </c>
      <c r="L19" s="8">
        <v>5658.0370924999997</v>
      </c>
      <c r="M19" s="8">
        <v>4717.5236886300008</v>
      </c>
      <c r="N19" s="8">
        <f t="shared" si="4"/>
        <v>15457.892715869999</v>
      </c>
      <c r="O19" s="8">
        <v>4899.5137798200003</v>
      </c>
      <c r="P19" s="8">
        <v>6404.7655587600002</v>
      </c>
      <c r="Q19" s="8">
        <v>5568.2103442699008</v>
      </c>
      <c r="R19" s="8">
        <f t="shared" si="5"/>
        <v>16872.4896828499</v>
      </c>
      <c r="S19" s="8">
        <f t="shared" si="6"/>
        <v>32330.382398719899</v>
      </c>
      <c r="T19" s="8">
        <f t="shared" si="7"/>
        <v>65630.886917189913</v>
      </c>
      <c r="U19" s="8"/>
      <c r="V19" s="8"/>
    </row>
    <row r="20" spans="1:22" ht="15" customHeight="1" x14ac:dyDescent="0.3">
      <c r="A20" s="12" t="s">
        <v>35</v>
      </c>
      <c r="B20" s="8">
        <v>417.46581624000055</v>
      </c>
      <c r="C20" s="8">
        <v>364.57034218999991</v>
      </c>
      <c r="D20" s="8">
        <v>379.65965745999978</v>
      </c>
      <c r="E20" s="8">
        <f t="shared" si="1"/>
        <v>1161.6958158900002</v>
      </c>
      <c r="F20" s="8">
        <v>628.08211889000052</v>
      </c>
      <c r="G20" s="8">
        <v>457.04446204000044</v>
      </c>
      <c r="H20" s="8">
        <v>397.14199936999972</v>
      </c>
      <c r="I20" s="8">
        <f t="shared" si="2"/>
        <v>1482.2685803000006</v>
      </c>
      <c r="J20" s="8">
        <f t="shared" si="3"/>
        <v>2643.964396190001</v>
      </c>
      <c r="K20" s="8">
        <v>379.40300278999985</v>
      </c>
      <c r="L20" s="8">
        <v>499.41087293000004</v>
      </c>
      <c r="M20" s="8">
        <v>400.63003415999981</v>
      </c>
      <c r="N20" s="8">
        <f t="shared" si="4"/>
        <v>1279.4439098799999</v>
      </c>
      <c r="O20" s="8">
        <v>409.52329961999982</v>
      </c>
      <c r="P20" s="8">
        <v>494.98127770000042</v>
      </c>
      <c r="Q20" s="8">
        <v>432.65655563528679</v>
      </c>
      <c r="R20" s="8">
        <f t="shared" si="5"/>
        <v>1337.161132955287</v>
      </c>
      <c r="S20" s="8">
        <f t="shared" si="6"/>
        <v>2616.6050428352869</v>
      </c>
      <c r="T20" s="8">
        <f t="shared" si="7"/>
        <v>5260.5694390252884</v>
      </c>
      <c r="U20" s="8"/>
      <c r="V20" s="8"/>
    </row>
    <row r="21" spans="1:22" ht="15" customHeight="1" x14ac:dyDescent="0.3">
      <c r="A21" s="12" t="s">
        <v>36</v>
      </c>
      <c r="B21" s="8">
        <v>2482.2178860400022</v>
      </c>
      <c r="C21" s="8">
        <v>2087.3744933600005</v>
      </c>
      <c r="D21" s="8">
        <v>1971.5173195399982</v>
      </c>
      <c r="E21" s="8">
        <f t="shared" si="1"/>
        <v>6541.1096989400012</v>
      </c>
      <c r="F21" s="8">
        <v>3349.1927043799992</v>
      </c>
      <c r="G21" s="8">
        <v>2711.5911528500001</v>
      </c>
      <c r="H21" s="8">
        <v>2152.6782398100004</v>
      </c>
      <c r="I21" s="8">
        <f t="shared" si="2"/>
        <v>8213.4620970399992</v>
      </c>
      <c r="J21" s="8">
        <f t="shared" si="3"/>
        <v>14754.57179598</v>
      </c>
      <c r="K21" s="8">
        <v>2461.3696878199971</v>
      </c>
      <c r="L21" s="8">
        <v>2823.8967969799996</v>
      </c>
      <c r="M21" s="8">
        <v>2466.2769603799966</v>
      </c>
      <c r="N21" s="8">
        <f t="shared" si="4"/>
        <v>7751.5434451799938</v>
      </c>
      <c r="O21" s="8">
        <v>2559.6720321299999</v>
      </c>
      <c r="P21" s="8">
        <v>2982.1863261000012</v>
      </c>
      <c r="Q21" s="8">
        <v>2829.5586830578081</v>
      </c>
      <c r="R21" s="8">
        <f t="shared" si="5"/>
        <v>8371.4170412878102</v>
      </c>
      <c r="S21" s="8">
        <f t="shared" si="6"/>
        <v>16122.960486467804</v>
      </c>
      <c r="T21" s="8">
        <f t="shared" si="7"/>
        <v>30877.532282447806</v>
      </c>
      <c r="U21" s="8"/>
      <c r="V21" s="8"/>
    </row>
    <row r="22" spans="1:22" ht="15" customHeight="1" x14ac:dyDescent="0.3">
      <c r="A22" s="12" t="s">
        <v>37</v>
      </c>
      <c r="B22" s="8">
        <v>300.74162536000006</v>
      </c>
      <c r="C22" s="8">
        <v>248.47403896</v>
      </c>
      <c r="D22" s="8">
        <v>330.51175100000006</v>
      </c>
      <c r="E22" s="8">
        <f t="shared" si="1"/>
        <v>879.72741532000009</v>
      </c>
      <c r="F22" s="8">
        <v>492.09505753000019</v>
      </c>
      <c r="G22" s="8">
        <v>389.04512915000061</v>
      </c>
      <c r="H22" s="8">
        <v>346.55150878000018</v>
      </c>
      <c r="I22" s="8">
        <f t="shared" si="2"/>
        <v>1227.691695460001</v>
      </c>
      <c r="J22" s="8">
        <f t="shared" si="3"/>
        <v>2107.4191107800011</v>
      </c>
      <c r="K22" s="8">
        <v>365.2625142199999</v>
      </c>
      <c r="L22" s="8">
        <v>366.91777635000045</v>
      </c>
      <c r="M22" s="8">
        <v>254.96447907999999</v>
      </c>
      <c r="N22" s="8">
        <f t="shared" si="4"/>
        <v>987.1447696500004</v>
      </c>
      <c r="O22" s="8">
        <v>317.81350940999999</v>
      </c>
      <c r="P22" s="8">
        <v>399.86340434999994</v>
      </c>
      <c r="Q22" s="8">
        <v>335.39652927117584</v>
      </c>
      <c r="R22" s="8">
        <f t="shared" si="5"/>
        <v>1053.0734430311759</v>
      </c>
      <c r="S22" s="8">
        <f t="shared" si="6"/>
        <v>2040.2182126811763</v>
      </c>
      <c r="T22" s="8">
        <f t="shared" si="7"/>
        <v>4147.6373234611774</v>
      </c>
      <c r="U22" s="8"/>
      <c r="V22" s="8"/>
    </row>
    <row r="23" spans="1:22" ht="18" customHeight="1" x14ac:dyDescent="0.3">
      <c r="A23" s="12" t="s">
        <v>38</v>
      </c>
      <c r="B23" s="8">
        <v>76347.772272909977</v>
      </c>
      <c r="C23" s="8">
        <v>53501.093460039992</v>
      </c>
      <c r="D23" s="8">
        <v>58722.464464260003</v>
      </c>
      <c r="E23" s="8">
        <f t="shared" si="1"/>
        <v>188571.33019720996</v>
      </c>
      <c r="F23" s="8">
        <v>103265.18897047997</v>
      </c>
      <c r="G23" s="8">
        <v>96448.235987930035</v>
      </c>
      <c r="H23" s="8">
        <v>75290.516286619997</v>
      </c>
      <c r="I23" s="8">
        <f t="shared" si="2"/>
        <v>275003.94124503003</v>
      </c>
      <c r="J23" s="8">
        <f t="shared" si="3"/>
        <v>463575.27144223999</v>
      </c>
      <c r="K23" s="8">
        <v>66897.960411389999</v>
      </c>
      <c r="L23" s="8">
        <v>98189.517141010001</v>
      </c>
      <c r="M23" s="8">
        <v>65253.919528459999</v>
      </c>
      <c r="N23" s="8">
        <f t="shared" si="4"/>
        <v>230341.39708085998</v>
      </c>
      <c r="O23" s="8">
        <v>71629.290851349986</v>
      </c>
      <c r="P23" s="8">
        <v>95285.487429230008</v>
      </c>
      <c r="Q23" s="8">
        <v>69408.635260869982</v>
      </c>
      <c r="R23" s="8">
        <f t="shared" si="5"/>
        <v>236323.41354144999</v>
      </c>
      <c r="S23" s="8">
        <f t="shared" si="6"/>
        <v>466664.81062230997</v>
      </c>
      <c r="T23" s="8">
        <f t="shared" si="7"/>
        <v>930240.0820645499</v>
      </c>
      <c r="U23" s="8"/>
      <c r="V23" s="8"/>
    </row>
    <row r="24" spans="1:22" s="10" customFormat="1" ht="15" customHeight="1" x14ac:dyDescent="0.3">
      <c r="A24" s="3"/>
      <c r="B24" s="11"/>
      <c r="C24" s="11"/>
      <c r="D24" s="11"/>
      <c r="E24" s="11"/>
      <c r="F24" s="11"/>
      <c r="G24" s="11"/>
      <c r="H24" s="11"/>
      <c r="I24" s="11"/>
      <c r="J24" s="11"/>
      <c r="K24" s="11"/>
      <c r="L24" s="11"/>
      <c r="M24" s="11"/>
      <c r="N24" s="11"/>
      <c r="O24" s="11"/>
      <c r="P24" s="11"/>
      <c r="Q24" s="11"/>
      <c r="R24" s="11"/>
      <c r="S24" s="11"/>
      <c r="T24" s="11"/>
      <c r="U24" s="11"/>
      <c r="V24" s="11"/>
    </row>
    <row r="25" spans="1:22" s="10" customFormat="1" ht="15" customHeight="1" x14ac:dyDescent="0.25">
      <c r="A25" s="10" t="s">
        <v>39</v>
      </c>
      <c r="B25" s="11">
        <f>SUM(B26:B31)</f>
        <v>426.55669351</v>
      </c>
      <c r="C25" s="11">
        <f t="shared" ref="C25:D25" si="8">SUM(C26:C31)</f>
        <v>315.41071932</v>
      </c>
      <c r="D25" s="11">
        <f t="shared" si="8"/>
        <v>382.94730417999995</v>
      </c>
      <c r="E25" s="11">
        <f t="shared" ref="E25:E31" si="9">SUM(B25:D25)</f>
        <v>1124.91471701</v>
      </c>
      <c r="F25" s="11">
        <f t="shared" ref="F25:H25" si="10">SUM(F26:F31)</f>
        <v>620.28783636999992</v>
      </c>
      <c r="G25" s="11">
        <f t="shared" si="10"/>
        <v>436.78841926999996</v>
      </c>
      <c r="H25" s="11">
        <f t="shared" si="10"/>
        <v>467.36349091999995</v>
      </c>
      <c r="I25" s="11">
        <f t="shared" ref="I25:I31" si="11">SUM(F25:H25)</f>
        <v>1524.43974656</v>
      </c>
      <c r="J25" s="11">
        <f t="shared" si="3"/>
        <v>2649.35446357</v>
      </c>
      <c r="K25" s="11">
        <f t="shared" ref="K25:M25" si="12">SUM(K26:K31)</f>
        <v>427.20499335000011</v>
      </c>
      <c r="L25" s="11">
        <f t="shared" si="12"/>
        <v>487.49776073999999</v>
      </c>
      <c r="M25" s="11">
        <f t="shared" si="12"/>
        <v>458.84793207999985</v>
      </c>
      <c r="N25" s="11">
        <f t="shared" ref="N25:N31" si="13">SUM(K25:M25)</f>
        <v>1373.5506861700001</v>
      </c>
      <c r="O25" s="11">
        <f t="shared" ref="O25:Q25" si="14">SUM(O26:O31)</f>
        <v>450.14053141000011</v>
      </c>
      <c r="P25" s="11">
        <f t="shared" si="14"/>
        <v>491.25650499000005</v>
      </c>
      <c r="Q25" s="11">
        <f t="shared" si="14"/>
        <v>779.22731471658562</v>
      </c>
      <c r="R25" s="11">
        <f t="shared" ref="R25:R31" si="15">SUM(O25:Q25)</f>
        <v>1720.6243511165858</v>
      </c>
      <c r="S25" s="11">
        <f t="shared" si="6"/>
        <v>3094.1750372865858</v>
      </c>
      <c r="T25" s="11">
        <f t="shared" ref="T25:T31" si="16">+J25+S25</f>
        <v>5743.5295008565863</v>
      </c>
      <c r="U25" s="11"/>
      <c r="V25" s="11"/>
    </row>
    <row r="26" spans="1:22" ht="15" customHeight="1" x14ac:dyDescent="0.3">
      <c r="A26" s="12" t="s">
        <v>40</v>
      </c>
      <c r="B26" s="8">
        <v>36.728468810000003</v>
      </c>
      <c r="C26" s="8">
        <v>24.700372139999999</v>
      </c>
      <c r="D26" s="8">
        <v>28.94751166</v>
      </c>
      <c r="E26" s="8">
        <f t="shared" si="9"/>
        <v>90.376352609999998</v>
      </c>
      <c r="F26" s="8">
        <v>42.420162400000009</v>
      </c>
      <c r="G26" s="8">
        <v>59.372627319999999</v>
      </c>
      <c r="H26" s="8">
        <v>33.413977480000007</v>
      </c>
      <c r="I26" s="8">
        <f t="shared" si="11"/>
        <v>135.2067672</v>
      </c>
      <c r="J26" s="8">
        <f t="shared" si="3"/>
        <v>225.58311981</v>
      </c>
      <c r="K26" s="8">
        <v>49.550238260000008</v>
      </c>
      <c r="L26" s="8">
        <v>25.47697269</v>
      </c>
      <c r="M26" s="8">
        <v>35.37091697999999</v>
      </c>
      <c r="N26" s="8">
        <f t="shared" si="13"/>
        <v>110.39812793</v>
      </c>
      <c r="O26" s="8">
        <v>44.92004498</v>
      </c>
      <c r="P26" s="8">
        <v>24.243047309999998</v>
      </c>
      <c r="Q26" s="8">
        <v>31.472873546373865</v>
      </c>
      <c r="R26" s="8">
        <f t="shared" si="15"/>
        <v>100.63596583637386</v>
      </c>
      <c r="S26" s="8">
        <f t="shared" si="6"/>
        <v>211.03409376637387</v>
      </c>
      <c r="T26" s="8">
        <f t="shared" si="16"/>
        <v>436.61721357637384</v>
      </c>
      <c r="U26" s="8"/>
      <c r="V26" s="8"/>
    </row>
    <row r="27" spans="1:22" ht="15" customHeight="1" x14ac:dyDescent="0.3">
      <c r="A27" s="12" t="s">
        <v>41</v>
      </c>
      <c r="B27" s="8">
        <v>49.330069799999997</v>
      </c>
      <c r="C27" s="8">
        <v>29.604651840000002</v>
      </c>
      <c r="D27" s="8">
        <v>39.781331180000009</v>
      </c>
      <c r="E27" s="8">
        <f t="shared" si="9"/>
        <v>118.71605282</v>
      </c>
      <c r="F27" s="8">
        <v>49.96044989</v>
      </c>
      <c r="G27" s="8">
        <v>43.736789389999998</v>
      </c>
      <c r="H27" s="8">
        <v>51.441349579999994</v>
      </c>
      <c r="I27" s="8">
        <f t="shared" si="11"/>
        <v>145.13858885999997</v>
      </c>
      <c r="J27" s="8">
        <f t="shared" si="3"/>
        <v>263.85464167999999</v>
      </c>
      <c r="K27" s="8">
        <v>51.756754799999996</v>
      </c>
      <c r="L27" s="8">
        <v>51.289973320000016</v>
      </c>
      <c r="M27" s="8">
        <v>51.017391300000007</v>
      </c>
      <c r="N27" s="8">
        <f t="shared" si="13"/>
        <v>154.06411942000003</v>
      </c>
      <c r="O27" s="8">
        <v>51.39286955</v>
      </c>
      <c r="P27" s="8">
        <v>45.568844470000002</v>
      </c>
      <c r="Q27" s="8">
        <v>50.10672700095801</v>
      </c>
      <c r="R27" s="8">
        <f t="shared" si="15"/>
        <v>147.06844102095801</v>
      </c>
      <c r="S27" s="8">
        <f t="shared" si="6"/>
        <v>301.13256044095806</v>
      </c>
      <c r="T27" s="8">
        <f t="shared" si="16"/>
        <v>564.98720212095805</v>
      </c>
      <c r="U27" s="8"/>
      <c r="V27" s="8"/>
    </row>
    <row r="28" spans="1:22" ht="15" customHeight="1" x14ac:dyDescent="0.3">
      <c r="A28" s="12" t="s">
        <v>42</v>
      </c>
      <c r="B28" s="8">
        <v>88.483246959999974</v>
      </c>
      <c r="C28" s="8">
        <v>64.416461710000021</v>
      </c>
      <c r="D28" s="8">
        <v>63.111166040000008</v>
      </c>
      <c r="E28" s="8">
        <f t="shared" si="9"/>
        <v>216.01087471</v>
      </c>
      <c r="F28" s="8">
        <v>90.891089739999984</v>
      </c>
      <c r="G28" s="8">
        <v>60.190787259999958</v>
      </c>
      <c r="H28" s="8">
        <v>84.467107459999951</v>
      </c>
      <c r="I28" s="8">
        <f t="shared" si="11"/>
        <v>235.54898445999987</v>
      </c>
      <c r="J28" s="8">
        <f t="shared" si="3"/>
        <v>451.55985916999987</v>
      </c>
      <c r="K28" s="8">
        <v>78.034041520000002</v>
      </c>
      <c r="L28" s="8">
        <v>98.747261330000015</v>
      </c>
      <c r="M28" s="8">
        <v>65.96941335999999</v>
      </c>
      <c r="N28" s="8">
        <f t="shared" si="13"/>
        <v>242.75071621000001</v>
      </c>
      <c r="O28" s="8">
        <v>72.373725289999996</v>
      </c>
      <c r="P28" s="8">
        <v>82.340908899999974</v>
      </c>
      <c r="Q28" s="8">
        <v>75.231947900383503</v>
      </c>
      <c r="R28" s="8">
        <f t="shared" si="15"/>
        <v>229.94658209038346</v>
      </c>
      <c r="S28" s="8">
        <f t="shared" si="6"/>
        <v>472.69729830038347</v>
      </c>
      <c r="T28" s="8">
        <f t="shared" si="16"/>
        <v>924.25715747038339</v>
      </c>
      <c r="U28" s="8"/>
      <c r="V28" s="8"/>
    </row>
    <row r="29" spans="1:22" ht="15" customHeight="1" x14ac:dyDescent="0.3">
      <c r="A29" s="12" t="s">
        <v>43</v>
      </c>
      <c r="B29" s="8">
        <v>30.976809439999997</v>
      </c>
      <c r="C29" s="8">
        <v>14.172712170000002</v>
      </c>
      <c r="D29" s="8">
        <v>17.401704859999999</v>
      </c>
      <c r="E29" s="8">
        <f t="shared" si="9"/>
        <v>62.551226470000003</v>
      </c>
      <c r="F29" s="8">
        <v>25.065894100000001</v>
      </c>
      <c r="G29" s="8">
        <v>21.313089150000007</v>
      </c>
      <c r="H29" s="8">
        <v>19.754694069999999</v>
      </c>
      <c r="I29" s="8">
        <f t="shared" si="11"/>
        <v>66.133677320000004</v>
      </c>
      <c r="J29" s="8">
        <f t="shared" si="3"/>
        <v>128.68490379000002</v>
      </c>
      <c r="K29" s="8">
        <v>21.999576980000001</v>
      </c>
      <c r="L29" s="8">
        <v>21.029061400000003</v>
      </c>
      <c r="M29" s="8">
        <v>23.840070759999996</v>
      </c>
      <c r="N29" s="8">
        <f t="shared" si="13"/>
        <v>66.868709139999993</v>
      </c>
      <c r="O29" s="8">
        <v>21.912278690000004</v>
      </c>
      <c r="P29" s="8">
        <v>21.821549200000003</v>
      </c>
      <c r="Q29" s="8">
        <v>24.262082100933789</v>
      </c>
      <c r="R29" s="8">
        <f t="shared" si="15"/>
        <v>67.995909990933797</v>
      </c>
      <c r="S29" s="8">
        <f t="shared" si="6"/>
        <v>134.86461913093379</v>
      </c>
      <c r="T29" s="8">
        <f t="shared" si="16"/>
        <v>263.54952292093378</v>
      </c>
      <c r="U29" s="8"/>
      <c r="V29" s="8"/>
    </row>
    <row r="30" spans="1:22" ht="15" customHeight="1" x14ac:dyDescent="0.3">
      <c r="A30" s="12" t="s">
        <v>44</v>
      </c>
      <c r="B30" s="8">
        <v>28.293466079999995</v>
      </c>
      <c r="C30" s="8">
        <v>19.321316370000002</v>
      </c>
      <c r="D30" s="8">
        <v>22.560064499999992</v>
      </c>
      <c r="E30" s="8">
        <f t="shared" si="9"/>
        <v>70.174846949999989</v>
      </c>
      <c r="F30" s="8">
        <v>19.386798300000002</v>
      </c>
      <c r="G30" s="8">
        <v>22.68479614</v>
      </c>
      <c r="H30" s="8">
        <v>28.894854289999998</v>
      </c>
      <c r="I30" s="8">
        <f t="shared" si="11"/>
        <v>70.966448729999996</v>
      </c>
      <c r="J30" s="8">
        <f t="shared" si="3"/>
        <v>141.14129567999998</v>
      </c>
      <c r="K30" s="8">
        <v>24.547001549999997</v>
      </c>
      <c r="L30" s="8">
        <v>20.282089859999999</v>
      </c>
      <c r="M30" s="8">
        <v>23.668359700000003</v>
      </c>
      <c r="N30" s="8">
        <f t="shared" si="13"/>
        <v>68.49745111</v>
      </c>
      <c r="O30" s="8">
        <v>23.067382510000002</v>
      </c>
      <c r="P30" s="8">
        <v>25.369357879999999</v>
      </c>
      <c r="Q30" s="8">
        <v>23.763698188479864</v>
      </c>
      <c r="R30" s="8">
        <f t="shared" si="15"/>
        <v>72.200438578479861</v>
      </c>
      <c r="S30" s="8">
        <f t="shared" si="6"/>
        <v>140.69788968847985</v>
      </c>
      <c r="T30" s="8">
        <f t="shared" si="16"/>
        <v>281.83918536847983</v>
      </c>
      <c r="U30" s="8"/>
      <c r="V30" s="8"/>
    </row>
    <row r="31" spans="1:22" ht="15" customHeight="1" x14ac:dyDescent="0.3">
      <c r="A31" s="12" t="s">
        <v>45</v>
      </c>
      <c r="B31" s="8">
        <v>192.74463242000004</v>
      </c>
      <c r="C31" s="8">
        <v>163.19520508999994</v>
      </c>
      <c r="D31" s="8">
        <v>211.14552593999991</v>
      </c>
      <c r="E31" s="8">
        <f t="shared" si="9"/>
        <v>567.08536344999993</v>
      </c>
      <c r="F31" s="8">
        <v>392.56344193999996</v>
      </c>
      <c r="G31" s="8">
        <v>229.49033000999998</v>
      </c>
      <c r="H31" s="8">
        <v>249.39150804000002</v>
      </c>
      <c r="I31" s="8">
        <f t="shared" si="11"/>
        <v>871.44527999000002</v>
      </c>
      <c r="J31" s="8">
        <f t="shared" si="3"/>
        <v>1438.5306434399999</v>
      </c>
      <c r="K31" s="8">
        <v>201.31738024000009</v>
      </c>
      <c r="L31" s="8">
        <v>270.67240213999997</v>
      </c>
      <c r="M31" s="8">
        <v>258.98177997999989</v>
      </c>
      <c r="N31" s="8">
        <f t="shared" si="13"/>
        <v>730.97156236000001</v>
      </c>
      <c r="O31" s="8">
        <v>236.47423039000012</v>
      </c>
      <c r="P31" s="8">
        <v>291.91279723000008</v>
      </c>
      <c r="Q31" s="8">
        <v>574.38998597945658</v>
      </c>
      <c r="R31" s="8">
        <f t="shared" si="15"/>
        <v>1102.777013599457</v>
      </c>
      <c r="S31" s="8">
        <f t="shared" si="6"/>
        <v>1833.748575959457</v>
      </c>
      <c r="T31" s="8">
        <f t="shared" si="16"/>
        <v>3272.2792193994569</v>
      </c>
      <c r="U31" s="8"/>
      <c r="V31" s="8"/>
    </row>
    <row r="32" spans="1:22" s="10" customFormat="1" ht="15" customHeight="1" x14ac:dyDescent="0.3">
      <c r="A32" s="3"/>
      <c r="B32" s="11"/>
      <c r="C32" s="11"/>
      <c r="D32" s="11"/>
      <c r="E32" s="11"/>
      <c r="F32" s="11"/>
      <c r="G32" s="11"/>
      <c r="H32" s="11"/>
      <c r="I32" s="11"/>
      <c r="J32" s="11"/>
      <c r="K32" s="11"/>
      <c r="L32" s="11"/>
      <c r="M32" s="11"/>
      <c r="N32" s="11"/>
      <c r="O32" s="11"/>
      <c r="P32" s="11"/>
      <c r="Q32" s="11"/>
      <c r="R32" s="11"/>
      <c r="S32" s="11"/>
      <c r="T32" s="11"/>
      <c r="U32" s="11"/>
      <c r="V32" s="11"/>
    </row>
    <row r="33" spans="1:22" s="10" customFormat="1" ht="15" customHeight="1" x14ac:dyDescent="0.25">
      <c r="A33" s="10" t="s">
        <v>46</v>
      </c>
      <c r="B33" s="11">
        <f>SUM(B34:B37)</f>
        <v>1099.1234720600003</v>
      </c>
      <c r="C33" s="11">
        <f t="shared" ref="C33:D33" si="17">SUM(C34:C37)</f>
        <v>745.94951259999993</v>
      </c>
      <c r="D33" s="11">
        <f t="shared" si="17"/>
        <v>830.45227977999957</v>
      </c>
      <c r="E33" s="11">
        <f t="shared" ref="E33:E37" si="18">SUM(B33:D33)</f>
        <v>2675.5252644399998</v>
      </c>
      <c r="F33" s="11">
        <f t="shared" ref="F33:H33" si="19">SUM(F34:F37)</f>
        <v>1283.5593586699997</v>
      </c>
      <c r="G33" s="11">
        <f t="shared" si="19"/>
        <v>1047.5195796100002</v>
      </c>
      <c r="H33" s="11">
        <f t="shared" si="19"/>
        <v>979.20749578000004</v>
      </c>
      <c r="I33" s="11">
        <f t="shared" ref="I33:I37" si="20">SUM(F33:H33)</f>
        <v>3310.2864340599999</v>
      </c>
      <c r="J33" s="11">
        <f t="shared" si="3"/>
        <v>5985.8116984999997</v>
      </c>
      <c r="K33" s="11">
        <f t="shared" ref="K33:M33" si="21">SUM(K34:K37)</f>
        <v>954.11954819000027</v>
      </c>
      <c r="L33" s="11">
        <f t="shared" si="21"/>
        <v>1027.5077912100005</v>
      </c>
      <c r="M33" s="11">
        <f t="shared" si="21"/>
        <v>896.68596290999994</v>
      </c>
      <c r="N33" s="11">
        <f t="shared" ref="N33:N37" si="22">SUM(K33:M33)</f>
        <v>2878.3133023100008</v>
      </c>
      <c r="O33" s="11">
        <f t="shared" ref="O33:Q33" si="23">SUM(O34:O37)</f>
        <v>1009.65215739</v>
      </c>
      <c r="P33" s="11">
        <f t="shared" si="23"/>
        <v>1090.1841943500001</v>
      </c>
      <c r="Q33" s="11">
        <f t="shared" si="23"/>
        <v>979.00116806623078</v>
      </c>
      <c r="R33" s="11">
        <f t="shared" ref="R33:R37" si="24">SUM(O33:Q33)</f>
        <v>3078.8375198062313</v>
      </c>
      <c r="S33" s="11">
        <f t="shared" si="6"/>
        <v>5957.1508221162321</v>
      </c>
      <c r="T33" s="11">
        <f t="shared" ref="T33:T37" si="25">+J33+S33</f>
        <v>11942.962520616231</v>
      </c>
      <c r="U33" s="11"/>
      <c r="V33" s="11"/>
    </row>
    <row r="34" spans="1:22" ht="15" customHeight="1" x14ac:dyDescent="0.3">
      <c r="A34" s="12" t="s">
        <v>47</v>
      </c>
      <c r="B34" s="8">
        <v>142.43695860000008</v>
      </c>
      <c r="C34" s="8">
        <v>107.03747956000001</v>
      </c>
      <c r="D34" s="8">
        <v>105.99370822000002</v>
      </c>
      <c r="E34" s="8">
        <f t="shared" si="18"/>
        <v>355.46814638000012</v>
      </c>
      <c r="F34" s="8">
        <v>180.73836521999993</v>
      </c>
      <c r="G34" s="8">
        <v>134.13902969999998</v>
      </c>
      <c r="H34" s="8">
        <v>139.20838654999997</v>
      </c>
      <c r="I34" s="8">
        <f t="shared" si="20"/>
        <v>454.08578146999992</v>
      </c>
      <c r="J34" s="8">
        <f t="shared" si="3"/>
        <v>809.55392785000004</v>
      </c>
      <c r="K34" s="8">
        <v>134.21968502999997</v>
      </c>
      <c r="L34" s="8">
        <v>139.7235158</v>
      </c>
      <c r="M34" s="8">
        <v>114.2830162599999</v>
      </c>
      <c r="N34" s="8">
        <f t="shared" si="22"/>
        <v>388.22621708999986</v>
      </c>
      <c r="O34" s="8">
        <v>174.34517537999997</v>
      </c>
      <c r="P34" s="8">
        <v>134.31390379999996</v>
      </c>
      <c r="Q34" s="8">
        <v>123.40816782791289</v>
      </c>
      <c r="R34" s="8">
        <f t="shared" si="24"/>
        <v>432.06724700791284</v>
      </c>
      <c r="S34" s="8">
        <f t="shared" si="6"/>
        <v>820.29346409791265</v>
      </c>
      <c r="T34" s="8">
        <f t="shared" si="25"/>
        <v>1629.8473919479127</v>
      </c>
      <c r="U34" s="8"/>
      <c r="V34" s="8"/>
    </row>
    <row r="35" spans="1:22" ht="15" customHeight="1" x14ac:dyDescent="0.3">
      <c r="A35" s="12" t="s">
        <v>48</v>
      </c>
      <c r="B35" s="8">
        <v>154.05255338999996</v>
      </c>
      <c r="C35" s="8">
        <v>98.622476260000013</v>
      </c>
      <c r="D35" s="8">
        <v>106.40436242999996</v>
      </c>
      <c r="E35" s="8">
        <f t="shared" si="18"/>
        <v>359.07939207999993</v>
      </c>
      <c r="F35" s="8">
        <v>189.98078010000003</v>
      </c>
      <c r="G35" s="8">
        <v>118.53964266999996</v>
      </c>
      <c r="H35" s="8">
        <v>141.09960062000002</v>
      </c>
      <c r="I35" s="8">
        <f t="shared" si="20"/>
        <v>449.62002339000003</v>
      </c>
      <c r="J35" s="8">
        <f t="shared" si="3"/>
        <v>808.69941546999996</v>
      </c>
      <c r="K35" s="8">
        <v>126.29520720999996</v>
      </c>
      <c r="L35" s="8">
        <v>141.93936571</v>
      </c>
      <c r="M35" s="8">
        <v>119.94436163000012</v>
      </c>
      <c r="N35" s="8">
        <f t="shared" si="22"/>
        <v>388.17893455000006</v>
      </c>
      <c r="O35" s="8">
        <v>121.69396752999998</v>
      </c>
      <c r="P35" s="8">
        <v>134.97017654999999</v>
      </c>
      <c r="Q35" s="8">
        <v>136.21561022094602</v>
      </c>
      <c r="R35" s="8">
        <f t="shared" si="24"/>
        <v>392.87975430094599</v>
      </c>
      <c r="S35" s="8">
        <f t="shared" si="6"/>
        <v>781.05868885094606</v>
      </c>
      <c r="T35" s="8">
        <f t="shared" si="25"/>
        <v>1589.7581043209461</v>
      </c>
      <c r="U35" s="8"/>
      <c r="V35" s="8"/>
    </row>
    <row r="36" spans="1:22" ht="15" customHeight="1" x14ac:dyDescent="0.3">
      <c r="A36" s="12" t="s">
        <v>49</v>
      </c>
      <c r="B36" s="8">
        <v>315.60893086000016</v>
      </c>
      <c r="C36" s="8">
        <v>148.97509720999997</v>
      </c>
      <c r="D36" s="8">
        <v>170.02707569999995</v>
      </c>
      <c r="E36" s="8">
        <f t="shared" si="18"/>
        <v>634.61110377000011</v>
      </c>
      <c r="F36" s="8">
        <v>291.16034618999987</v>
      </c>
      <c r="G36" s="8">
        <v>227.76852240000011</v>
      </c>
      <c r="H36" s="8">
        <v>234.82019256000007</v>
      </c>
      <c r="I36" s="8">
        <f t="shared" si="20"/>
        <v>753.74906114999999</v>
      </c>
      <c r="J36" s="8">
        <f t="shared" si="3"/>
        <v>1388.36016492</v>
      </c>
      <c r="K36" s="8">
        <v>211.91093534000018</v>
      </c>
      <c r="L36" s="8">
        <v>235.29343393000008</v>
      </c>
      <c r="M36" s="8">
        <v>206.82709997999996</v>
      </c>
      <c r="N36" s="8">
        <f t="shared" si="22"/>
        <v>654.03146925000021</v>
      </c>
      <c r="O36" s="8">
        <v>252.68456860000003</v>
      </c>
      <c r="P36" s="8">
        <v>208.66363873999993</v>
      </c>
      <c r="Q36" s="8">
        <v>221.43487690104666</v>
      </c>
      <c r="R36" s="8">
        <f t="shared" si="24"/>
        <v>682.78308424104659</v>
      </c>
      <c r="S36" s="8">
        <f t="shared" si="6"/>
        <v>1336.8145534910468</v>
      </c>
      <c r="T36" s="8">
        <f t="shared" si="25"/>
        <v>2725.1747184110468</v>
      </c>
      <c r="U36" s="8"/>
      <c r="V36" s="8"/>
    </row>
    <row r="37" spans="1:22" ht="15" customHeight="1" x14ac:dyDescent="0.3">
      <c r="A37" s="12" t="s">
        <v>50</v>
      </c>
      <c r="B37" s="8">
        <v>487.02502921000007</v>
      </c>
      <c r="C37" s="8">
        <v>391.31445956999994</v>
      </c>
      <c r="D37" s="8">
        <v>448.02713342999965</v>
      </c>
      <c r="E37" s="8">
        <f t="shared" si="18"/>
        <v>1326.3666222099996</v>
      </c>
      <c r="F37" s="8">
        <v>621.67986715999984</v>
      </c>
      <c r="G37" s="8">
        <v>567.07238484000004</v>
      </c>
      <c r="H37" s="8">
        <v>464.07931604999993</v>
      </c>
      <c r="I37" s="8">
        <f t="shared" si="20"/>
        <v>1652.8315680499998</v>
      </c>
      <c r="J37" s="8">
        <f t="shared" si="3"/>
        <v>2979.1981902599991</v>
      </c>
      <c r="K37" s="8">
        <v>481.69372061000013</v>
      </c>
      <c r="L37" s="8">
        <v>510.55147577000025</v>
      </c>
      <c r="M37" s="8">
        <v>455.63148503999997</v>
      </c>
      <c r="N37" s="8">
        <f t="shared" si="22"/>
        <v>1447.8766814200003</v>
      </c>
      <c r="O37" s="8">
        <v>460.92844587999997</v>
      </c>
      <c r="P37" s="8">
        <v>612.23647526000025</v>
      </c>
      <c r="Q37" s="8">
        <v>497.94251311632524</v>
      </c>
      <c r="R37" s="8">
        <f t="shared" si="24"/>
        <v>1571.1074342563254</v>
      </c>
      <c r="S37" s="8">
        <f t="shared" si="6"/>
        <v>3018.9841156763259</v>
      </c>
      <c r="T37" s="8">
        <f t="shared" si="25"/>
        <v>5998.1823059363251</v>
      </c>
      <c r="U37" s="8"/>
      <c r="V37" s="8"/>
    </row>
    <row r="38" spans="1:22" s="10" customFormat="1" ht="15" customHeight="1" x14ac:dyDescent="0.3">
      <c r="A38" s="3"/>
      <c r="B38" s="11"/>
      <c r="C38" s="11"/>
      <c r="D38" s="11"/>
      <c r="E38" s="11"/>
      <c r="F38" s="11"/>
      <c r="G38" s="11"/>
      <c r="H38" s="11"/>
      <c r="I38" s="11"/>
      <c r="J38" s="11"/>
      <c r="K38" s="11"/>
      <c r="L38" s="11"/>
      <c r="M38" s="11"/>
      <c r="N38" s="11"/>
      <c r="O38" s="11"/>
      <c r="P38" s="11"/>
      <c r="Q38" s="11"/>
      <c r="R38" s="11"/>
      <c r="S38" s="11"/>
      <c r="T38" s="11"/>
      <c r="U38" s="11"/>
      <c r="V38" s="11"/>
    </row>
    <row r="39" spans="1:22" s="10" customFormat="1" ht="15" customHeight="1" x14ac:dyDescent="0.25">
      <c r="A39" s="10" t="s">
        <v>51</v>
      </c>
      <c r="B39" s="11">
        <f>SUM(B40:B43)</f>
        <v>628.12334271000009</v>
      </c>
      <c r="C39" s="11">
        <f t="shared" ref="C39:D39" si="26">SUM(C40:C43)</f>
        <v>513.14704998000002</v>
      </c>
      <c r="D39" s="11">
        <f t="shared" si="26"/>
        <v>584.65107174000002</v>
      </c>
      <c r="E39" s="11">
        <f t="shared" ref="E39:E43" si="27">SUM(B39:D39)</f>
        <v>1725.92146443</v>
      </c>
      <c r="F39" s="11">
        <f t="shared" ref="F39:H39" si="28">SUM(F40:F43)</f>
        <v>1138.1555313200001</v>
      </c>
      <c r="G39" s="11">
        <f t="shared" si="28"/>
        <v>753.2200546300005</v>
      </c>
      <c r="H39" s="11">
        <f t="shared" si="28"/>
        <v>699.19937873000026</v>
      </c>
      <c r="I39" s="11">
        <f t="shared" ref="I39:I43" si="29">SUM(F39:H39)</f>
        <v>2590.5749646800009</v>
      </c>
      <c r="J39" s="11">
        <f t="shared" si="3"/>
        <v>4316.4964291100005</v>
      </c>
      <c r="K39" s="11">
        <f t="shared" ref="K39:M39" si="30">SUM(K40:K43)</f>
        <v>728.36025227000005</v>
      </c>
      <c r="L39" s="11">
        <f t="shared" si="30"/>
        <v>865.73225118000005</v>
      </c>
      <c r="M39" s="11">
        <f t="shared" si="30"/>
        <v>675.53270825000004</v>
      </c>
      <c r="N39" s="11">
        <f t="shared" ref="N39:N43" si="31">SUM(K39:M39)</f>
        <v>2269.6252117000004</v>
      </c>
      <c r="O39" s="11">
        <f t="shared" ref="O39:Q39" si="32">SUM(O40:O43)</f>
        <v>718.67530453999973</v>
      </c>
      <c r="P39" s="11">
        <f t="shared" si="32"/>
        <v>915.81610867999984</v>
      </c>
      <c r="Q39" s="11">
        <f t="shared" si="32"/>
        <v>715.55123278171652</v>
      </c>
      <c r="R39" s="11">
        <f t="shared" ref="R39:R43" si="33">SUM(O39:Q39)</f>
        <v>2350.0426460017161</v>
      </c>
      <c r="S39" s="11">
        <f t="shared" si="6"/>
        <v>4619.6678577017165</v>
      </c>
      <c r="T39" s="11">
        <f t="shared" ref="T39:T43" si="34">+J39+S39</f>
        <v>8936.164286811716</v>
      </c>
      <c r="U39" s="11"/>
      <c r="V39" s="11"/>
    </row>
    <row r="40" spans="1:22" ht="15" customHeight="1" x14ac:dyDescent="0.3">
      <c r="A40" s="12" t="s">
        <v>52</v>
      </c>
      <c r="B40" s="8">
        <v>269.07760412999994</v>
      </c>
      <c r="C40" s="8">
        <v>228.90489538000008</v>
      </c>
      <c r="D40" s="8">
        <v>281.41371473999993</v>
      </c>
      <c r="E40" s="8">
        <f t="shared" si="27"/>
        <v>779.39621424999996</v>
      </c>
      <c r="F40" s="8">
        <v>554.30910478000021</v>
      </c>
      <c r="G40" s="8">
        <v>404.18837793000017</v>
      </c>
      <c r="H40" s="8">
        <v>347.08515184000009</v>
      </c>
      <c r="I40" s="8">
        <f t="shared" si="29"/>
        <v>1305.5826345500004</v>
      </c>
      <c r="J40" s="8">
        <f t="shared" si="3"/>
        <v>2084.9788488000004</v>
      </c>
      <c r="K40" s="8">
        <v>363.51389998000013</v>
      </c>
      <c r="L40" s="8">
        <v>423.57781384999998</v>
      </c>
      <c r="M40" s="8">
        <v>353.17769355000007</v>
      </c>
      <c r="N40" s="8">
        <f t="shared" si="31"/>
        <v>1140.2694073800003</v>
      </c>
      <c r="O40" s="8">
        <v>397.02163289999999</v>
      </c>
      <c r="P40" s="8">
        <v>489.99965932999982</v>
      </c>
      <c r="Q40" s="8">
        <v>370.44595715367115</v>
      </c>
      <c r="R40" s="8">
        <f t="shared" si="33"/>
        <v>1257.4672493836708</v>
      </c>
      <c r="S40" s="8">
        <f t="shared" si="6"/>
        <v>2397.7366567636709</v>
      </c>
      <c r="T40" s="8">
        <f t="shared" si="34"/>
        <v>4482.7155055636713</v>
      </c>
      <c r="U40" s="8"/>
      <c r="V40" s="8"/>
    </row>
    <row r="41" spans="1:22" ht="15" customHeight="1" x14ac:dyDescent="0.3">
      <c r="A41" s="12" t="s">
        <v>53</v>
      </c>
      <c r="B41" s="8">
        <v>278.36039479000016</v>
      </c>
      <c r="C41" s="8">
        <v>193.84864263</v>
      </c>
      <c r="D41" s="8">
        <v>209.73824453000003</v>
      </c>
      <c r="E41" s="8">
        <f t="shared" si="27"/>
        <v>681.94728195000016</v>
      </c>
      <c r="F41" s="8">
        <v>449.72109560000001</v>
      </c>
      <c r="G41" s="8">
        <v>253.52656685000025</v>
      </c>
      <c r="H41" s="8">
        <v>247.26874373000007</v>
      </c>
      <c r="I41" s="8">
        <f t="shared" si="29"/>
        <v>950.51640618000033</v>
      </c>
      <c r="J41" s="8">
        <f t="shared" si="3"/>
        <v>1632.4636881300005</v>
      </c>
      <c r="K41" s="8">
        <v>270.19039024</v>
      </c>
      <c r="L41" s="8">
        <v>328.31066026000008</v>
      </c>
      <c r="M41" s="8">
        <v>228.71456232999998</v>
      </c>
      <c r="N41" s="8">
        <f t="shared" si="31"/>
        <v>827.21561283000005</v>
      </c>
      <c r="O41" s="8">
        <v>228.30486937999996</v>
      </c>
      <c r="P41" s="8">
        <v>302.00623770999994</v>
      </c>
      <c r="Q41" s="8">
        <v>258.36061658462972</v>
      </c>
      <c r="R41" s="8">
        <f t="shared" si="33"/>
        <v>788.67172367462967</v>
      </c>
      <c r="S41" s="8">
        <f t="shared" si="6"/>
        <v>1615.8873365046297</v>
      </c>
      <c r="T41" s="8">
        <f t="shared" si="34"/>
        <v>3248.3510246346304</v>
      </c>
      <c r="U41" s="8"/>
      <c r="V41" s="8"/>
    </row>
    <row r="42" spans="1:22" ht="15" customHeight="1" x14ac:dyDescent="0.3">
      <c r="A42" s="12" t="s">
        <v>54</v>
      </c>
      <c r="B42" s="8">
        <v>60.62229967999999</v>
      </c>
      <c r="C42" s="8">
        <v>69.491949330000011</v>
      </c>
      <c r="D42" s="8">
        <v>66.828556210000002</v>
      </c>
      <c r="E42" s="8">
        <f t="shared" si="27"/>
        <v>196.94280522000003</v>
      </c>
      <c r="F42" s="8">
        <v>105.89368999000004</v>
      </c>
      <c r="G42" s="8">
        <v>70.31985207000001</v>
      </c>
      <c r="H42" s="8">
        <v>74.036631550000024</v>
      </c>
      <c r="I42" s="8">
        <f t="shared" si="29"/>
        <v>250.2501736100001</v>
      </c>
      <c r="J42" s="8">
        <f t="shared" si="3"/>
        <v>447.19297883000013</v>
      </c>
      <c r="K42" s="8">
        <v>73.305024450000019</v>
      </c>
      <c r="L42" s="8">
        <v>86.973166649999996</v>
      </c>
      <c r="M42" s="8">
        <v>72.836072290000018</v>
      </c>
      <c r="N42" s="8">
        <f t="shared" si="31"/>
        <v>233.11426339000002</v>
      </c>
      <c r="O42" s="8">
        <v>69.931380159999946</v>
      </c>
      <c r="P42" s="8">
        <v>90.806720230000025</v>
      </c>
      <c r="Q42" s="8">
        <v>62.76952464692706</v>
      </c>
      <c r="R42" s="8">
        <f t="shared" si="33"/>
        <v>223.50762503692704</v>
      </c>
      <c r="S42" s="8">
        <f t="shared" si="6"/>
        <v>456.62188842692706</v>
      </c>
      <c r="T42" s="8">
        <f t="shared" si="34"/>
        <v>903.81486725692719</v>
      </c>
      <c r="U42" s="8"/>
      <c r="V42" s="8"/>
    </row>
    <row r="43" spans="1:22" ht="15" customHeight="1" x14ac:dyDescent="0.3">
      <c r="A43" s="12" t="s">
        <v>55</v>
      </c>
      <c r="B43" s="8">
        <v>20.06304411</v>
      </c>
      <c r="C43" s="8">
        <v>20.901562640000002</v>
      </c>
      <c r="D43" s="8">
        <v>26.670556259999998</v>
      </c>
      <c r="E43" s="8">
        <f t="shared" si="27"/>
        <v>67.635163009999999</v>
      </c>
      <c r="F43" s="8">
        <v>28.231640950000003</v>
      </c>
      <c r="G43" s="8">
        <v>25.185257780000001</v>
      </c>
      <c r="H43" s="8">
        <v>30.808851609999998</v>
      </c>
      <c r="I43" s="8">
        <f t="shared" si="29"/>
        <v>84.225750339999991</v>
      </c>
      <c r="J43" s="8">
        <f t="shared" si="3"/>
        <v>151.86091334999998</v>
      </c>
      <c r="K43" s="8">
        <v>21.350937600000002</v>
      </c>
      <c r="L43" s="8">
        <v>26.870610420000002</v>
      </c>
      <c r="M43" s="8">
        <v>20.804380080000001</v>
      </c>
      <c r="N43" s="8">
        <f t="shared" si="31"/>
        <v>69.025928100000002</v>
      </c>
      <c r="O43" s="8">
        <v>23.417422100000003</v>
      </c>
      <c r="P43" s="8">
        <v>33.003491409999995</v>
      </c>
      <c r="Q43" s="8">
        <v>23.97513439648867</v>
      </c>
      <c r="R43" s="8">
        <f t="shared" si="33"/>
        <v>80.396047906488661</v>
      </c>
      <c r="S43" s="8">
        <f t="shared" si="6"/>
        <v>149.42197600648865</v>
      </c>
      <c r="T43" s="8">
        <f t="shared" si="34"/>
        <v>301.28288935648862</v>
      </c>
      <c r="U43" s="8"/>
      <c r="V43" s="8"/>
    </row>
    <row r="44" spans="1:22" s="10" customFormat="1" ht="15" customHeight="1" x14ac:dyDescent="0.3">
      <c r="A44" s="3"/>
      <c r="B44" s="11"/>
      <c r="C44" s="11"/>
      <c r="D44" s="11"/>
      <c r="E44" s="11"/>
      <c r="F44" s="11"/>
      <c r="G44" s="11"/>
      <c r="H44" s="11"/>
      <c r="I44" s="11"/>
      <c r="J44" s="11"/>
      <c r="K44" s="11"/>
      <c r="L44" s="11"/>
      <c r="M44" s="11"/>
      <c r="N44" s="11"/>
      <c r="O44" s="11"/>
      <c r="P44" s="11"/>
      <c r="Q44" s="11"/>
      <c r="R44" s="11"/>
      <c r="S44" s="11"/>
      <c r="T44" s="11"/>
      <c r="U44" s="11"/>
      <c r="V44" s="11"/>
    </row>
    <row r="45" spans="1:22" s="10" customFormat="1" ht="15" customHeight="1" x14ac:dyDescent="0.25">
      <c r="A45" s="10" t="s">
        <v>56</v>
      </c>
      <c r="B45" s="11">
        <f>SUM(B46:B54)</f>
        <v>2938.0287365099998</v>
      </c>
      <c r="C45" s="11">
        <f t="shared" ref="C45:D45" si="35">SUM(C46:C54)</f>
        <v>2165.02106344</v>
      </c>
      <c r="D45" s="11">
        <f t="shared" si="35"/>
        <v>2565.6855019400004</v>
      </c>
      <c r="E45" s="11">
        <f t="shared" ref="E45:E54" si="36">SUM(B45:D45)</f>
        <v>7668.7353018900012</v>
      </c>
      <c r="F45" s="11">
        <f t="shared" ref="F45:H45" si="37">SUM(F46:F54)</f>
        <v>4288.5377529999978</v>
      </c>
      <c r="G45" s="11">
        <f t="shared" si="37"/>
        <v>3027.7282223900006</v>
      </c>
      <c r="H45" s="11">
        <f t="shared" si="37"/>
        <v>2799.5180401899997</v>
      </c>
      <c r="I45" s="11">
        <f t="shared" ref="I45:I54" si="38">SUM(F45:H45)</f>
        <v>10115.784015579999</v>
      </c>
      <c r="J45" s="11">
        <f t="shared" si="3"/>
        <v>17784.51931747</v>
      </c>
      <c r="K45" s="11">
        <f t="shared" ref="K45:M45" si="39">SUM(K46:K54)</f>
        <v>2886.6403366299996</v>
      </c>
      <c r="L45" s="11">
        <f t="shared" si="39"/>
        <v>3369.3116137800002</v>
      </c>
      <c r="M45" s="11">
        <f t="shared" si="39"/>
        <v>2679.2747695799999</v>
      </c>
      <c r="N45" s="11">
        <f t="shared" ref="N45:N54" si="40">SUM(K45:M45)</f>
        <v>8935.2267199899998</v>
      </c>
      <c r="O45" s="11">
        <f t="shared" ref="O45:Q45" si="41">SUM(O46:O54)</f>
        <v>2812.9500316900003</v>
      </c>
      <c r="P45" s="11">
        <f t="shared" si="41"/>
        <v>3398.6624616700001</v>
      </c>
      <c r="Q45" s="11">
        <f t="shared" si="41"/>
        <v>2885.0028788777076</v>
      </c>
      <c r="R45" s="11">
        <f t="shared" ref="R45:R54" si="42">SUM(O45:Q45)</f>
        <v>9096.6153722377076</v>
      </c>
      <c r="S45" s="11">
        <f t="shared" si="6"/>
        <v>18031.842092227707</v>
      </c>
      <c r="T45" s="11">
        <f t="shared" ref="T45:T54" si="43">+J45+S45</f>
        <v>35816.361409697711</v>
      </c>
      <c r="U45" s="11"/>
      <c r="V45" s="11"/>
    </row>
    <row r="46" spans="1:22" ht="15" customHeight="1" x14ac:dyDescent="0.3">
      <c r="A46" s="12" t="s">
        <v>57</v>
      </c>
      <c r="B46" s="8">
        <v>32.123381500000008</v>
      </c>
      <c r="C46" s="8">
        <v>19.071097740000003</v>
      </c>
      <c r="D46" s="8">
        <v>21.452978210000001</v>
      </c>
      <c r="E46" s="8">
        <f t="shared" si="36"/>
        <v>72.647457450000005</v>
      </c>
      <c r="F46" s="8">
        <v>35.904226369999996</v>
      </c>
      <c r="G46" s="8">
        <v>24.245168409999998</v>
      </c>
      <c r="H46" s="8">
        <v>26.604552959999999</v>
      </c>
      <c r="I46" s="8">
        <f t="shared" si="38"/>
        <v>86.753947740000001</v>
      </c>
      <c r="J46" s="8">
        <f t="shared" si="3"/>
        <v>159.40140518999999</v>
      </c>
      <c r="K46" s="8">
        <v>31.089402159999995</v>
      </c>
      <c r="L46" s="8">
        <v>32.880470409999994</v>
      </c>
      <c r="M46" s="8">
        <v>29.83908465</v>
      </c>
      <c r="N46" s="8">
        <f t="shared" si="40"/>
        <v>93.808957219999996</v>
      </c>
      <c r="O46" s="8">
        <v>32.892261510000004</v>
      </c>
      <c r="P46" s="8">
        <v>29.289161709999998</v>
      </c>
      <c r="Q46" s="8">
        <v>28.69931095433714</v>
      </c>
      <c r="R46" s="8">
        <f t="shared" si="42"/>
        <v>90.880734174337135</v>
      </c>
      <c r="S46" s="8">
        <f t="shared" si="6"/>
        <v>184.68969139433713</v>
      </c>
      <c r="T46" s="8">
        <f t="shared" si="43"/>
        <v>344.09109658433715</v>
      </c>
      <c r="U46" s="8"/>
      <c r="V46" s="8"/>
    </row>
    <row r="47" spans="1:22" ht="15" customHeight="1" x14ac:dyDescent="0.3">
      <c r="A47" s="12" t="s">
        <v>58</v>
      </c>
      <c r="B47" s="8">
        <v>186.14088805999981</v>
      </c>
      <c r="C47" s="8">
        <v>185.94235935999998</v>
      </c>
      <c r="D47" s="8">
        <v>175.46756471999996</v>
      </c>
      <c r="E47" s="8">
        <f t="shared" si="36"/>
        <v>547.55081213999972</v>
      </c>
      <c r="F47" s="8">
        <v>238.66672997999996</v>
      </c>
      <c r="G47" s="8">
        <v>191.41975291999992</v>
      </c>
      <c r="H47" s="8">
        <v>229.6322264800001</v>
      </c>
      <c r="I47" s="8">
        <f t="shared" si="38"/>
        <v>659.71870937999995</v>
      </c>
      <c r="J47" s="8">
        <f t="shared" si="3"/>
        <v>1207.2695215199997</v>
      </c>
      <c r="K47" s="8">
        <v>219.45536624000016</v>
      </c>
      <c r="L47" s="8">
        <v>234.61754388000003</v>
      </c>
      <c r="M47" s="8">
        <v>197.80296161999996</v>
      </c>
      <c r="N47" s="8">
        <f t="shared" si="40"/>
        <v>651.87587174000009</v>
      </c>
      <c r="O47" s="8">
        <v>243.29199113000013</v>
      </c>
      <c r="P47" s="8">
        <v>226.28865213999998</v>
      </c>
      <c r="Q47" s="8">
        <v>208.13620901409985</v>
      </c>
      <c r="R47" s="8">
        <f t="shared" si="42"/>
        <v>677.71685228410001</v>
      </c>
      <c r="S47" s="8">
        <f t="shared" si="6"/>
        <v>1329.5927240241001</v>
      </c>
      <c r="T47" s="8">
        <f t="shared" si="43"/>
        <v>2536.8622455441</v>
      </c>
      <c r="U47" s="8"/>
      <c r="V47" s="8"/>
    </row>
    <row r="48" spans="1:22" ht="15" customHeight="1" x14ac:dyDescent="0.3">
      <c r="A48" s="12" t="s">
        <v>59</v>
      </c>
      <c r="B48" s="8">
        <v>783.66873545999965</v>
      </c>
      <c r="C48" s="8">
        <v>567.50193536999973</v>
      </c>
      <c r="D48" s="8">
        <v>686.17381705000014</v>
      </c>
      <c r="E48" s="8">
        <f t="shared" si="36"/>
        <v>2037.3444878799996</v>
      </c>
      <c r="F48" s="8">
        <v>1224.0744971699992</v>
      </c>
      <c r="G48" s="8">
        <v>794.18268125000031</v>
      </c>
      <c r="H48" s="8">
        <v>703.09827061999999</v>
      </c>
      <c r="I48" s="8">
        <f t="shared" si="38"/>
        <v>2721.3554490399993</v>
      </c>
      <c r="J48" s="8">
        <f t="shared" si="3"/>
        <v>4758.6999369199984</v>
      </c>
      <c r="K48" s="8">
        <v>795.56998310999961</v>
      </c>
      <c r="L48" s="8">
        <v>882.70434101000001</v>
      </c>
      <c r="M48" s="8">
        <v>706.50190038999983</v>
      </c>
      <c r="N48" s="8">
        <f t="shared" si="40"/>
        <v>2384.7762245099993</v>
      </c>
      <c r="O48" s="8">
        <v>814.90977337000027</v>
      </c>
      <c r="P48" s="8">
        <v>994.28295641000125</v>
      </c>
      <c r="Q48" s="8">
        <v>777.31458697140226</v>
      </c>
      <c r="R48" s="8">
        <f t="shared" si="42"/>
        <v>2586.5073167514038</v>
      </c>
      <c r="S48" s="8">
        <f t="shared" si="6"/>
        <v>4971.2835412614031</v>
      </c>
      <c r="T48" s="8">
        <f t="shared" si="43"/>
        <v>9729.9834781814025</v>
      </c>
      <c r="U48" s="8"/>
      <c r="V48" s="8"/>
    </row>
    <row r="49" spans="1:22" ht="15" customHeight="1" x14ac:dyDescent="0.3">
      <c r="A49" s="12" t="s">
        <v>60</v>
      </c>
      <c r="B49" s="8">
        <v>316.04192079000006</v>
      </c>
      <c r="C49" s="8">
        <v>261.73508416000004</v>
      </c>
      <c r="D49" s="8">
        <v>277.92884278999998</v>
      </c>
      <c r="E49" s="8">
        <f t="shared" si="36"/>
        <v>855.70584774000008</v>
      </c>
      <c r="F49" s="8">
        <v>431.18199337000004</v>
      </c>
      <c r="G49" s="8">
        <v>357.16359280000006</v>
      </c>
      <c r="H49" s="8">
        <v>314.15198541000001</v>
      </c>
      <c r="I49" s="8">
        <f t="shared" si="38"/>
        <v>1102.4975715800001</v>
      </c>
      <c r="J49" s="8">
        <f t="shared" si="3"/>
        <v>1958.2034193200002</v>
      </c>
      <c r="K49" s="8">
        <v>276.53614683999996</v>
      </c>
      <c r="L49" s="8">
        <v>337.83435894000007</v>
      </c>
      <c r="M49" s="8">
        <v>345.53897903000006</v>
      </c>
      <c r="N49" s="8">
        <f t="shared" si="40"/>
        <v>959.90948481000009</v>
      </c>
      <c r="O49" s="8">
        <v>274.03065846999999</v>
      </c>
      <c r="P49" s="8">
        <v>359.28310700999998</v>
      </c>
      <c r="Q49" s="8">
        <v>309.68203272937825</v>
      </c>
      <c r="R49" s="8">
        <f t="shared" si="42"/>
        <v>942.99579820937834</v>
      </c>
      <c r="S49" s="8">
        <f t="shared" si="6"/>
        <v>1902.9052830193784</v>
      </c>
      <c r="T49" s="8">
        <f t="shared" si="43"/>
        <v>3861.1087023393784</v>
      </c>
      <c r="U49" s="8"/>
      <c r="V49" s="8"/>
    </row>
    <row r="50" spans="1:22" ht="18" customHeight="1" x14ac:dyDescent="0.3">
      <c r="A50" s="12" t="s">
        <v>61</v>
      </c>
      <c r="B50" s="8">
        <v>521.39387926999996</v>
      </c>
      <c r="C50" s="8">
        <v>374.41567230999993</v>
      </c>
      <c r="D50" s="8">
        <v>425.62368369000001</v>
      </c>
      <c r="E50" s="8">
        <f t="shared" si="36"/>
        <v>1321.4332352699998</v>
      </c>
      <c r="F50" s="8">
        <v>693.00540657999989</v>
      </c>
      <c r="G50" s="8">
        <v>519.23132401999987</v>
      </c>
      <c r="H50" s="8">
        <v>481.65283400000004</v>
      </c>
      <c r="I50" s="8">
        <f t="shared" si="38"/>
        <v>1693.8895645999996</v>
      </c>
      <c r="J50" s="8">
        <f t="shared" si="3"/>
        <v>3015.3227998699995</v>
      </c>
      <c r="K50" s="8">
        <v>517.31878303000008</v>
      </c>
      <c r="L50" s="8">
        <v>536.49768928000015</v>
      </c>
      <c r="M50" s="8">
        <v>480.10530280000006</v>
      </c>
      <c r="N50" s="8">
        <f t="shared" si="40"/>
        <v>1533.9217751100005</v>
      </c>
      <c r="O50" s="8">
        <v>476.52736328000009</v>
      </c>
      <c r="P50" s="8">
        <v>520.40695901000004</v>
      </c>
      <c r="Q50" s="8">
        <v>537.24665154857826</v>
      </c>
      <c r="R50" s="8">
        <f t="shared" si="42"/>
        <v>1534.1809738385784</v>
      </c>
      <c r="S50" s="8">
        <f t="shared" si="6"/>
        <v>3068.1027489485787</v>
      </c>
      <c r="T50" s="8">
        <f t="shared" si="43"/>
        <v>6083.4255488185781</v>
      </c>
      <c r="U50" s="8"/>
      <c r="V50" s="8"/>
    </row>
    <row r="51" spans="1:22" ht="15" customHeight="1" x14ac:dyDescent="0.3">
      <c r="A51" s="12" t="s">
        <v>62</v>
      </c>
      <c r="B51" s="8">
        <v>235.48743391000002</v>
      </c>
      <c r="C51" s="8">
        <v>170.63842593999999</v>
      </c>
      <c r="D51" s="8">
        <v>212.76596601</v>
      </c>
      <c r="E51" s="8">
        <f t="shared" si="36"/>
        <v>618.89182585999993</v>
      </c>
      <c r="F51" s="8">
        <v>341.28515493999998</v>
      </c>
      <c r="G51" s="8">
        <v>232.78133277000003</v>
      </c>
      <c r="H51" s="8">
        <v>250.12863963999999</v>
      </c>
      <c r="I51" s="8">
        <f t="shared" si="38"/>
        <v>824.19512735000001</v>
      </c>
      <c r="J51" s="8">
        <f t="shared" si="3"/>
        <v>1443.08695321</v>
      </c>
      <c r="K51" s="8">
        <v>238.51573439000003</v>
      </c>
      <c r="L51" s="8">
        <v>242.49379710999995</v>
      </c>
      <c r="M51" s="8">
        <v>231.14714995</v>
      </c>
      <c r="N51" s="8">
        <f t="shared" si="40"/>
        <v>712.15668144999995</v>
      </c>
      <c r="O51" s="8">
        <v>219.97436729</v>
      </c>
      <c r="P51" s="8">
        <v>285.43178296000008</v>
      </c>
      <c r="Q51" s="8">
        <v>206.37529335138282</v>
      </c>
      <c r="R51" s="8">
        <f t="shared" si="42"/>
        <v>711.78144360138299</v>
      </c>
      <c r="S51" s="8">
        <f t="shared" si="6"/>
        <v>1423.9381250513829</v>
      </c>
      <c r="T51" s="8">
        <f t="shared" si="43"/>
        <v>2867.025078261383</v>
      </c>
      <c r="U51" s="8"/>
      <c r="V51" s="8"/>
    </row>
    <row r="52" spans="1:22" ht="18" customHeight="1" x14ac:dyDescent="0.3">
      <c r="A52" s="12" t="s">
        <v>63</v>
      </c>
      <c r="B52" s="8">
        <v>135.73797124999993</v>
      </c>
      <c r="C52" s="8">
        <v>125.02451781000005</v>
      </c>
      <c r="D52" s="8">
        <v>165.61323234000005</v>
      </c>
      <c r="E52" s="8">
        <f t="shared" si="36"/>
        <v>426.37572140000009</v>
      </c>
      <c r="F52" s="8">
        <v>333.03239663999994</v>
      </c>
      <c r="G52" s="8">
        <v>226.54153471000006</v>
      </c>
      <c r="H52" s="8">
        <v>155.89945984999997</v>
      </c>
      <c r="I52" s="8">
        <f t="shared" si="38"/>
        <v>715.47339120000004</v>
      </c>
      <c r="J52" s="8">
        <f t="shared" si="3"/>
        <v>1141.8491126000001</v>
      </c>
      <c r="K52" s="8">
        <v>148.36135832000008</v>
      </c>
      <c r="L52" s="8">
        <v>269.81014170000003</v>
      </c>
      <c r="M52" s="8">
        <v>150.62610082999998</v>
      </c>
      <c r="N52" s="8">
        <f t="shared" si="40"/>
        <v>568.79760085000009</v>
      </c>
      <c r="O52" s="8">
        <v>153.94468858999994</v>
      </c>
      <c r="P52" s="8">
        <v>202.39347777000012</v>
      </c>
      <c r="Q52" s="8">
        <v>115.40590466899346</v>
      </c>
      <c r="R52" s="8">
        <f t="shared" si="42"/>
        <v>471.74407102899352</v>
      </c>
      <c r="S52" s="8">
        <f t="shared" si="6"/>
        <v>1040.5416718789936</v>
      </c>
      <c r="T52" s="8">
        <f t="shared" si="43"/>
        <v>2182.3907844789937</v>
      </c>
      <c r="U52" s="8"/>
      <c r="V52" s="8"/>
    </row>
    <row r="53" spans="1:22" ht="15" customHeight="1" x14ac:dyDescent="0.3">
      <c r="A53" s="12" t="s">
        <v>64</v>
      </c>
      <c r="B53" s="8">
        <v>493.72884092000004</v>
      </c>
      <c r="C53" s="8">
        <v>373.2439890400002</v>
      </c>
      <c r="D53" s="8">
        <v>509.00479063000023</v>
      </c>
      <c r="E53" s="8">
        <f t="shared" si="36"/>
        <v>1375.9776205900005</v>
      </c>
      <c r="F53" s="8">
        <v>824.9870478899993</v>
      </c>
      <c r="G53" s="8">
        <v>559.6649742200002</v>
      </c>
      <c r="H53" s="8">
        <v>516.84960765999938</v>
      </c>
      <c r="I53" s="8">
        <f t="shared" si="38"/>
        <v>1901.501629769999</v>
      </c>
      <c r="J53" s="8">
        <f t="shared" si="3"/>
        <v>3277.4792503599992</v>
      </c>
      <c r="K53" s="8">
        <v>520.44720631999996</v>
      </c>
      <c r="L53" s="8">
        <v>716.73880680000002</v>
      </c>
      <c r="M53" s="8">
        <v>432.29565687999985</v>
      </c>
      <c r="N53" s="8">
        <f t="shared" si="40"/>
        <v>1669.4816699999999</v>
      </c>
      <c r="O53" s="8">
        <v>472.41615302999998</v>
      </c>
      <c r="P53" s="8">
        <v>663.56766989999926</v>
      </c>
      <c r="Q53" s="8">
        <v>583.90382171562464</v>
      </c>
      <c r="R53" s="8">
        <f t="shared" si="42"/>
        <v>1719.8876446456238</v>
      </c>
      <c r="S53" s="8">
        <f t="shared" si="6"/>
        <v>3389.3693146456235</v>
      </c>
      <c r="T53" s="8">
        <f t="shared" si="43"/>
        <v>6666.8485650056227</v>
      </c>
      <c r="U53" s="8"/>
      <c r="V53" s="8"/>
    </row>
    <row r="54" spans="1:22" ht="15" customHeight="1" x14ac:dyDescent="0.3">
      <c r="A54" s="12" t="s">
        <v>65</v>
      </c>
      <c r="B54" s="8">
        <v>233.70568535000001</v>
      </c>
      <c r="C54" s="8">
        <v>87.447981710000008</v>
      </c>
      <c r="D54" s="8">
        <v>91.654626500000006</v>
      </c>
      <c r="E54" s="8">
        <f t="shared" si="36"/>
        <v>412.80829356000004</v>
      </c>
      <c r="F54" s="8">
        <v>166.40030005999998</v>
      </c>
      <c r="G54" s="8">
        <v>122.49786128999995</v>
      </c>
      <c r="H54" s="8">
        <v>121.50046356999998</v>
      </c>
      <c r="I54" s="8">
        <f t="shared" si="38"/>
        <v>410.39862491999986</v>
      </c>
      <c r="J54" s="8">
        <f t="shared" si="3"/>
        <v>823.2069184799999</v>
      </c>
      <c r="K54" s="8">
        <v>139.34635621999993</v>
      </c>
      <c r="L54" s="8">
        <v>115.73446465000004</v>
      </c>
      <c r="M54" s="8">
        <v>105.41763343000002</v>
      </c>
      <c r="N54" s="8">
        <f t="shared" si="40"/>
        <v>360.49845429999999</v>
      </c>
      <c r="O54" s="8">
        <v>124.96277501999997</v>
      </c>
      <c r="P54" s="8">
        <v>117.71869476000002</v>
      </c>
      <c r="Q54" s="8">
        <v>118.23906792391104</v>
      </c>
      <c r="R54" s="8">
        <f t="shared" si="42"/>
        <v>360.92053770391101</v>
      </c>
      <c r="S54" s="8">
        <f t="shared" si="6"/>
        <v>721.41899200391094</v>
      </c>
      <c r="T54" s="8">
        <f t="shared" si="43"/>
        <v>1544.625910483911</v>
      </c>
      <c r="U54" s="8"/>
      <c r="V54" s="8"/>
    </row>
    <row r="55" spans="1:22" s="10" customFormat="1" ht="15" customHeight="1" x14ac:dyDescent="0.3">
      <c r="A55" s="3"/>
      <c r="B55" s="11"/>
      <c r="C55" s="11"/>
      <c r="D55" s="11"/>
      <c r="E55" s="11"/>
      <c r="F55" s="11"/>
      <c r="G55" s="11"/>
      <c r="H55" s="11"/>
      <c r="I55" s="11"/>
      <c r="J55" s="11"/>
      <c r="K55" s="11"/>
      <c r="L55" s="11"/>
      <c r="M55" s="11"/>
      <c r="N55" s="11"/>
      <c r="O55" s="11"/>
      <c r="P55" s="11"/>
      <c r="Q55" s="11"/>
      <c r="R55" s="11"/>
      <c r="S55" s="11"/>
      <c r="T55" s="11"/>
      <c r="U55" s="11"/>
      <c r="V55" s="11"/>
    </row>
    <row r="56" spans="1:22" s="10" customFormat="1" ht="15" customHeight="1" x14ac:dyDescent="0.25">
      <c r="A56" s="10" t="s">
        <v>66</v>
      </c>
      <c r="B56" s="11">
        <f>SUM(B57:B62)</f>
        <v>4359.178750250001</v>
      </c>
      <c r="C56" s="11">
        <f t="shared" ref="C56:D56" si="44">SUM(C57:C62)</f>
        <v>3417.2910541900001</v>
      </c>
      <c r="D56" s="11">
        <f t="shared" si="44"/>
        <v>3792.4554575799998</v>
      </c>
      <c r="E56" s="11">
        <f t="shared" ref="E56:E62" si="45">SUM(B56:D56)</f>
        <v>11568.92526202</v>
      </c>
      <c r="F56" s="11">
        <f t="shared" ref="F56:H56" si="46">SUM(F57:F62)</f>
        <v>6543.7393241399986</v>
      </c>
      <c r="G56" s="11">
        <f t="shared" si="46"/>
        <v>4672.77052946</v>
      </c>
      <c r="H56" s="11">
        <f t="shared" si="46"/>
        <v>4179.6210427900005</v>
      </c>
      <c r="I56" s="11">
        <f t="shared" ref="I56:I62" si="47">SUM(F56:H56)</f>
        <v>15396.130896389999</v>
      </c>
      <c r="J56" s="11">
        <f t="shared" si="3"/>
        <v>26965.05615841</v>
      </c>
      <c r="K56" s="11">
        <f t="shared" ref="K56:M56" si="48">SUM(K57:K62)</f>
        <v>4344.5501969800007</v>
      </c>
      <c r="L56" s="11">
        <f t="shared" si="48"/>
        <v>5184.1949993700009</v>
      </c>
      <c r="M56" s="11">
        <f t="shared" si="48"/>
        <v>3960.4610799500001</v>
      </c>
      <c r="N56" s="11">
        <f t="shared" ref="N56:N62" si="49">SUM(K56:M56)</f>
        <v>13489.206276300003</v>
      </c>
      <c r="O56" s="11">
        <f t="shared" ref="O56:Q56" si="50">SUM(O57:O62)</f>
        <v>4458.0889589999997</v>
      </c>
      <c r="P56" s="11">
        <f t="shared" si="50"/>
        <v>5314.0193901500033</v>
      </c>
      <c r="Q56" s="11">
        <f t="shared" si="50"/>
        <v>4394.9328388705044</v>
      </c>
      <c r="R56" s="11">
        <f t="shared" ref="R56:R62" si="51">SUM(O56:Q56)</f>
        <v>14167.041188020507</v>
      </c>
      <c r="S56" s="11">
        <f t="shared" si="6"/>
        <v>27656.24746432051</v>
      </c>
      <c r="T56" s="11">
        <f t="shared" ref="T56:T62" si="52">+J56+S56</f>
        <v>54621.303622730513</v>
      </c>
      <c r="U56" s="11"/>
      <c r="V56" s="11"/>
    </row>
    <row r="57" spans="1:22" ht="15" customHeight="1" x14ac:dyDescent="0.3">
      <c r="A57" s="12" t="s">
        <v>67</v>
      </c>
      <c r="B57" s="8">
        <v>831.83207288999995</v>
      </c>
      <c r="C57" s="8">
        <v>598.57740928000044</v>
      </c>
      <c r="D57" s="8">
        <v>800.38565637999966</v>
      </c>
      <c r="E57" s="8">
        <f t="shared" si="45"/>
        <v>2230.79513855</v>
      </c>
      <c r="F57" s="8">
        <v>1351.5518909799994</v>
      </c>
      <c r="G57" s="8">
        <v>989.11483622000083</v>
      </c>
      <c r="H57" s="8">
        <v>842.09301488000028</v>
      </c>
      <c r="I57" s="8">
        <f t="shared" si="47"/>
        <v>3182.7597420800007</v>
      </c>
      <c r="J57" s="8">
        <f t="shared" si="3"/>
        <v>5413.5548806300012</v>
      </c>
      <c r="K57" s="8">
        <v>829.80474385000025</v>
      </c>
      <c r="L57" s="8">
        <v>1036.7529358300003</v>
      </c>
      <c r="M57" s="8">
        <v>821.50044700000012</v>
      </c>
      <c r="N57" s="8">
        <f t="shared" si="49"/>
        <v>2688.0581266800009</v>
      </c>
      <c r="O57" s="8">
        <v>796.90894139000011</v>
      </c>
      <c r="P57" s="8">
        <v>1031.2864535900007</v>
      </c>
      <c r="Q57" s="8">
        <v>818.48617210265149</v>
      </c>
      <c r="R57" s="8">
        <f t="shared" si="51"/>
        <v>2646.6815670826522</v>
      </c>
      <c r="S57" s="8">
        <f t="shared" si="6"/>
        <v>5334.7396937626527</v>
      </c>
      <c r="T57" s="8">
        <f t="shared" si="52"/>
        <v>10748.294574392654</v>
      </c>
      <c r="U57" s="8"/>
      <c r="V57" s="8"/>
    </row>
    <row r="58" spans="1:22" ht="15" customHeight="1" x14ac:dyDescent="0.3">
      <c r="A58" s="12" t="s">
        <v>68</v>
      </c>
      <c r="B58" s="8">
        <v>1205.9081615799998</v>
      </c>
      <c r="C58" s="8">
        <v>1121.5191025700001</v>
      </c>
      <c r="D58" s="8">
        <v>1109.7605726300001</v>
      </c>
      <c r="E58" s="8">
        <f t="shared" si="45"/>
        <v>3437.18783678</v>
      </c>
      <c r="F58" s="8">
        <v>1890.2904985599998</v>
      </c>
      <c r="G58" s="8">
        <v>1306.7408272699986</v>
      </c>
      <c r="H58" s="8">
        <v>1160.3258445399997</v>
      </c>
      <c r="I58" s="8">
        <f t="shared" si="47"/>
        <v>4357.3571703699981</v>
      </c>
      <c r="J58" s="8">
        <f t="shared" si="3"/>
        <v>7794.5450071499981</v>
      </c>
      <c r="K58" s="8">
        <v>1294.7065693799996</v>
      </c>
      <c r="L58" s="8">
        <v>1447.54060028</v>
      </c>
      <c r="M58" s="8">
        <v>1127.4982264899998</v>
      </c>
      <c r="N58" s="8">
        <f t="shared" si="49"/>
        <v>3869.7453961499996</v>
      </c>
      <c r="O58" s="8">
        <v>1288.9600078199999</v>
      </c>
      <c r="P58" s="8">
        <v>1438.3015518700022</v>
      </c>
      <c r="Q58" s="8">
        <v>1383.3409921200196</v>
      </c>
      <c r="R58" s="8">
        <f t="shared" si="51"/>
        <v>4110.6025518100214</v>
      </c>
      <c r="S58" s="8">
        <f t="shared" si="6"/>
        <v>7980.347947960021</v>
      </c>
      <c r="T58" s="8">
        <f t="shared" si="52"/>
        <v>15774.892955110019</v>
      </c>
      <c r="U58" s="8"/>
      <c r="V58" s="8"/>
    </row>
    <row r="59" spans="1:22" ht="15" customHeight="1" x14ac:dyDescent="0.3">
      <c r="A59" s="12" t="s">
        <v>69</v>
      </c>
      <c r="B59" s="8">
        <v>1700.0863006500012</v>
      </c>
      <c r="C59" s="8">
        <v>1182.6057502299998</v>
      </c>
      <c r="D59" s="8">
        <v>1245.9954066500004</v>
      </c>
      <c r="E59" s="8">
        <f t="shared" si="45"/>
        <v>4128.6874575300017</v>
      </c>
      <c r="F59" s="8">
        <v>2455.0589110900005</v>
      </c>
      <c r="G59" s="8">
        <v>1758.0284754900003</v>
      </c>
      <c r="H59" s="8">
        <v>1520.1123143200002</v>
      </c>
      <c r="I59" s="8">
        <f t="shared" si="47"/>
        <v>5733.1997009000006</v>
      </c>
      <c r="J59" s="8">
        <f t="shared" si="3"/>
        <v>9861.8871584300032</v>
      </c>
      <c r="K59" s="8">
        <v>1618.2250253200004</v>
      </c>
      <c r="L59" s="8">
        <v>2006.3590956499993</v>
      </c>
      <c r="M59" s="8">
        <v>1457.6585687800002</v>
      </c>
      <c r="N59" s="8">
        <f t="shared" si="49"/>
        <v>5082.24268975</v>
      </c>
      <c r="O59" s="8">
        <v>1742.7584105299991</v>
      </c>
      <c r="P59" s="8">
        <v>2113.5356400400005</v>
      </c>
      <c r="Q59" s="8">
        <v>1586.608876382197</v>
      </c>
      <c r="R59" s="8">
        <f t="shared" si="51"/>
        <v>5442.902926952197</v>
      </c>
      <c r="S59" s="8">
        <f t="shared" si="6"/>
        <v>10525.145616702197</v>
      </c>
      <c r="T59" s="8">
        <f t="shared" si="52"/>
        <v>20387.0327751322</v>
      </c>
      <c r="U59" s="8"/>
      <c r="V59" s="8"/>
    </row>
    <row r="60" spans="1:22" ht="15" customHeight="1" x14ac:dyDescent="0.3">
      <c r="A60" s="12" t="s">
        <v>70</v>
      </c>
      <c r="B60" s="8">
        <v>47.273570319999983</v>
      </c>
      <c r="C60" s="8">
        <v>27.408117180000016</v>
      </c>
      <c r="D60" s="8">
        <v>55.200504039999977</v>
      </c>
      <c r="E60" s="8">
        <f t="shared" si="45"/>
        <v>129.88219153999998</v>
      </c>
      <c r="F60" s="8">
        <v>59.968068999999979</v>
      </c>
      <c r="G60" s="8">
        <v>35.995408849999976</v>
      </c>
      <c r="H60" s="8">
        <v>62.037594390000002</v>
      </c>
      <c r="I60" s="8">
        <f t="shared" si="47"/>
        <v>158.00107223999996</v>
      </c>
      <c r="J60" s="8">
        <f t="shared" si="3"/>
        <v>287.88326377999994</v>
      </c>
      <c r="K60" s="8">
        <v>39.652659460000002</v>
      </c>
      <c r="L60" s="8">
        <v>44.863243179999998</v>
      </c>
      <c r="M60" s="8">
        <v>37.664617819999989</v>
      </c>
      <c r="N60" s="8">
        <f t="shared" si="49"/>
        <v>122.18052046</v>
      </c>
      <c r="O60" s="8">
        <v>68.650728490000006</v>
      </c>
      <c r="P60" s="8">
        <v>58.676258019999999</v>
      </c>
      <c r="Q60" s="8">
        <v>41.761922058498833</v>
      </c>
      <c r="R60" s="8">
        <f t="shared" si="51"/>
        <v>169.08890856849885</v>
      </c>
      <c r="S60" s="8">
        <f t="shared" si="6"/>
        <v>291.26942902849885</v>
      </c>
      <c r="T60" s="8">
        <f t="shared" si="52"/>
        <v>579.15269280849884</v>
      </c>
      <c r="U60" s="8"/>
      <c r="V60" s="8"/>
    </row>
    <row r="61" spans="1:22" ht="18" customHeight="1" x14ac:dyDescent="0.3">
      <c r="A61" s="12" t="s">
        <v>71</v>
      </c>
      <c r="B61" s="8">
        <v>314.48430558999979</v>
      </c>
      <c r="C61" s="8">
        <v>285.70780250000007</v>
      </c>
      <c r="D61" s="8">
        <v>346.56619100999995</v>
      </c>
      <c r="E61" s="8">
        <f t="shared" si="45"/>
        <v>946.75829909999993</v>
      </c>
      <c r="F61" s="8">
        <v>444.18802321000038</v>
      </c>
      <c r="G61" s="8">
        <v>326.40710627000033</v>
      </c>
      <c r="H61" s="8">
        <v>345.5567498499999</v>
      </c>
      <c r="I61" s="8">
        <f t="shared" si="47"/>
        <v>1116.1518793300006</v>
      </c>
      <c r="J61" s="8">
        <f t="shared" si="3"/>
        <v>2062.9101784300005</v>
      </c>
      <c r="K61" s="8">
        <v>310.17351947000009</v>
      </c>
      <c r="L61" s="8">
        <v>369.92406159000041</v>
      </c>
      <c r="M61" s="8">
        <v>285.85881258999996</v>
      </c>
      <c r="N61" s="8">
        <f t="shared" si="49"/>
        <v>965.95639365000045</v>
      </c>
      <c r="O61" s="8">
        <v>299.11540570000005</v>
      </c>
      <c r="P61" s="8">
        <v>383.29866505000001</v>
      </c>
      <c r="Q61" s="8">
        <v>305.97817799934205</v>
      </c>
      <c r="R61" s="8">
        <f t="shared" si="51"/>
        <v>988.39224874934212</v>
      </c>
      <c r="S61" s="8">
        <f t="shared" si="6"/>
        <v>1954.3486423993427</v>
      </c>
      <c r="T61" s="8">
        <f t="shared" si="52"/>
        <v>4017.2588208293432</v>
      </c>
      <c r="U61" s="8"/>
      <c r="V61" s="8"/>
    </row>
    <row r="62" spans="1:22" ht="18" customHeight="1" x14ac:dyDescent="0.3">
      <c r="A62" s="12" t="s">
        <v>72</v>
      </c>
      <c r="B62" s="8">
        <v>259.59433922000011</v>
      </c>
      <c r="C62" s="8">
        <v>201.47287242999997</v>
      </c>
      <c r="D62" s="8">
        <v>234.54712686999989</v>
      </c>
      <c r="E62" s="8">
        <f t="shared" si="45"/>
        <v>695.61433852000005</v>
      </c>
      <c r="F62" s="8">
        <v>342.68193129999986</v>
      </c>
      <c r="G62" s="8">
        <v>256.48387536000007</v>
      </c>
      <c r="H62" s="8">
        <v>249.49552481000023</v>
      </c>
      <c r="I62" s="8">
        <f t="shared" si="47"/>
        <v>848.66133147000016</v>
      </c>
      <c r="J62" s="8">
        <f t="shared" si="3"/>
        <v>1544.2756699900001</v>
      </c>
      <c r="K62" s="8">
        <v>251.98767950000024</v>
      </c>
      <c r="L62" s="8">
        <v>278.75506284000005</v>
      </c>
      <c r="M62" s="8">
        <v>230.28040726999993</v>
      </c>
      <c r="N62" s="8">
        <f t="shared" si="49"/>
        <v>761.02314961000025</v>
      </c>
      <c r="O62" s="8">
        <v>261.6954650699999</v>
      </c>
      <c r="P62" s="8">
        <v>288.92082158000028</v>
      </c>
      <c r="Q62" s="8">
        <v>258.7566982077953</v>
      </c>
      <c r="R62" s="8">
        <f t="shared" si="51"/>
        <v>809.37298485779547</v>
      </c>
      <c r="S62" s="8">
        <f t="shared" si="6"/>
        <v>1570.3961344677957</v>
      </c>
      <c r="T62" s="8">
        <f t="shared" si="52"/>
        <v>3114.6718044577956</v>
      </c>
      <c r="U62" s="8"/>
      <c r="V62" s="8"/>
    </row>
    <row r="63" spans="1:22" s="10" customFormat="1" ht="15" customHeight="1" x14ac:dyDescent="0.3">
      <c r="A63" s="3"/>
      <c r="B63" s="11"/>
      <c r="C63" s="11"/>
      <c r="D63" s="11"/>
      <c r="E63" s="11"/>
      <c r="F63" s="11"/>
      <c r="G63" s="11"/>
      <c r="H63" s="11"/>
      <c r="I63" s="11"/>
      <c r="J63" s="11"/>
      <c r="K63" s="11"/>
      <c r="L63" s="11"/>
      <c r="M63" s="11"/>
      <c r="N63" s="11"/>
      <c r="O63" s="11"/>
      <c r="P63" s="11"/>
      <c r="Q63" s="11"/>
      <c r="R63" s="11"/>
      <c r="S63" s="11"/>
      <c r="T63" s="11"/>
      <c r="U63" s="11"/>
      <c r="V63" s="11"/>
    </row>
    <row r="64" spans="1:22" s="10" customFormat="1" ht="15" customHeight="1" x14ac:dyDescent="0.25">
      <c r="A64" s="10" t="s">
        <v>73</v>
      </c>
      <c r="B64" s="11">
        <f>SUM(B65:B69)</f>
        <v>430.8121223199999</v>
      </c>
      <c r="C64" s="11">
        <f t="shared" ref="C64:D64" si="53">SUM(C65:C69)</f>
        <v>316.2379320500001</v>
      </c>
      <c r="D64" s="11">
        <f t="shared" si="53"/>
        <v>346.37432832999997</v>
      </c>
      <c r="E64" s="11">
        <f t="shared" ref="E64:E69" si="54">SUM(B64:D64)</f>
        <v>1093.4243827</v>
      </c>
      <c r="F64" s="11">
        <f t="shared" ref="F64:H64" si="55">SUM(F65:F69)</f>
        <v>672.91166381999983</v>
      </c>
      <c r="G64" s="11">
        <f t="shared" si="55"/>
        <v>407.58620069999995</v>
      </c>
      <c r="H64" s="11">
        <f t="shared" si="55"/>
        <v>404.71233553000002</v>
      </c>
      <c r="I64" s="11">
        <f t="shared" ref="I64:I69" si="56">SUM(F64:H64)</f>
        <v>1485.2102000499999</v>
      </c>
      <c r="J64" s="11">
        <f t="shared" si="3"/>
        <v>2578.6345827499999</v>
      </c>
      <c r="K64" s="11">
        <f t="shared" ref="K64:M64" si="57">SUM(K65:K69)</f>
        <v>450.99198848999998</v>
      </c>
      <c r="L64" s="11">
        <f t="shared" si="57"/>
        <v>522.15723387999992</v>
      </c>
      <c r="M64" s="11">
        <f t="shared" si="57"/>
        <v>423.38822960999994</v>
      </c>
      <c r="N64" s="11">
        <f t="shared" ref="N64:N69" si="58">SUM(K64:M64)</f>
        <v>1396.5374519799998</v>
      </c>
      <c r="O64" s="11">
        <f t="shared" ref="O64:Q64" si="59">SUM(O65:O69)</f>
        <v>443.50970316000007</v>
      </c>
      <c r="P64" s="11">
        <f t="shared" si="59"/>
        <v>486.40134290999993</v>
      </c>
      <c r="Q64" s="11">
        <f t="shared" si="59"/>
        <v>482.74273162955296</v>
      </c>
      <c r="R64" s="11">
        <f t="shared" ref="R64:R69" si="60">SUM(O64:Q64)</f>
        <v>1412.6537776995528</v>
      </c>
      <c r="S64" s="11">
        <f t="shared" si="6"/>
        <v>2809.1912296795526</v>
      </c>
      <c r="T64" s="11">
        <f t="shared" ref="T64:T69" si="61">+J64+S64</f>
        <v>5387.8258124295526</v>
      </c>
      <c r="U64" s="11"/>
      <c r="V64" s="11"/>
    </row>
    <row r="65" spans="1:22" ht="15" customHeight="1" x14ac:dyDescent="0.3">
      <c r="A65" s="12" t="s">
        <v>74</v>
      </c>
      <c r="B65" s="8">
        <v>28.657735219999999</v>
      </c>
      <c r="C65" s="8">
        <v>14.594067110000003</v>
      </c>
      <c r="D65" s="8">
        <v>18.283060840000005</v>
      </c>
      <c r="E65" s="8">
        <f t="shared" si="54"/>
        <v>61.534863170000008</v>
      </c>
      <c r="F65" s="8">
        <v>24.32107564</v>
      </c>
      <c r="G65" s="8">
        <v>18.934631989999996</v>
      </c>
      <c r="H65" s="8">
        <v>25.541565709999997</v>
      </c>
      <c r="I65" s="8">
        <f t="shared" si="56"/>
        <v>68.79727333999999</v>
      </c>
      <c r="J65" s="8">
        <f t="shared" si="3"/>
        <v>130.33213651</v>
      </c>
      <c r="K65" s="8">
        <v>17.559796379999998</v>
      </c>
      <c r="L65" s="8">
        <v>22.709901719999991</v>
      </c>
      <c r="M65" s="8">
        <v>19.349171919999993</v>
      </c>
      <c r="N65" s="8">
        <f t="shared" si="58"/>
        <v>59.618870019999974</v>
      </c>
      <c r="O65" s="8">
        <v>26.994394210000003</v>
      </c>
      <c r="P65" s="8">
        <v>22.886231369999997</v>
      </c>
      <c r="Q65" s="8">
        <v>23.506070844154216</v>
      </c>
      <c r="R65" s="8">
        <f t="shared" si="60"/>
        <v>73.386696424154223</v>
      </c>
      <c r="S65" s="8">
        <f t="shared" si="6"/>
        <v>133.0055664441542</v>
      </c>
      <c r="T65" s="8">
        <f t="shared" si="61"/>
        <v>263.33770295415422</v>
      </c>
      <c r="U65" s="8"/>
      <c r="V65" s="8"/>
    </row>
    <row r="66" spans="1:22" ht="15" customHeight="1" x14ac:dyDescent="0.3">
      <c r="A66" s="12" t="s">
        <v>75</v>
      </c>
      <c r="B66" s="8">
        <v>51.945977130000003</v>
      </c>
      <c r="C66" s="8">
        <v>37.80946294000001</v>
      </c>
      <c r="D66" s="8">
        <v>54.050767459999996</v>
      </c>
      <c r="E66" s="8">
        <f t="shared" si="54"/>
        <v>143.80620753000002</v>
      </c>
      <c r="F66" s="8">
        <v>50.66515566999999</v>
      </c>
      <c r="G66" s="8">
        <v>55.531993870000015</v>
      </c>
      <c r="H66" s="8">
        <v>53.243290250000001</v>
      </c>
      <c r="I66" s="8">
        <f t="shared" si="56"/>
        <v>159.44043979</v>
      </c>
      <c r="J66" s="8">
        <f t="shared" si="3"/>
        <v>303.24664732000002</v>
      </c>
      <c r="K66" s="8">
        <v>43.940521199999985</v>
      </c>
      <c r="L66" s="8">
        <v>54.777041510000004</v>
      </c>
      <c r="M66" s="8">
        <v>47.411250550000013</v>
      </c>
      <c r="N66" s="8">
        <f t="shared" si="58"/>
        <v>146.12881325999999</v>
      </c>
      <c r="O66" s="8">
        <v>53.193635139999998</v>
      </c>
      <c r="P66" s="8">
        <v>38.804014990000013</v>
      </c>
      <c r="Q66" s="8">
        <v>66.435076804384309</v>
      </c>
      <c r="R66" s="8">
        <f t="shared" si="60"/>
        <v>158.43272693438433</v>
      </c>
      <c r="S66" s="8">
        <f t="shared" si="6"/>
        <v>304.56154019438429</v>
      </c>
      <c r="T66" s="8">
        <f t="shared" si="61"/>
        <v>607.80818751438437</v>
      </c>
      <c r="U66" s="8"/>
      <c r="V66" s="8"/>
    </row>
    <row r="67" spans="1:22" ht="15" customHeight="1" x14ac:dyDescent="0.3">
      <c r="A67" s="12" t="s">
        <v>76</v>
      </c>
      <c r="B67" s="8">
        <v>107.01128426999998</v>
      </c>
      <c r="C67" s="8">
        <v>70.978166140000042</v>
      </c>
      <c r="D67" s="8">
        <v>81.187501230000009</v>
      </c>
      <c r="E67" s="8">
        <f t="shared" si="54"/>
        <v>259.17695164000003</v>
      </c>
      <c r="F67" s="8">
        <v>182.61986970999993</v>
      </c>
      <c r="G67" s="8">
        <v>103.51590958000001</v>
      </c>
      <c r="H67" s="8">
        <v>92.333722999999964</v>
      </c>
      <c r="I67" s="8">
        <f t="shared" si="56"/>
        <v>378.46950228999992</v>
      </c>
      <c r="J67" s="8">
        <f t="shared" si="3"/>
        <v>637.64645393000001</v>
      </c>
      <c r="K67" s="8">
        <v>110.37142211000001</v>
      </c>
      <c r="L67" s="8">
        <v>129.23865630999998</v>
      </c>
      <c r="M67" s="8">
        <v>98.634563110000002</v>
      </c>
      <c r="N67" s="8">
        <f t="shared" si="58"/>
        <v>338.24464152999997</v>
      </c>
      <c r="O67" s="8">
        <v>100.57649464000002</v>
      </c>
      <c r="P67" s="8">
        <v>117.48291097999996</v>
      </c>
      <c r="Q67" s="8">
        <v>89.427100282381545</v>
      </c>
      <c r="R67" s="8">
        <f t="shared" si="60"/>
        <v>307.48650590238151</v>
      </c>
      <c r="S67" s="8">
        <f t="shared" si="6"/>
        <v>645.73114743238148</v>
      </c>
      <c r="T67" s="8">
        <f t="shared" si="61"/>
        <v>1283.3776013623815</v>
      </c>
      <c r="U67" s="8"/>
      <c r="V67" s="8"/>
    </row>
    <row r="68" spans="1:22" ht="15" customHeight="1" x14ac:dyDescent="0.3">
      <c r="A68" s="12" t="s">
        <v>77</v>
      </c>
      <c r="B68" s="8">
        <v>211.88177371999996</v>
      </c>
      <c r="C68" s="8">
        <v>162.94743718000004</v>
      </c>
      <c r="D68" s="8">
        <v>167.95533682999994</v>
      </c>
      <c r="E68" s="8">
        <f t="shared" si="54"/>
        <v>542.78454772999999</v>
      </c>
      <c r="F68" s="8">
        <v>384.56776455999994</v>
      </c>
      <c r="G68" s="8">
        <v>194.30365655999995</v>
      </c>
      <c r="H68" s="8">
        <v>207.25485151000004</v>
      </c>
      <c r="I68" s="8">
        <f t="shared" si="56"/>
        <v>786.1262726299999</v>
      </c>
      <c r="J68" s="8">
        <f t="shared" si="3"/>
        <v>1328.9108203599999</v>
      </c>
      <c r="K68" s="8">
        <v>253.54060616999996</v>
      </c>
      <c r="L68" s="8">
        <v>281.72271389999992</v>
      </c>
      <c r="M68" s="8">
        <v>221.43777491999995</v>
      </c>
      <c r="N68" s="8">
        <f t="shared" si="58"/>
        <v>756.70109498999977</v>
      </c>
      <c r="O68" s="8">
        <v>232.73276421000006</v>
      </c>
      <c r="P68" s="8">
        <v>277.76748796999999</v>
      </c>
      <c r="Q68" s="8">
        <v>261.90712197016495</v>
      </c>
      <c r="R68" s="8">
        <f t="shared" si="60"/>
        <v>772.40737415016497</v>
      </c>
      <c r="S68" s="8">
        <f t="shared" si="6"/>
        <v>1529.1084691401647</v>
      </c>
      <c r="T68" s="8">
        <f t="shared" si="61"/>
        <v>2858.0192895001646</v>
      </c>
      <c r="U68" s="8"/>
      <c r="V68" s="8"/>
    </row>
    <row r="69" spans="1:22" ht="15" customHeight="1" x14ac:dyDescent="0.3">
      <c r="A69" s="12" t="s">
        <v>78</v>
      </c>
      <c r="B69" s="8">
        <v>31.315351979999992</v>
      </c>
      <c r="C69" s="8">
        <v>29.908798680000007</v>
      </c>
      <c r="D69" s="8">
        <v>24.897661969999998</v>
      </c>
      <c r="E69" s="8">
        <f t="shared" si="54"/>
        <v>86.121812629999994</v>
      </c>
      <c r="F69" s="8">
        <v>30.737798240000004</v>
      </c>
      <c r="G69" s="8">
        <v>35.300008699999992</v>
      </c>
      <c r="H69" s="8">
        <v>26.338905060000005</v>
      </c>
      <c r="I69" s="8">
        <f t="shared" si="56"/>
        <v>92.376711999999998</v>
      </c>
      <c r="J69" s="8">
        <f t="shared" si="3"/>
        <v>178.49852462999999</v>
      </c>
      <c r="K69" s="8">
        <v>25.579642630000009</v>
      </c>
      <c r="L69" s="8">
        <v>33.70892044</v>
      </c>
      <c r="M69" s="8">
        <v>36.555469110000004</v>
      </c>
      <c r="N69" s="8">
        <f t="shared" si="58"/>
        <v>95.844032180000013</v>
      </c>
      <c r="O69" s="8">
        <v>30.012414959999997</v>
      </c>
      <c r="P69" s="8">
        <v>29.460697600000003</v>
      </c>
      <c r="Q69" s="8">
        <v>41.467361728467935</v>
      </c>
      <c r="R69" s="8">
        <f t="shared" si="60"/>
        <v>100.94047428846794</v>
      </c>
      <c r="S69" s="8">
        <f t="shared" si="6"/>
        <v>196.78450646846795</v>
      </c>
      <c r="T69" s="8">
        <f t="shared" si="61"/>
        <v>375.28303109846797</v>
      </c>
      <c r="U69" s="8"/>
      <c r="V69" s="8"/>
    </row>
    <row r="70" spans="1:22" s="10" customFormat="1" ht="15" customHeight="1" x14ac:dyDescent="0.3">
      <c r="A70" s="3"/>
      <c r="B70" s="11"/>
      <c r="C70" s="11"/>
      <c r="D70" s="11"/>
      <c r="E70" s="11"/>
      <c r="F70" s="11"/>
      <c r="G70" s="11"/>
      <c r="H70" s="11"/>
      <c r="I70" s="11"/>
      <c r="J70" s="11"/>
      <c r="K70" s="11"/>
      <c r="L70" s="11"/>
      <c r="M70" s="11"/>
      <c r="N70" s="11"/>
      <c r="O70" s="11"/>
      <c r="P70" s="11"/>
      <c r="Q70" s="11"/>
      <c r="R70" s="11"/>
      <c r="S70" s="11"/>
      <c r="T70" s="11"/>
      <c r="U70" s="11"/>
      <c r="V70" s="11"/>
    </row>
    <row r="71" spans="1:22" s="10" customFormat="1" ht="15" customHeight="1" x14ac:dyDescent="0.25">
      <c r="A71" s="10" t="s">
        <v>79</v>
      </c>
      <c r="B71" s="11">
        <f>SUM(B72:B77)</f>
        <v>839.37581130000012</v>
      </c>
      <c r="C71" s="11">
        <f t="shared" ref="C71:D71" si="62">SUM(C72:C77)</f>
        <v>562.88610232999997</v>
      </c>
      <c r="D71" s="11">
        <f t="shared" si="62"/>
        <v>631.03160178000007</v>
      </c>
      <c r="E71" s="11">
        <f t="shared" ref="E71:E77" si="63">SUM(B71:D71)</f>
        <v>2033.2935154100001</v>
      </c>
      <c r="F71" s="11">
        <f t="shared" ref="F71:H71" si="64">SUM(F72:F77)</f>
        <v>917.3611417300001</v>
      </c>
      <c r="G71" s="11">
        <f t="shared" si="64"/>
        <v>798.26563278999993</v>
      </c>
      <c r="H71" s="11">
        <f t="shared" si="64"/>
        <v>748.0159133300001</v>
      </c>
      <c r="I71" s="11">
        <f t="shared" ref="I71:I77" si="65">SUM(F71:H71)</f>
        <v>2463.6426878500001</v>
      </c>
      <c r="J71" s="11">
        <f t="shared" si="3"/>
        <v>4496.9362032600002</v>
      </c>
      <c r="K71" s="11">
        <f t="shared" ref="K71:M71" si="66">SUM(K72:K77)</f>
        <v>795.95018967999999</v>
      </c>
      <c r="L71" s="11">
        <f t="shared" si="66"/>
        <v>811.7337057499999</v>
      </c>
      <c r="M71" s="11">
        <f t="shared" si="66"/>
        <v>720.36553318999984</v>
      </c>
      <c r="N71" s="11">
        <f t="shared" ref="N71:N77" si="67">SUM(K71:M71)</f>
        <v>2328.0494286199996</v>
      </c>
      <c r="O71" s="11">
        <f t="shared" ref="O71:Q71" si="68">SUM(O72:O77)</f>
        <v>841.01770060000001</v>
      </c>
      <c r="P71" s="11">
        <f t="shared" si="68"/>
        <v>848.21060276999992</v>
      </c>
      <c r="Q71" s="11">
        <f t="shared" si="68"/>
        <v>709.47265700732862</v>
      </c>
      <c r="R71" s="11">
        <f t="shared" ref="R71:R77" si="69">SUM(O71:Q71)</f>
        <v>2398.7009603773286</v>
      </c>
      <c r="S71" s="11">
        <f t="shared" si="6"/>
        <v>4726.7503889973286</v>
      </c>
      <c r="T71" s="11">
        <f t="shared" ref="T71:T77" si="70">+J71+S71</f>
        <v>9223.6865922573288</v>
      </c>
      <c r="U71" s="11"/>
      <c r="V71" s="11"/>
    </row>
    <row r="72" spans="1:22" ht="15" customHeight="1" x14ac:dyDescent="0.3">
      <c r="A72" s="12" t="s">
        <v>80</v>
      </c>
      <c r="B72" s="8">
        <v>303.11170804000005</v>
      </c>
      <c r="C72" s="8">
        <v>172.23917227000001</v>
      </c>
      <c r="D72" s="8">
        <v>197.8115961</v>
      </c>
      <c r="E72" s="8">
        <f t="shared" si="63"/>
        <v>673.16247641000007</v>
      </c>
      <c r="F72" s="8">
        <v>284.70936477000015</v>
      </c>
      <c r="G72" s="8">
        <v>255.63732555000001</v>
      </c>
      <c r="H72" s="8">
        <v>257.66506052</v>
      </c>
      <c r="I72" s="8">
        <f t="shared" si="65"/>
        <v>798.0117508400001</v>
      </c>
      <c r="J72" s="8">
        <f t="shared" ref="J72:J77" si="71">+E72+I72</f>
        <v>1471.1742272500001</v>
      </c>
      <c r="K72" s="8">
        <v>267.42105414000002</v>
      </c>
      <c r="L72" s="8">
        <v>286.75238159999998</v>
      </c>
      <c r="M72" s="8">
        <v>232.25777110000004</v>
      </c>
      <c r="N72" s="8">
        <f t="shared" si="67"/>
        <v>786.43120684000007</v>
      </c>
      <c r="O72" s="8">
        <v>316.00195322000002</v>
      </c>
      <c r="P72" s="8">
        <v>279.64684691999997</v>
      </c>
      <c r="Q72" s="8">
        <v>222.15795850177082</v>
      </c>
      <c r="R72" s="8">
        <f t="shared" si="69"/>
        <v>817.8067586417709</v>
      </c>
      <c r="S72" s="8">
        <f t="shared" ref="S72:S77" si="72">+N72+R72</f>
        <v>1604.237965481771</v>
      </c>
      <c r="T72" s="8">
        <f t="shared" si="70"/>
        <v>3075.412192731771</v>
      </c>
      <c r="U72" s="8"/>
      <c r="V72" s="8"/>
    </row>
    <row r="73" spans="1:22" ht="15" customHeight="1" x14ac:dyDescent="0.3">
      <c r="A73" s="12" t="s">
        <v>81</v>
      </c>
      <c r="B73" s="8">
        <v>46.869360669999992</v>
      </c>
      <c r="C73" s="8">
        <v>61.029019149999996</v>
      </c>
      <c r="D73" s="8">
        <v>64.336092600000029</v>
      </c>
      <c r="E73" s="8">
        <f t="shared" si="63"/>
        <v>172.23447242000003</v>
      </c>
      <c r="F73" s="8">
        <v>80.739857320000027</v>
      </c>
      <c r="G73" s="8">
        <v>69.339030340000022</v>
      </c>
      <c r="H73" s="8">
        <v>57.511693700000009</v>
      </c>
      <c r="I73" s="8">
        <f t="shared" si="65"/>
        <v>207.59058136000004</v>
      </c>
      <c r="J73" s="8">
        <f t="shared" si="71"/>
        <v>379.82505378000008</v>
      </c>
      <c r="K73" s="8">
        <v>60.408946580000006</v>
      </c>
      <c r="L73" s="8">
        <v>72.046265450000007</v>
      </c>
      <c r="M73" s="8">
        <v>57.684527429999982</v>
      </c>
      <c r="N73" s="8">
        <f t="shared" si="67"/>
        <v>190.13973945999999</v>
      </c>
      <c r="O73" s="8">
        <v>65.900058630000018</v>
      </c>
      <c r="P73" s="8">
        <v>79.024647330000008</v>
      </c>
      <c r="Q73" s="8">
        <v>75.079970576155461</v>
      </c>
      <c r="R73" s="8">
        <f t="shared" si="69"/>
        <v>220.0046765361555</v>
      </c>
      <c r="S73" s="8">
        <f t="shared" si="72"/>
        <v>410.14441599615549</v>
      </c>
      <c r="T73" s="8">
        <f t="shared" si="70"/>
        <v>789.96946977615562</v>
      </c>
      <c r="U73" s="8"/>
      <c r="V73" s="8"/>
    </row>
    <row r="74" spans="1:22" ht="15" customHeight="1" x14ac:dyDescent="0.3">
      <c r="A74" s="12" t="s">
        <v>82</v>
      </c>
      <c r="B74" s="8">
        <v>282.73647898000002</v>
      </c>
      <c r="C74" s="8">
        <v>183.42759047999999</v>
      </c>
      <c r="D74" s="8">
        <v>229.18177672999997</v>
      </c>
      <c r="E74" s="8">
        <f t="shared" si="63"/>
        <v>695.34584618999997</v>
      </c>
      <c r="F74" s="8">
        <v>329.63424880999986</v>
      </c>
      <c r="G74" s="8">
        <v>297.59338249999985</v>
      </c>
      <c r="H74" s="8">
        <v>247.81465018000003</v>
      </c>
      <c r="I74" s="8">
        <f t="shared" si="65"/>
        <v>875.04228148999971</v>
      </c>
      <c r="J74" s="8">
        <f t="shared" si="71"/>
        <v>1570.3881276799998</v>
      </c>
      <c r="K74" s="8">
        <v>280.73739913999987</v>
      </c>
      <c r="L74" s="8">
        <v>257.72323338000001</v>
      </c>
      <c r="M74" s="8">
        <v>258.53020165999993</v>
      </c>
      <c r="N74" s="8">
        <f t="shared" si="67"/>
        <v>796.99083417999987</v>
      </c>
      <c r="O74" s="8">
        <v>283.68895992000006</v>
      </c>
      <c r="P74" s="8">
        <v>294.37544826999988</v>
      </c>
      <c r="Q74" s="8">
        <v>244.01290088866449</v>
      </c>
      <c r="R74" s="8">
        <f t="shared" si="69"/>
        <v>822.07730907866448</v>
      </c>
      <c r="S74" s="8">
        <f t="shared" si="72"/>
        <v>1619.0681432586643</v>
      </c>
      <c r="T74" s="8">
        <f t="shared" si="70"/>
        <v>3189.4562709386641</v>
      </c>
      <c r="U74" s="8"/>
      <c r="V74" s="8"/>
    </row>
    <row r="75" spans="1:22" ht="15" customHeight="1" x14ac:dyDescent="0.3">
      <c r="A75" s="12" t="s">
        <v>83</v>
      </c>
      <c r="B75" s="8">
        <v>36.831379200000001</v>
      </c>
      <c r="C75" s="8">
        <v>26.663099050000003</v>
      </c>
      <c r="D75" s="8">
        <v>30.264217629999994</v>
      </c>
      <c r="E75" s="8">
        <f t="shared" si="63"/>
        <v>93.758695879999991</v>
      </c>
      <c r="F75" s="8">
        <v>43.91412227</v>
      </c>
      <c r="G75" s="8">
        <v>33.297027240000006</v>
      </c>
      <c r="H75" s="8">
        <v>34.384052749999995</v>
      </c>
      <c r="I75" s="8">
        <f t="shared" si="65"/>
        <v>111.59520226000001</v>
      </c>
      <c r="J75" s="8">
        <f t="shared" si="71"/>
        <v>205.35389814000001</v>
      </c>
      <c r="K75" s="8">
        <v>43.074820250000002</v>
      </c>
      <c r="L75" s="8">
        <v>39.117726210000008</v>
      </c>
      <c r="M75" s="8">
        <v>38.426756160000004</v>
      </c>
      <c r="N75" s="8">
        <f t="shared" si="67"/>
        <v>120.61930262000001</v>
      </c>
      <c r="O75" s="8">
        <v>36.337223979999997</v>
      </c>
      <c r="P75" s="8">
        <v>45.269703830000005</v>
      </c>
      <c r="Q75" s="8">
        <v>41.319390742151725</v>
      </c>
      <c r="R75" s="8">
        <f t="shared" si="69"/>
        <v>122.92631855215173</v>
      </c>
      <c r="S75" s="8">
        <f t="shared" si="72"/>
        <v>243.54562117215175</v>
      </c>
      <c r="T75" s="8">
        <f t="shared" si="70"/>
        <v>448.89951931215177</v>
      </c>
      <c r="U75" s="8"/>
      <c r="V75" s="8"/>
    </row>
    <row r="76" spans="1:22" ht="15" customHeight="1" x14ac:dyDescent="0.3">
      <c r="A76" s="12" t="s">
        <v>84</v>
      </c>
      <c r="B76" s="8">
        <v>66.2460758</v>
      </c>
      <c r="C76" s="8">
        <v>62.884204529999984</v>
      </c>
      <c r="D76" s="8">
        <v>47.997856099999993</v>
      </c>
      <c r="E76" s="8">
        <f t="shared" si="63"/>
        <v>177.12813642999998</v>
      </c>
      <c r="F76" s="8">
        <v>77.319225380000006</v>
      </c>
      <c r="G76" s="8">
        <v>58.704748819999992</v>
      </c>
      <c r="H76" s="8">
        <v>69.655082529999987</v>
      </c>
      <c r="I76" s="8">
        <f t="shared" si="65"/>
        <v>205.67905672999999</v>
      </c>
      <c r="J76" s="8">
        <f t="shared" si="71"/>
        <v>382.80719316</v>
      </c>
      <c r="K76" s="8">
        <v>62.493895540000004</v>
      </c>
      <c r="L76" s="8">
        <v>63.31766386999999</v>
      </c>
      <c r="M76" s="8">
        <v>52.493536079999998</v>
      </c>
      <c r="N76" s="8">
        <f t="shared" si="67"/>
        <v>178.30509548999999</v>
      </c>
      <c r="O76" s="8">
        <v>57.978630170000002</v>
      </c>
      <c r="P76" s="8">
        <v>66.584746780000003</v>
      </c>
      <c r="Q76" s="8">
        <v>53.097838730919527</v>
      </c>
      <c r="R76" s="8">
        <f t="shared" si="69"/>
        <v>177.66121568091953</v>
      </c>
      <c r="S76" s="8">
        <f t="shared" si="72"/>
        <v>355.96631117091954</v>
      </c>
      <c r="T76" s="8">
        <f t="shared" si="70"/>
        <v>738.77350433091954</v>
      </c>
      <c r="U76" s="8"/>
      <c r="V76" s="8"/>
    </row>
    <row r="77" spans="1:22" ht="15" customHeight="1" x14ac:dyDescent="0.3">
      <c r="A77" s="12" t="s">
        <v>85</v>
      </c>
      <c r="B77" s="8">
        <v>103.58080861000002</v>
      </c>
      <c r="C77" s="8">
        <v>56.643016850000009</v>
      </c>
      <c r="D77" s="8">
        <v>61.440062619999992</v>
      </c>
      <c r="E77" s="8">
        <f t="shared" si="63"/>
        <v>221.66388808000002</v>
      </c>
      <c r="F77" s="8">
        <v>101.04432317999998</v>
      </c>
      <c r="G77" s="8">
        <v>83.694118340000031</v>
      </c>
      <c r="H77" s="8">
        <v>80.985373649999985</v>
      </c>
      <c r="I77" s="8">
        <f t="shared" si="65"/>
        <v>265.72381516999997</v>
      </c>
      <c r="J77" s="8">
        <f t="shared" si="71"/>
        <v>487.38770324999996</v>
      </c>
      <c r="K77" s="8">
        <v>81.81407403</v>
      </c>
      <c r="L77" s="8">
        <v>92.776435240000012</v>
      </c>
      <c r="M77" s="8">
        <v>80.972740759999994</v>
      </c>
      <c r="N77" s="8">
        <f t="shared" si="67"/>
        <v>255.56325003000001</v>
      </c>
      <c r="O77" s="8">
        <v>81.110874679999981</v>
      </c>
      <c r="P77" s="8">
        <v>83.309209639999992</v>
      </c>
      <c r="Q77" s="8">
        <v>73.804597567666548</v>
      </c>
      <c r="R77" s="8">
        <f t="shared" si="69"/>
        <v>238.22468188766652</v>
      </c>
      <c r="S77" s="8">
        <f t="shared" si="72"/>
        <v>493.78793191766653</v>
      </c>
      <c r="T77" s="8">
        <f t="shared" si="70"/>
        <v>981.17563516766654</v>
      </c>
      <c r="U77" s="8"/>
      <c r="V77" s="8"/>
    </row>
    <row r="78" spans="1:22" s="10" customFormat="1" ht="15" customHeight="1" x14ac:dyDescent="0.3">
      <c r="A78" s="3"/>
      <c r="B78" s="11"/>
      <c r="C78" s="11"/>
      <c r="D78" s="11"/>
      <c r="E78" s="11"/>
      <c r="F78" s="11"/>
      <c r="G78" s="11"/>
      <c r="H78" s="11"/>
      <c r="I78" s="11"/>
      <c r="J78" s="11"/>
      <c r="K78" s="11"/>
      <c r="L78" s="11"/>
      <c r="M78" s="11"/>
      <c r="N78" s="11"/>
      <c r="O78" s="11"/>
      <c r="P78" s="11"/>
      <c r="Q78" s="11"/>
      <c r="R78" s="11"/>
      <c r="S78" s="11"/>
      <c r="T78" s="11"/>
      <c r="U78" s="11"/>
      <c r="V78" s="11"/>
    </row>
    <row r="79" spans="1:22" s="10" customFormat="1" ht="15" customHeight="1" x14ac:dyDescent="0.25">
      <c r="A79" s="10" t="s">
        <v>86</v>
      </c>
      <c r="B79" s="11">
        <f>SUM(B80:B84)</f>
        <v>1026.4302470899995</v>
      </c>
      <c r="C79" s="11">
        <f t="shared" ref="C79:D79" si="73">SUM(C80:C84)</f>
        <v>679.78626500000018</v>
      </c>
      <c r="D79" s="11">
        <f t="shared" si="73"/>
        <v>763.3329613799998</v>
      </c>
      <c r="E79" s="11">
        <f t="shared" ref="E79:E84" si="74">SUM(B79:D79)</f>
        <v>2469.5494734699996</v>
      </c>
      <c r="F79" s="11">
        <f t="shared" ref="F79:H79" si="75">SUM(F80:F84)</f>
        <v>1283.5610611599993</v>
      </c>
      <c r="G79" s="11">
        <f t="shared" si="75"/>
        <v>884.55891017000067</v>
      </c>
      <c r="H79" s="11">
        <f t="shared" si="75"/>
        <v>840.31141494999997</v>
      </c>
      <c r="I79" s="11">
        <f t="shared" ref="I79:I84" si="76">SUM(F79:H79)</f>
        <v>3008.43138628</v>
      </c>
      <c r="J79" s="11">
        <f t="shared" ref="J79:J84" si="77">+E79+I79</f>
        <v>5477.9808597499996</v>
      </c>
      <c r="K79" s="11">
        <f t="shared" ref="K79:M79" si="78">SUM(K80:K84)</f>
        <v>887.38460454999995</v>
      </c>
      <c r="L79" s="11">
        <f t="shared" si="78"/>
        <v>901.3288417600005</v>
      </c>
      <c r="M79" s="11">
        <f t="shared" si="78"/>
        <v>792.32997605000014</v>
      </c>
      <c r="N79" s="11">
        <f t="shared" ref="N79:N84" si="79">SUM(K79:M79)</f>
        <v>2581.0434223600005</v>
      </c>
      <c r="O79" s="11">
        <f t="shared" ref="O79:Q79" si="80">SUM(O80:O84)</f>
        <v>839.72491773000024</v>
      </c>
      <c r="P79" s="11">
        <f t="shared" si="80"/>
        <v>947.34757644000001</v>
      </c>
      <c r="Q79" s="11">
        <f t="shared" si="80"/>
        <v>879.44966427052464</v>
      </c>
      <c r="R79" s="11">
        <f t="shared" ref="R79:R84" si="81">SUM(O79:Q79)</f>
        <v>2666.5221584405249</v>
      </c>
      <c r="S79" s="11">
        <f t="shared" ref="S79:S84" si="82">+N79+R79</f>
        <v>5247.5655808005249</v>
      </c>
      <c r="T79" s="11">
        <f t="shared" ref="T79:T84" si="83">+J79+S79</f>
        <v>10725.546440550524</v>
      </c>
      <c r="U79" s="11"/>
      <c r="V79" s="11"/>
    </row>
    <row r="80" spans="1:22" ht="15" customHeight="1" x14ac:dyDescent="0.3">
      <c r="A80" s="12" t="s">
        <v>87</v>
      </c>
      <c r="B80" s="8">
        <v>132.79647775999999</v>
      </c>
      <c r="C80" s="8">
        <v>104.87342308000004</v>
      </c>
      <c r="D80" s="8">
        <v>134.0646515899999</v>
      </c>
      <c r="E80" s="8">
        <f t="shared" si="74"/>
        <v>371.73455242999989</v>
      </c>
      <c r="F80" s="8">
        <v>175.08818677999997</v>
      </c>
      <c r="G80" s="8">
        <v>122.35674296000003</v>
      </c>
      <c r="H80" s="8">
        <v>131.22722530999999</v>
      </c>
      <c r="I80" s="8">
        <f t="shared" si="76"/>
        <v>428.67215505000001</v>
      </c>
      <c r="J80" s="8">
        <f t="shared" si="77"/>
        <v>800.40670747999991</v>
      </c>
      <c r="K80" s="8">
        <v>138.82689056999993</v>
      </c>
      <c r="L80" s="8">
        <v>137.63247151999997</v>
      </c>
      <c r="M80" s="8">
        <v>135.09713350999999</v>
      </c>
      <c r="N80" s="8">
        <f t="shared" si="79"/>
        <v>411.55649559999989</v>
      </c>
      <c r="O80" s="8">
        <v>118.42277043000001</v>
      </c>
      <c r="P80" s="8">
        <v>135.39501538999997</v>
      </c>
      <c r="Q80" s="8">
        <v>139.26378302118746</v>
      </c>
      <c r="R80" s="8">
        <f t="shared" si="81"/>
        <v>393.08156884118745</v>
      </c>
      <c r="S80" s="8">
        <f t="shared" si="82"/>
        <v>804.63806444118734</v>
      </c>
      <c r="T80" s="8">
        <f t="shared" si="83"/>
        <v>1605.0447719211872</v>
      </c>
      <c r="U80" s="8"/>
      <c r="V80" s="8"/>
    </row>
    <row r="81" spans="1:22" ht="15" customHeight="1" x14ac:dyDescent="0.3">
      <c r="A81" s="12" t="s">
        <v>88</v>
      </c>
      <c r="B81" s="8">
        <v>61.249116339999986</v>
      </c>
      <c r="C81" s="8">
        <v>40.787814260000012</v>
      </c>
      <c r="D81" s="8">
        <v>42.54770808</v>
      </c>
      <c r="E81" s="8">
        <f t="shared" si="74"/>
        <v>144.58463868000001</v>
      </c>
      <c r="F81" s="8">
        <v>59.82747942999999</v>
      </c>
      <c r="G81" s="8">
        <v>60.504883049999997</v>
      </c>
      <c r="H81" s="8">
        <v>52.441063350000007</v>
      </c>
      <c r="I81" s="8">
        <f t="shared" si="76"/>
        <v>172.77342583000001</v>
      </c>
      <c r="J81" s="8">
        <f t="shared" si="77"/>
        <v>317.35806451000002</v>
      </c>
      <c r="K81" s="8">
        <v>45.263952749999994</v>
      </c>
      <c r="L81" s="8">
        <v>58.778979880000001</v>
      </c>
      <c r="M81" s="8">
        <v>48.363311759999995</v>
      </c>
      <c r="N81" s="8">
        <f t="shared" si="79"/>
        <v>152.40624438999998</v>
      </c>
      <c r="O81" s="8">
        <v>46.237477099999992</v>
      </c>
      <c r="P81" s="8">
        <v>55.079578680000004</v>
      </c>
      <c r="Q81" s="8">
        <v>50.185312911245852</v>
      </c>
      <c r="R81" s="8">
        <f t="shared" si="81"/>
        <v>151.50236869124586</v>
      </c>
      <c r="S81" s="8">
        <f t="shared" si="82"/>
        <v>303.90861308124585</v>
      </c>
      <c r="T81" s="8">
        <f t="shared" si="83"/>
        <v>621.26667759124587</v>
      </c>
      <c r="U81" s="8"/>
      <c r="V81" s="8"/>
    </row>
    <row r="82" spans="1:22" ht="15" customHeight="1" x14ac:dyDescent="0.3">
      <c r="A82" s="12" t="s">
        <v>89</v>
      </c>
      <c r="B82" s="8">
        <v>96.628123329999966</v>
      </c>
      <c r="C82" s="8">
        <v>100.47383124000001</v>
      </c>
      <c r="D82" s="8">
        <v>87.340603250000015</v>
      </c>
      <c r="E82" s="8">
        <f t="shared" si="74"/>
        <v>284.44255781999999</v>
      </c>
      <c r="F82" s="8">
        <v>120.40211716999998</v>
      </c>
      <c r="G82" s="8">
        <v>94.764119830000013</v>
      </c>
      <c r="H82" s="8">
        <v>98.043072969999997</v>
      </c>
      <c r="I82" s="8">
        <f t="shared" si="76"/>
        <v>313.20930996999999</v>
      </c>
      <c r="J82" s="8">
        <f t="shared" si="77"/>
        <v>597.65186778999998</v>
      </c>
      <c r="K82" s="8">
        <v>92.723454650000008</v>
      </c>
      <c r="L82" s="8">
        <v>99.051772719999988</v>
      </c>
      <c r="M82" s="8">
        <v>99.143757400000041</v>
      </c>
      <c r="N82" s="8">
        <f t="shared" si="79"/>
        <v>290.91898477000001</v>
      </c>
      <c r="O82" s="8">
        <v>84.002557539999941</v>
      </c>
      <c r="P82" s="8">
        <v>100.27459643000002</v>
      </c>
      <c r="Q82" s="8">
        <v>107.02958665587339</v>
      </c>
      <c r="R82" s="8">
        <f t="shared" si="81"/>
        <v>291.30674062587337</v>
      </c>
      <c r="S82" s="8">
        <f t="shared" si="82"/>
        <v>582.22572539587338</v>
      </c>
      <c r="T82" s="8">
        <f t="shared" si="83"/>
        <v>1179.8775931858734</v>
      </c>
      <c r="U82" s="8"/>
      <c r="V82" s="8"/>
    </row>
    <row r="83" spans="1:22" ht="15" customHeight="1" x14ac:dyDescent="0.3">
      <c r="A83" s="12" t="s">
        <v>90</v>
      </c>
      <c r="B83" s="8">
        <v>106.00767673</v>
      </c>
      <c r="C83" s="8">
        <v>56.969513120000002</v>
      </c>
      <c r="D83" s="8">
        <v>64.083416480000011</v>
      </c>
      <c r="E83" s="8">
        <f t="shared" si="74"/>
        <v>227.06060633000001</v>
      </c>
      <c r="F83" s="8">
        <v>98.258227020000007</v>
      </c>
      <c r="G83" s="8">
        <v>72.33804237999999</v>
      </c>
      <c r="H83" s="8">
        <v>82.859547759999984</v>
      </c>
      <c r="I83" s="8">
        <f t="shared" si="76"/>
        <v>253.45581715999998</v>
      </c>
      <c r="J83" s="8">
        <f t="shared" si="77"/>
        <v>480.51642348999997</v>
      </c>
      <c r="K83" s="8">
        <v>93.762668729999987</v>
      </c>
      <c r="L83" s="8">
        <v>81.403148610000002</v>
      </c>
      <c r="M83" s="8">
        <v>67.729789879999998</v>
      </c>
      <c r="N83" s="8">
        <f t="shared" si="79"/>
        <v>242.89560721999999</v>
      </c>
      <c r="O83" s="8">
        <v>78.421749769999991</v>
      </c>
      <c r="P83" s="8">
        <v>80.949445019999999</v>
      </c>
      <c r="Q83" s="8">
        <v>86.334281460326878</v>
      </c>
      <c r="R83" s="8">
        <f t="shared" si="81"/>
        <v>245.70547625032688</v>
      </c>
      <c r="S83" s="8">
        <f t="shared" si="82"/>
        <v>488.6010834703269</v>
      </c>
      <c r="T83" s="8">
        <f t="shared" si="83"/>
        <v>969.11750696032686</v>
      </c>
      <c r="U83" s="8"/>
      <c r="V83" s="8"/>
    </row>
    <row r="84" spans="1:22" ht="18" customHeight="1" x14ac:dyDescent="0.3">
      <c r="A84" s="12" t="s">
        <v>91</v>
      </c>
      <c r="B84" s="8">
        <v>629.74885292999966</v>
      </c>
      <c r="C84" s="8">
        <v>376.68168330000009</v>
      </c>
      <c r="D84" s="8">
        <v>435.29658197999993</v>
      </c>
      <c r="E84" s="8">
        <f t="shared" si="74"/>
        <v>1441.7271182099996</v>
      </c>
      <c r="F84" s="8">
        <v>829.98505075999935</v>
      </c>
      <c r="G84" s="8">
        <v>534.59512195000059</v>
      </c>
      <c r="H84" s="8">
        <v>475.74050555999997</v>
      </c>
      <c r="I84" s="8">
        <f t="shared" si="76"/>
        <v>1840.3206782699999</v>
      </c>
      <c r="J84" s="8">
        <f t="shared" si="77"/>
        <v>3282.0477964799993</v>
      </c>
      <c r="K84" s="8">
        <v>516.80763785000011</v>
      </c>
      <c r="L84" s="8">
        <v>524.46246903000053</v>
      </c>
      <c r="M84" s="8">
        <v>441.99598350000014</v>
      </c>
      <c r="N84" s="8">
        <f t="shared" si="79"/>
        <v>1483.2660903800008</v>
      </c>
      <c r="O84" s="8">
        <v>512.64036289000035</v>
      </c>
      <c r="P84" s="8">
        <v>575.64894092000009</v>
      </c>
      <c r="Q84" s="8">
        <v>496.63670022189103</v>
      </c>
      <c r="R84" s="8">
        <f t="shared" si="81"/>
        <v>1584.9260040318916</v>
      </c>
      <c r="S84" s="8">
        <f t="shared" si="82"/>
        <v>3068.1920944118924</v>
      </c>
      <c r="T84" s="8">
        <f t="shared" si="83"/>
        <v>6350.2398908918913</v>
      </c>
      <c r="U84" s="8"/>
      <c r="V84" s="8"/>
    </row>
    <row r="85" spans="1:22" s="10" customFormat="1" ht="15" customHeight="1" x14ac:dyDescent="0.3">
      <c r="A85" s="3"/>
      <c r="B85" s="11"/>
      <c r="C85" s="11"/>
      <c r="D85" s="11"/>
      <c r="E85" s="11"/>
      <c r="F85" s="11"/>
      <c r="G85" s="11"/>
      <c r="H85" s="11"/>
      <c r="I85" s="11"/>
      <c r="J85" s="11"/>
      <c r="K85" s="11"/>
      <c r="L85" s="11"/>
      <c r="M85" s="11"/>
      <c r="N85" s="11"/>
      <c r="O85" s="11"/>
      <c r="P85" s="11"/>
      <c r="Q85" s="11"/>
      <c r="R85" s="11"/>
      <c r="S85" s="11"/>
      <c r="T85" s="11"/>
      <c r="U85" s="11"/>
      <c r="V85" s="11"/>
    </row>
    <row r="86" spans="1:22" s="10" customFormat="1" ht="15" customHeight="1" x14ac:dyDescent="0.25">
      <c r="A86" s="10" t="s">
        <v>92</v>
      </c>
      <c r="B86" s="11">
        <f>SUM(B87:B88)</f>
        <v>898.93288141999994</v>
      </c>
      <c r="C86" s="11">
        <f t="shared" ref="C86:D86" si="84">SUM(C87:C88)</f>
        <v>692.82761323000045</v>
      </c>
      <c r="D86" s="11">
        <f t="shared" si="84"/>
        <v>801.22105827999962</v>
      </c>
      <c r="E86" s="11">
        <f t="shared" ref="E86:E88" si="85">SUM(B86:D86)</f>
        <v>2392.9815529300004</v>
      </c>
      <c r="F86" s="11">
        <f t="shared" ref="F86:H86" si="86">SUM(F87:F88)</f>
        <v>1265.5426435300001</v>
      </c>
      <c r="G86" s="11">
        <f t="shared" si="86"/>
        <v>795.26674479000019</v>
      </c>
      <c r="H86" s="11">
        <f t="shared" si="86"/>
        <v>885.36638046000007</v>
      </c>
      <c r="I86" s="11">
        <f t="shared" ref="I86:I88" si="87">SUM(F86:H86)</f>
        <v>2946.1757687800005</v>
      </c>
      <c r="J86" s="11">
        <f t="shared" ref="J86:J88" si="88">+E86+I86</f>
        <v>5339.1573217100013</v>
      </c>
      <c r="K86" s="11">
        <f t="shared" ref="K86:M86" si="89">SUM(K87:K88)</f>
        <v>743.6470628300001</v>
      </c>
      <c r="L86" s="11">
        <f t="shared" si="89"/>
        <v>835.90365347000045</v>
      </c>
      <c r="M86" s="11">
        <f t="shared" si="89"/>
        <v>849.04488282999989</v>
      </c>
      <c r="N86" s="11">
        <f t="shared" ref="N86:N88" si="90">SUM(K86:M86)</f>
        <v>2428.5955991300007</v>
      </c>
      <c r="O86" s="11">
        <f t="shared" ref="O86:Q86" si="91">SUM(O87:O88)</f>
        <v>850.7159819200001</v>
      </c>
      <c r="P86" s="11">
        <f t="shared" si="91"/>
        <v>870.13286896000011</v>
      </c>
      <c r="Q86" s="11">
        <f t="shared" si="91"/>
        <v>826.57819650734416</v>
      </c>
      <c r="R86" s="11">
        <f t="shared" ref="R86:R88" si="92">SUM(O86:Q86)</f>
        <v>2547.4270473873444</v>
      </c>
      <c r="S86" s="11">
        <f t="shared" ref="S86:S88" si="93">+N86+R86</f>
        <v>4976.0226465173455</v>
      </c>
      <c r="T86" s="11">
        <f t="shared" ref="T86:T88" si="94">+J86+S86</f>
        <v>10315.179968227347</v>
      </c>
      <c r="U86" s="11"/>
      <c r="V86" s="11"/>
    </row>
    <row r="87" spans="1:22" ht="15" customHeight="1" x14ac:dyDescent="0.3">
      <c r="A87" s="12" t="s">
        <v>93</v>
      </c>
      <c r="B87" s="8">
        <v>705.02355894999994</v>
      </c>
      <c r="C87" s="8">
        <v>520.0794176400002</v>
      </c>
      <c r="D87" s="8">
        <v>629.04372616999956</v>
      </c>
      <c r="E87" s="8">
        <f t="shared" si="85"/>
        <v>1854.1467027599997</v>
      </c>
      <c r="F87" s="8">
        <v>1014.1343408399999</v>
      </c>
      <c r="G87" s="8">
        <v>609.52384397000014</v>
      </c>
      <c r="H87" s="8">
        <v>674.19886889000009</v>
      </c>
      <c r="I87" s="8">
        <f t="shared" si="87"/>
        <v>2297.8570537000001</v>
      </c>
      <c r="J87" s="8">
        <f t="shared" si="88"/>
        <v>4152.0037564599997</v>
      </c>
      <c r="K87" s="8">
        <v>562.77921990000004</v>
      </c>
      <c r="L87" s="8">
        <v>635.29549490000045</v>
      </c>
      <c r="M87" s="8">
        <v>664.60220432999984</v>
      </c>
      <c r="N87" s="8">
        <f t="shared" si="90"/>
        <v>1862.6769191300004</v>
      </c>
      <c r="O87" s="8">
        <v>671.70451634000005</v>
      </c>
      <c r="P87" s="8">
        <v>659.90304691000006</v>
      </c>
      <c r="Q87" s="8">
        <v>612.55268184018723</v>
      </c>
      <c r="R87" s="8">
        <f t="shared" si="92"/>
        <v>1944.1602450901873</v>
      </c>
      <c r="S87" s="8">
        <f t="shared" si="93"/>
        <v>3806.8371642201878</v>
      </c>
      <c r="T87" s="8">
        <f t="shared" si="94"/>
        <v>7958.840920680188</v>
      </c>
      <c r="U87" s="8"/>
      <c r="V87" s="8"/>
    </row>
    <row r="88" spans="1:22" ht="15" customHeight="1" x14ac:dyDescent="0.3">
      <c r="A88" s="12" t="s">
        <v>94</v>
      </c>
      <c r="B88" s="8">
        <v>193.90932247000001</v>
      </c>
      <c r="C88" s="8">
        <v>172.74819559000019</v>
      </c>
      <c r="D88" s="8">
        <v>172.17733211000007</v>
      </c>
      <c r="E88" s="8">
        <f t="shared" si="85"/>
        <v>538.83485017000021</v>
      </c>
      <c r="F88" s="8">
        <v>251.40830269000017</v>
      </c>
      <c r="G88" s="8">
        <v>185.74290082000005</v>
      </c>
      <c r="H88" s="8">
        <v>211.16751157000002</v>
      </c>
      <c r="I88" s="8">
        <f t="shared" si="87"/>
        <v>648.31871508000017</v>
      </c>
      <c r="J88" s="8">
        <f t="shared" si="88"/>
        <v>1187.1535652500004</v>
      </c>
      <c r="K88" s="8">
        <v>180.86784292999999</v>
      </c>
      <c r="L88" s="8">
        <v>200.60815856999997</v>
      </c>
      <c r="M88" s="8">
        <v>184.44267850000006</v>
      </c>
      <c r="N88" s="8">
        <f t="shared" si="90"/>
        <v>565.91867999999999</v>
      </c>
      <c r="O88" s="8">
        <v>179.01146558000002</v>
      </c>
      <c r="P88" s="8">
        <v>210.22982205000002</v>
      </c>
      <c r="Q88" s="8">
        <v>214.0255146671569</v>
      </c>
      <c r="R88" s="8">
        <f t="shared" si="92"/>
        <v>603.26680229715691</v>
      </c>
      <c r="S88" s="8">
        <f t="shared" si="93"/>
        <v>1169.1854822971568</v>
      </c>
      <c r="T88" s="8">
        <f t="shared" si="94"/>
        <v>2356.339047547157</v>
      </c>
      <c r="U88" s="8"/>
      <c r="V88" s="8"/>
    </row>
    <row r="89" spans="1:22" s="10" customFormat="1" ht="15" customHeight="1" x14ac:dyDescent="0.3">
      <c r="A89" s="3"/>
      <c r="B89" s="11"/>
      <c r="C89" s="11"/>
      <c r="D89" s="11"/>
      <c r="E89" s="11"/>
      <c r="F89" s="11"/>
      <c r="G89" s="11"/>
      <c r="H89" s="11"/>
      <c r="I89" s="11"/>
      <c r="J89" s="11"/>
      <c r="K89" s="11"/>
      <c r="L89" s="11"/>
      <c r="M89" s="11"/>
      <c r="N89" s="11"/>
      <c r="O89" s="11"/>
      <c r="P89" s="11"/>
      <c r="Q89" s="11"/>
      <c r="R89" s="11"/>
      <c r="S89" s="11"/>
      <c r="T89" s="11"/>
      <c r="U89" s="11"/>
      <c r="V89" s="11"/>
    </row>
    <row r="90" spans="1:22" s="10" customFormat="1" ht="15" customHeight="1" x14ac:dyDescent="0.25">
      <c r="A90" s="10" t="s">
        <v>95</v>
      </c>
      <c r="B90" s="11">
        <f>SUM(B91:B94)</f>
        <v>4619.61657027</v>
      </c>
      <c r="C90" s="11">
        <f t="shared" ref="C90:D90" si="95">SUM(C91:C94)</f>
        <v>3524.8796180799991</v>
      </c>
      <c r="D90" s="11">
        <f t="shared" si="95"/>
        <v>4365.5945165100002</v>
      </c>
      <c r="E90" s="11">
        <f t="shared" ref="E90:E94" si="96">SUM(B90:D90)</f>
        <v>12510.090704859998</v>
      </c>
      <c r="F90" s="11">
        <f t="shared" ref="F90:H90" si="97">SUM(F91:F94)</f>
        <v>7362.334344769999</v>
      </c>
      <c r="G90" s="11">
        <f t="shared" si="97"/>
        <v>5878.463043239999</v>
      </c>
      <c r="H90" s="11">
        <f t="shared" si="97"/>
        <v>4351.23652984</v>
      </c>
      <c r="I90" s="11">
        <f t="shared" ref="I90:I94" si="98">SUM(F90:H90)</f>
        <v>17592.03391785</v>
      </c>
      <c r="J90" s="11">
        <f t="shared" ref="J90:J94" si="99">+E90+I90</f>
        <v>30102.124622709998</v>
      </c>
      <c r="K90" s="11">
        <f t="shared" ref="K90:M90" si="100">SUM(K91:K94)</f>
        <v>4055.560270559999</v>
      </c>
      <c r="L90" s="11">
        <f t="shared" si="100"/>
        <v>6304.1266781100003</v>
      </c>
      <c r="M90" s="11">
        <f t="shared" si="100"/>
        <v>3847.2607065699985</v>
      </c>
      <c r="N90" s="11">
        <f t="shared" ref="N90:N94" si="101">SUM(K90:M90)</f>
        <v>14206.947655239997</v>
      </c>
      <c r="O90" s="11">
        <f t="shared" ref="O90:Q90" si="102">SUM(O91:O94)</f>
        <v>4201.8288357399997</v>
      </c>
      <c r="P90" s="11">
        <f t="shared" si="102"/>
        <v>6604.377038849997</v>
      </c>
      <c r="Q90" s="11">
        <f t="shared" si="102"/>
        <v>4447.4667189778393</v>
      </c>
      <c r="R90" s="11">
        <f t="shared" ref="R90:R94" si="103">SUM(O90:Q90)</f>
        <v>15253.672593567835</v>
      </c>
      <c r="S90" s="11">
        <f t="shared" ref="S90:S94" si="104">+N90+R90</f>
        <v>29460.620248807834</v>
      </c>
      <c r="T90" s="11">
        <f t="shared" ref="T90:T94" si="105">+J90+S90</f>
        <v>59562.744871517833</v>
      </c>
      <c r="U90" s="11"/>
      <c r="V90" s="11"/>
    </row>
    <row r="91" spans="1:22" ht="15" customHeight="1" x14ac:dyDescent="0.3">
      <c r="A91" s="12" t="s">
        <v>96</v>
      </c>
      <c r="B91" s="8">
        <v>177.43830464000001</v>
      </c>
      <c r="C91" s="8">
        <v>146.92510595000002</v>
      </c>
      <c r="D91" s="8">
        <v>174.07040429000003</v>
      </c>
      <c r="E91" s="8">
        <f t="shared" si="96"/>
        <v>498.43381488000011</v>
      </c>
      <c r="F91" s="8">
        <v>230.72764745999999</v>
      </c>
      <c r="G91" s="8">
        <v>188.45903106999998</v>
      </c>
      <c r="H91" s="8">
        <v>170.69060822000003</v>
      </c>
      <c r="I91" s="8">
        <f t="shared" si="98"/>
        <v>589.87728675000005</v>
      </c>
      <c r="J91" s="8">
        <f t="shared" si="99"/>
        <v>1088.3111016300002</v>
      </c>
      <c r="K91" s="8">
        <v>168.50794673000001</v>
      </c>
      <c r="L91" s="8">
        <v>191.34637377000004</v>
      </c>
      <c r="M91" s="8">
        <v>182.57512926000001</v>
      </c>
      <c r="N91" s="8">
        <f t="shared" si="101"/>
        <v>542.42944976000013</v>
      </c>
      <c r="O91" s="8">
        <v>157.08666799999995</v>
      </c>
      <c r="P91" s="8">
        <v>180.39414229000005</v>
      </c>
      <c r="Q91" s="8">
        <v>180.09193775897526</v>
      </c>
      <c r="R91" s="8">
        <f t="shared" si="103"/>
        <v>517.57274804897531</v>
      </c>
      <c r="S91" s="8">
        <f t="shared" si="104"/>
        <v>1060.0021978089753</v>
      </c>
      <c r="T91" s="8">
        <f t="shared" si="105"/>
        <v>2148.3132994389753</v>
      </c>
      <c r="U91" s="8"/>
      <c r="V91" s="8"/>
    </row>
    <row r="92" spans="1:22" ht="15" customHeight="1" x14ac:dyDescent="0.3">
      <c r="A92" s="12" t="s">
        <v>97</v>
      </c>
      <c r="B92" s="8">
        <v>784.3583444599999</v>
      </c>
      <c r="C92" s="8">
        <v>753.13409460000014</v>
      </c>
      <c r="D92" s="8">
        <v>745.7028317999999</v>
      </c>
      <c r="E92" s="8">
        <f t="shared" si="96"/>
        <v>2283.1952708599997</v>
      </c>
      <c r="F92" s="8">
        <v>1273.0722870900006</v>
      </c>
      <c r="G92" s="8">
        <v>869.6437779300004</v>
      </c>
      <c r="H92" s="8">
        <v>701.00785287000031</v>
      </c>
      <c r="I92" s="8">
        <f t="shared" si="98"/>
        <v>2843.7239178900018</v>
      </c>
      <c r="J92" s="8">
        <f t="shared" si="99"/>
        <v>5126.9191887500019</v>
      </c>
      <c r="K92" s="8">
        <v>740.67570104999936</v>
      </c>
      <c r="L92" s="8">
        <v>888.59254135999959</v>
      </c>
      <c r="M92" s="8">
        <v>894.32922086999952</v>
      </c>
      <c r="N92" s="8">
        <f t="shared" si="101"/>
        <v>2523.5974632799985</v>
      </c>
      <c r="O92" s="8">
        <v>814.39271827000027</v>
      </c>
      <c r="P92" s="8">
        <v>950.39014400999804</v>
      </c>
      <c r="Q92" s="8">
        <v>928.80813803347269</v>
      </c>
      <c r="R92" s="8">
        <f t="shared" si="103"/>
        <v>2693.5910003134713</v>
      </c>
      <c r="S92" s="8">
        <f t="shared" si="104"/>
        <v>5217.1884635934694</v>
      </c>
      <c r="T92" s="8">
        <f t="shared" si="105"/>
        <v>10344.107652343471</v>
      </c>
      <c r="U92" s="8"/>
      <c r="V92" s="8"/>
    </row>
    <row r="93" spans="1:22" ht="15" customHeight="1" x14ac:dyDescent="0.3">
      <c r="A93" s="12" t="s">
        <v>98</v>
      </c>
      <c r="B93" s="8">
        <v>1147.4243324100005</v>
      </c>
      <c r="C93" s="8">
        <v>870.69098524999993</v>
      </c>
      <c r="D93" s="8">
        <v>1038.5852505</v>
      </c>
      <c r="E93" s="8">
        <f t="shared" si="96"/>
        <v>3056.7005681600003</v>
      </c>
      <c r="F93" s="8">
        <v>1921.3545355400011</v>
      </c>
      <c r="G93" s="8">
        <v>1138.1851784599999</v>
      </c>
      <c r="H93" s="8">
        <v>1135.7756061599998</v>
      </c>
      <c r="I93" s="8">
        <f t="shared" si="98"/>
        <v>4195.3153201600007</v>
      </c>
      <c r="J93" s="8">
        <f t="shared" si="99"/>
        <v>7252.0158883200011</v>
      </c>
      <c r="K93" s="8">
        <v>1099.5073453299995</v>
      </c>
      <c r="L93" s="8">
        <v>1447.36484107</v>
      </c>
      <c r="M93" s="8">
        <v>936.11297360999993</v>
      </c>
      <c r="N93" s="8">
        <f t="shared" si="101"/>
        <v>3482.9851600099992</v>
      </c>
      <c r="O93" s="8">
        <v>1040.7928727399997</v>
      </c>
      <c r="P93" s="8">
        <v>1466.65094271</v>
      </c>
      <c r="Q93" s="8">
        <v>1056.5036997453906</v>
      </c>
      <c r="R93" s="8">
        <f t="shared" si="103"/>
        <v>3563.9475151953902</v>
      </c>
      <c r="S93" s="8">
        <f t="shared" si="104"/>
        <v>7046.9326752053894</v>
      </c>
      <c r="T93" s="8">
        <f t="shared" si="105"/>
        <v>14298.948563525391</v>
      </c>
      <c r="U93" s="8"/>
      <c r="V93" s="8"/>
    </row>
    <row r="94" spans="1:22" ht="18" customHeight="1" x14ac:dyDescent="0.3">
      <c r="A94" s="12" t="s">
        <v>99</v>
      </c>
      <c r="B94" s="8">
        <v>2510.3955887599991</v>
      </c>
      <c r="C94" s="8">
        <v>1754.1294322799993</v>
      </c>
      <c r="D94" s="8">
        <v>2407.23602992</v>
      </c>
      <c r="E94" s="8">
        <f t="shared" si="96"/>
        <v>6671.7610509599981</v>
      </c>
      <c r="F94" s="8">
        <v>3937.1798746799973</v>
      </c>
      <c r="G94" s="8">
        <v>3682.1750557799992</v>
      </c>
      <c r="H94" s="8">
        <v>2343.7624625900003</v>
      </c>
      <c r="I94" s="8">
        <f t="shared" si="98"/>
        <v>9963.1173930499972</v>
      </c>
      <c r="J94" s="8">
        <f t="shared" si="99"/>
        <v>16634.878444009995</v>
      </c>
      <c r="K94" s="8">
        <v>2046.8692774500003</v>
      </c>
      <c r="L94" s="8">
        <v>3776.8229219099999</v>
      </c>
      <c r="M94" s="8">
        <v>1834.2433828299991</v>
      </c>
      <c r="N94" s="8">
        <f t="shared" si="101"/>
        <v>7657.935582189999</v>
      </c>
      <c r="O94" s="8">
        <v>2189.5565767299995</v>
      </c>
      <c r="P94" s="8">
        <v>4006.9418098399992</v>
      </c>
      <c r="Q94" s="8">
        <v>2282.0629434400007</v>
      </c>
      <c r="R94" s="8">
        <f t="shared" si="103"/>
        <v>8478.5613300099994</v>
      </c>
      <c r="S94" s="8">
        <f t="shared" si="104"/>
        <v>16136.496912199998</v>
      </c>
      <c r="T94" s="8">
        <f t="shared" si="105"/>
        <v>32771.375356209996</v>
      </c>
      <c r="U94" s="8"/>
      <c r="V94" s="8"/>
    </row>
    <row r="95" spans="1:22" ht="15" customHeight="1" x14ac:dyDescent="0.3">
      <c r="A95" s="12"/>
      <c r="B95" s="8"/>
      <c r="C95" s="8"/>
      <c r="D95" s="8"/>
      <c r="E95" s="8"/>
      <c r="F95" s="8"/>
      <c r="G95" s="8"/>
      <c r="H95" s="8"/>
      <c r="I95" s="8"/>
      <c r="J95" s="8"/>
      <c r="K95" s="8"/>
      <c r="L95" s="8"/>
      <c r="M95" s="8"/>
      <c r="N95" s="8"/>
      <c r="O95" s="8"/>
      <c r="P95" s="8"/>
      <c r="Q95" s="8"/>
      <c r="R95" s="8"/>
      <c r="S95" s="8"/>
      <c r="T95" s="8"/>
      <c r="U95" s="8"/>
      <c r="V95" s="8"/>
    </row>
    <row r="96" spans="1:22" s="10" customFormat="1" ht="15" customHeight="1" x14ac:dyDescent="0.25">
      <c r="A96" s="13" t="s">
        <v>100</v>
      </c>
      <c r="B96" s="11">
        <f>SUM(B97:B102)</f>
        <v>624.61347303000002</v>
      </c>
      <c r="C96" s="11">
        <f t="shared" ref="C96:D96" si="106">SUM(C97:C102)</f>
        <v>529.22631147000004</v>
      </c>
      <c r="D96" s="11">
        <f t="shared" si="106"/>
        <v>562.0949810300001</v>
      </c>
      <c r="E96" s="11">
        <f t="shared" ref="E96:E102" si="107">SUM(B96:D96)</f>
        <v>1715.93476553</v>
      </c>
      <c r="F96" s="11">
        <f t="shared" ref="F96:H96" si="108">SUM(F97:F102)</f>
        <v>839.92199228999993</v>
      </c>
      <c r="G96" s="11">
        <f t="shared" si="108"/>
        <v>654.35363466000013</v>
      </c>
      <c r="H96" s="11">
        <f t="shared" si="108"/>
        <v>693.54866378999986</v>
      </c>
      <c r="I96" s="11">
        <f t="shared" ref="I96:I102" si="109">SUM(F96:H96)</f>
        <v>2187.8242907399999</v>
      </c>
      <c r="J96" s="11">
        <f t="shared" ref="J96:J102" si="110">+E96+I96</f>
        <v>3903.7590562699997</v>
      </c>
      <c r="K96" s="11">
        <f t="shared" ref="K96:M96" si="111">SUM(K97:K102)</f>
        <v>601.2474953200001</v>
      </c>
      <c r="L96" s="11">
        <f t="shared" si="111"/>
        <v>684.65172675999997</v>
      </c>
      <c r="M96" s="11">
        <f t="shared" si="111"/>
        <v>688.78922211999998</v>
      </c>
      <c r="N96" s="11">
        <f t="shared" ref="N96:N102" si="112">SUM(K96:M96)</f>
        <v>1974.6884442</v>
      </c>
      <c r="O96" s="11">
        <f t="shared" ref="O96:Q96" si="113">SUM(O97:O102)</f>
        <v>657.0953063500001</v>
      </c>
      <c r="P96" s="11">
        <f t="shared" si="113"/>
        <v>642.25366743000018</v>
      </c>
      <c r="Q96" s="11">
        <f t="shared" si="113"/>
        <v>658.7828137059106</v>
      </c>
      <c r="R96" s="11">
        <f t="shared" ref="R96:R102" si="114">SUM(O96:Q96)</f>
        <v>1958.131787485911</v>
      </c>
      <c r="S96" s="11">
        <f t="shared" ref="S96:S102" si="115">+N96+R96</f>
        <v>3932.820231685911</v>
      </c>
      <c r="T96" s="11">
        <f t="shared" ref="T96:T102" si="116">+J96+S96</f>
        <v>7836.5792879559103</v>
      </c>
      <c r="U96" s="11"/>
      <c r="V96" s="11"/>
    </row>
    <row r="97" spans="1:22" ht="15" customHeight="1" x14ac:dyDescent="0.3">
      <c r="A97" s="12" t="s">
        <v>101</v>
      </c>
      <c r="B97" s="8">
        <v>56.261698799999998</v>
      </c>
      <c r="C97" s="8">
        <v>39.414314720000007</v>
      </c>
      <c r="D97" s="8">
        <v>46.188407629999986</v>
      </c>
      <c r="E97" s="8">
        <f t="shared" si="107"/>
        <v>141.86442115</v>
      </c>
      <c r="F97" s="8">
        <v>57.318759880000002</v>
      </c>
      <c r="G97" s="8">
        <v>60.75214338</v>
      </c>
      <c r="H97" s="8">
        <v>79.01228506999999</v>
      </c>
      <c r="I97" s="8">
        <f t="shared" si="109"/>
        <v>197.08318832999998</v>
      </c>
      <c r="J97" s="8">
        <f t="shared" si="110"/>
        <v>338.94760947999998</v>
      </c>
      <c r="K97" s="8">
        <v>39.930675999999998</v>
      </c>
      <c r="L97" s="8">
        <v>65.401969660000006</v>
      </c>
      <c r="M97" s="8">
        <v>67.961771780000007</v>
      </c>
      <c r="N97" s="8">
        <f t="shared" si="112"/>
        <v>173.29441744000002</v>
      </c>
      <c r="O97" s="8">
        <v>64.822337880000006</v>
      </c>
      <c r="P97" s="8">
        <v>56.102287639999993</v>
      </c>
      <c r="Q97" s="8">
        <v>53.762925789495391</v>
      </c>
      <c r="R97" s="8">
        <f t="shared" si="114"/>
        <v>174.6875513094954</v>
      </c>
      <c r="S97" s="8">
        <f t="shared" si="115"/>
        <v>347.98196874949542</v>
      </c>
      <c r="T97" s="8">
        <f t="shared" si="116"/>
        <v>686.92957822949541</v>
      </c>
      <c r="U97" s="8"/>
      <c r="V97" s="8"/>
    </row>
    <row r="98" spans="1:22" ht="15" customHeight="1" x14ac:dyDescent="0.3">
      <c r="A98" s="12" t="s">
        <v>102</v>
      </c>
      <c r="B98" s="8">
        <v>130.88287770000002</v>
      </c>
      <c r="C98" s="8">
        <v>78.049777589999977</v>
      </c>
      <c r="D98" s="8">
        <v>112.10336951999999</v>
      </c>
      <c r="E98" s="8">
        <f t="shared" si="107"/>
        <v>321.03602481000001</v>
      </c>
      <c r="F98" s="8">
        <v>195.31109307000008</v>
      </c>
      <c r="G98" s="8">
        <v>126.32008238999998</v>
      </c>
      <c r="H98" s="8">
        <v>106.74052951999998</v>
      </c>
      <c r="I98" s="8">
        <f t="shared" si="109"/>
        <v>428.37170498000006</v>
      </c>
      <c r="J98" s="8">
        <f t="shared" si="110"/>
        <v>749.40772979000008</v>
      </c>
      <c r="K98" s="8">
        <v>106.16670536999999</v>
      </c>
      <c r="L98" s="8">
        <v>135.9709110199999</v>
      </c>
      <c r="M98" s="8">
        <v>98.470837490000008</v>
      </c>
      <c r="N98" s="8">
        <f t="shared" si="112"/>
        <v>340.6084538799999</v>
      </c>
      <c r="O98" s="8">
        <v>95.320475990000006</v>
      </c>
      <c r="P98" s="8">
        <v>131.34652244000009</v>
      </c>
      <c r="Q98" s="8">
        <v>113.93614956658182</v>
      </c>
      <c r="R98" s="8">
        <f t="shared" si="114"/>
        <v>340.60314799658192</v>
      </c>
      <c r="S98" s="8">
        <f t="shared" si="115"/>
        <v>681.21160187658188</v>
      </c>
      <c r="T98" s="8">
        <f t="shared" si="116"/>
        <v>1430.619331666582</v>
      </c>
      <c r="U98" s="8"/>
      <c r="V98" s="8"/>
    </row>
    <row r="99" spans="1:22" ht="15" customHeight="1" x14ac:dyDescent="0.3">
      <c r="A99" s="12" t="s">
        <v>103</v>
      </c>
      <c r="B99" s="8">
        <v>37.305345090000003</v>
      </c>
      <c r="C99" s="8">
        <v>42.733182899999989</v>
      </c>
      <c r="D99" s="8">
        <v>52.126796040000009</v>
      </c>
      <c r="E99" s="8">
        <f t="shared" si="107"/>
        <v>132.16532402999999</v>
      </c>
      <c r="F99" s="8">
        <v>80.921686419999986</v>
      </c>
      <c r="G99" s="8">
        <v>66.221327760000008</v>
      </c>
      <c r="H99" s="8">
        <v>62.542176429999984</v>
      </c>
      <c r="I99" s="8">
        <f t="shared" si="109"/>
        <v>209.68519060999998</v>
      </c>
      <c r="J99" s="8">
        <f t="shared" si="110"/>
        <v>341.85051463999997</v>
      </c>
      <c r="K99" s="8">
        <v>55.422448110000005</v>
      </c>
      <c r="L99" s="8">
        <v>56.261510070000007</v>
      </c>
      <c r="M99" s="8">
        <v>65.077088410000016</v>
      </c>
      <c r="N99" s="8">
        <f t="shared" si="112"/>
        <v>176.76104659000003</v>
      </c>
      <c r="O99" s="8">
        <v>61.894013910000005</v>
      </c>
      <c r="P99" s="8">
        <v>55.712247850000011</v>
      </c>
      <c r="Q99" s="8">
        <v>80.204757265217907</v>
      </c>
      <c r="R99" s="8">
        <f t="shared" si="114"/>
        <v>197.81101902521794</v>
      </c>
      <c r="S99" s="8">
        <f t="shared" si="115"/>
        <v>374.57206561521798</v>
      </c>
      <c r="T99" s="8">
        <f t="shared" si="116"/>
        <v>716.42258025521801</v>
      </c>
      <c r="U99" s="8"/>
      <c r="V99" s="8"/>
    </row>
    <row r="100" spans="1:22" ht="15" customHeight="1" x14ac:dyDescent="0.3">
      <c r="A100" s="12" t="s">
        <v>104</v>
      </c>
      <c r="B100" s="8">
        <v>65.911491639999994</v>
      </c>
      <c r="C100" s="8">
        <v>94.263817899999992</v>
      </c>
      <c r="D100" s="8">
        <v>90.026987460000015</v>
      </c>
      <c r="E100" s="8">
        <f t="shared" si="107"/>
        <v>250.20229700000002</v>
      </c>
      <c r="F100" s="8">
        <v>121.32904121000001</v>
      </c>
      <c r="G100" s="8">
        <v>100.89749959000001</v>
      </c>
      <c r="H100" s="8">
        <v>107.25930836999999</v>
      </c>
      <c r="I100" s="8">
        <f t="shared" si="109"/>
        <v>329.48584916999999</v>
      </c>
      <c r="J100" s="8">
        <f t="shared" si="110"/>
        <v>579.68814616999998</v>
      </c>
      <c r="K100" s="8">
        <v>80.935570780000035</v>
      </c>
      <c r="L100" s="8">
        <v>87.112163769999995</v>
      </c>
      <c r="M100" s="8">
        <v>88.137681099999995</v>
      </c>
      <c r="N100" s="8">
        <f t="shared" si="112"/>
        <v>256.18541565000004</v>
      </c>
      <c r="O100" s="8">
        <v>89.107674860000017</v>
      </c>
      <c r="P100" s="8">
        <v>82.321754150000004</v>
      </c>
      <c r="Q100" s="8">
        <v>79.846187502246991</v>
      </c>
      <c r="R100" s="8">
        <f t="shared" si="114"/>
        <v>251.27561651224704</v>
      </c>
      <c r="S100" s="8">
        <f t="shared" si="115"/>
        <v>507.46103216224708</v>
      </c>
      <c r="T100" s="8">
        <f t="shared" si="116"/>
        <v>1087.1491783322472</v>
      </c>
      <c r="U100" s="8"/>
      <c r="V100" s="8"/>
    </row>
    <row r="101" spans="1:22" ht="15" customHeight="1" x14ac:dyDescent="0.3">
      <c r="A101" s="12" t="s">
        <v>105</v>
      </c>
      <c r="B101" s="8">
        <v>45.547401860000008</v>
      </c>
      <c r="C101" s="8">
        <v>43.427178379999994</v>
      </c>
      <c r="D101" s="8">
        <v>32.377340929999995</v>
      </c>
      <c r="E101" s="8">
        <f t="shared" si="107"/>
        <v>121.35192117</v>
      </c>
      <c r="F101" s="8">
        <v>67.770011879999998</v>
      </c>
      <c r="G101" s="8">
        <v>57.422232880000003</v>
      </c>
      <c r="H101" s="8">
        <v>65.715541970000004</v>
      </c>
      <c r="I101" s="8">
        <f t="shared" si="109"/>
        <v>190.90778673</v>
      </c>
      <c r="J101" s="8">
        <f t="shared" si="110"/>
        <v>312.25970789999997</v>
      </c>
      <c r="K101" s="8">
        <v>40.960353519999998</v>
      </c>
      <c r="L101" s="8">
        <v>63.114420629999969</v>
      </c>
      <c r="M101" s="8">
        <v>42.370525979999996</v>
      </c>
      <c r="N101" s="8">
        <f t="shared" si="112"/>
        <v>146.44530012999996</v>
      </c>
      <c r="O101" s="8">
        <v>46.117248959999991</v>
      </c>
      <c r="P101" s="8">
        <v>52.368312520000003</v>
      </c>
      <c r="Q101" s="8">
        <v>46.832102760446986</v>
      </c>
      <c r="R101" s="8">
        <f t="shared" si="114"/>
        <v>145.31766424044699</v>
      </c>
      <c r="S101" s="8">
        <f t="shared" si="115"/>
        <v>291.76296437044698</v>
      </c>
      <c r="T101" s="8">
        <f t="shared" si="116"/>
        <v>604.02267227044695</v>
      </c>
      <c r="U101" s="8"/>
      <c r="V101" s="8"/>
    </row>
    <row r="102" spans="1:22" ht="18" customHeight="1" x14ac:dyDescent="0.3">
      <c r="A102" s="12" t="s">
        <v>106</v>
      </c>
      <c r="B102" s="8">
        <v>288.70465794</v>
      </c>
      <c r="C102" s="8">
        <v>231.33803998000008</v>
      </c>
      <c r="D102" s="8">
        <v>229.27207945000004</v>
      </c>
      <c r="E102" s="8">
        <f t="shared" si="107"/>
        <v>749.31477737000023</v>
      </c>
      <c r="F102" s="8">
        <v>317.27139982999978</v>
      </c>
      <c r="G102" s="8">
        <v>242.74034866000008</v>
      </c>
      <c r="H102" s="8">
        <v>272.27882242999993</v>
      </c>
      <c r="I102" s="8">
        <f t="shared" si="109"/>
        <v>832.29057091999971</v>
      </c>
      <c r="J102" s="8">
        <f t="shared" si="110"/>
        <v>1581.6053482899999</v>
      </c>
      <c r="K102" s="8">
        <v>277.83174154</v>
      </c>
      <c r="L102" s="8">
        <v>276.79075161000003</v>
      </c>
      <c r="M102" s="8">
        <v>326.77131736000001</v>
      </c>
      <c r="N102" s="8">
        <f t="shared" si="112"/>
        <v>881.39381051000009</v>
      </c>
      <c r="O102" s="8">
        <v>299.83355475000002</v>
      </c>
      <c r="P102" s="8">
        <v>264.40254283000007</v>
      </c>
      <c r="Q102" s="8">
        <v>284.20069082192151</v>
      </c>
      <c r="R102" s="8">
        <f t="shared" si="114"/>
        <v>848.4367884019216</v>
      </c>
      <c r="S102" s="8">
        <f t="shared" si="115"/>
        <v>1729.8305989119217</v>
      </c>
      <c r="T102" s="8">
        <f t="shared" si="116"/>
        <v>3311.4359472019214</v>
      </c>
      <c r="U102" s="8"/>
      <c r="V102" s="8"/>
    </row>
    <row r="103" spans="1:22" s="10" customFormat="1" ht="15" customHeight="1" x14ac:dyDescent="0.3">
      <c r="A103" s="12"/>
      <c r="B103" s="11"/>
      <c r="C103" s="11"/>
      <c r="D103" s="11"/>
      <c r="E103" s="11"/>
      <c r="F103" s="11"/>
      <c r="G103" s="11"/>
      <c r="H103" s="11"/>
      <c r="I103" s="11"/>
      <c r="J103" s="11"/>
      <c r="K103" s="11"/>
      <c r="L103" s="11"/>
      <c r="M103" s="11"/>
      <c r="N103" s="11"/>
      <c r="O103" s="11"/>
      <c r="P103" s="11"/>
      <c r="Q103" s="11"/>
      <c r="R103" s="11"/>
      <c r="S103" s="11"/>
      <c r="T103" s="11"/>
      <c r="U103" s="11"/>
      <c r="V103" s="11"/>
    </row>
    <row r="104" spans="1:22" s="10" customFormat="1" ht="15" customHeight="1" x14ac:dyDescent="0.25">
      <c r="A104" s="13" t="s">
        <v>107</v>
      </c>
      <c r="B104" s="11">
        <f>SUM(B105:B109)</f>
        <v>500.67792849</v>
      </c>
      <c r="C104" s="11">
        <f t="shared" ref="C104:D104" si="117">SUM(C105:C109)</f>
        <v>330.64639224999996</v>
      </c>
      <c r="D104" s="11">
        <f t="shared" si="117"/>
        <v>398.70519451999996</v>
      </c>
      <c r="E104" s="11">
        <f t="shared" ref="E104:E107" si="118">SUM(B104:D104)</f>
        <v>1230.0295152599999</v>
      </c>
      <c r="F104" s="11">
        <f t="shared" ref="F104:H104" si="119">SUM(F105:F109)</f>
        <v>671.28943120999998</v>
      </c>
      <c r="G104" s="11">
        <f t="shared" si="119"/>
        <v>478.09683637000001</v>
      </c>
      <c r="H104" s="11">
        <f t="shared" si="119"/>
        <v>467.03276091999999</v>
      </c>
      <c r="I104" s="11">
        <f t="shared" ref="I104:I107" si="120">SUM(F104:H104)</f>
        <v>1616.4190285</v>
      </c>
      <c r="J104" s="11">
        <f t="shared" ref="J104:J107" si="121">+E104+I104</f>
        <v>2846.4485437599997</v>
      </c>
      <c r="K104" s="11">
        <f t="shared" ref="K104:M104" si="122">SUM(K105:K109)</f>
        <v>496.89366040000004</v>
      </c>
      <c r="L104" s="11">
        <f t="shared" si="122"/>
        <v>500.77205049000003</v>
      </c>
      <c r="M104" s="11">
        <f t="shared" si="122"/>
        <v>478.28173502999999</v>
      </c>
      <c r="N104" s="11">
        <f t="shared" ref="N104:N107" si="123">SUM(K104:M104)</f>
        <v>1475.9474459200001</v>
      </c>
      <c r="O104" s="11">
        <f t="shared" ref="O104:Q104" si="124">SUM(O105:O109)</f>
        <v>469.40605823999999</v>
      </c>
      <c r="P104" s="11">
        <f t="shared" si="124"/>
        <v>590.95803494999996</v>
      </c>
      <c r="Q104" s="11">
        <f t="shared" si="124"/>
        <v>478.62485090201255</v>
      </c>
      <c r="R104" s="11">
        <f t="shared" ref="R104:R107" si="125">SUM(O104:Q104)</f>
        <v>1538.9889440920124</v>
      </c>
      <c r="S104" s="11">
        <f t="shared" ref="S104:S107" si="126">+N104+R104</f>
        <v>3014.9363900120125</v>
      </c>
      <c r="T104" s="11">
        <f t="shared" ref="T104:T107" si="127">+J104+S104</f>
        <v>5861.3849337720121</v>
      </c>
      <c r="U104" s="11"/>
      <c r="V104" s="11"/>
    </row>
    <row r="105" spans="1:22" ht="15" customHeight="1" x14ac:dyDescent="0.3">
      <c r="A105" s="12" t="s">
        <v>108</v>
      </c>
      <c r="B105" s="8">
        <v>92.638979789999993</v>
      </c>
      <c r="C105" s="8">
        <v>70.61077591999998</v>
      </c>
      <c r="D105" s="8">
        <v>103.92823236999998</v>
      </c>
      <c r="E105" s="8">
        <f t="shared" si="118"/>
        <v>267.17798807999998</v>
      </c>
      <c r="F105" s="8">
        <v>183.99028960999996</v>
      </c>
      <c r="G105" s="8">
        <v>110.22216816999999</v>
      </c>
      <c r="H105" s="8">
        <v>118.00731188</v>
      </c>
      <c r="I105" s="8">
        <f t="shared" si="120"/>
        <v>412.21976966</v>
      </c>
      <c r="J105" s="8">
        <f t="shared" si="121"/>
        <v>679.39775773999997</v>
      </c>
      <c r="K105" s="8">
        <v>117.42308275000003</v>
      </c>
      <c r="L105" s="8">
        <v>119.96366772999998</v>
      </c>
      <c r="M105" s="8">
        <v>117.65614228999998</v>
      </c>
      <c r="N105" s="8">
        <f t="shared" si="123"/>
        <v>355.04289276999998</v>
      </c>
      <c r="O105" s="8">
        <v>109.90303830000001</v>
      </c>
      <c r="P105" s="8">
        <v>134.15971254999991</v>
      </c>
      <c r="Q105" s="8">
        <v>104.79890245968279</v>
      </c>
      <c r="R105" s="8">
        <f t="shared" si="125"/>
        <v>348.86165330968271</v>
      </c>
      <c r="S105" s="8">
        <f t="shared" si="126"/>
        <v>703.90454607968263</v>
      </c>
      <c r="T105" s="8">
        <f t="shared" si="127"/>
        <v>1383.3023038196825</v>
      </c>
      <c r="U105" s="8"/>
      <c r="V105" s="8"/>
    </row>
    <row r="106" spans="1:22" ht="15" customHeight="1" x14ac:dyDescent="0.3">
      <c r="A106" s="12" t="s">
        <v>109</v>
      </c>
      <c r="B106" s="8">
        <v>84.222778569999988</v>
      </c>
      <c r="C106" s="8">
        <v>63.857783019999992</v>
      </c>
      <c r="D106" s="8">
        <v>75.586528059999992</v>
      </c>
      <c r="E106" s="8">
        <f t="shared" si="118"/>
        <v>223.66708964999998</v>
      </c>
      <c r="F106" s="8">
        <v>109.48338446000002</v>
      </c>
      <c r="G106" s="8">
        <v>88.143631079999992</v>
      </c>
      <c r="H106" s="8">
        <v>83.211587440000002</v>
      </c>
      <c r="I106" s="8">
        <f t="shared" si="120"/>
        <v>280.83860298000002</v>
      </c>
      <c r="J106" s="8">
        <f t="shared" si="121"/>
        <v>504.50569263</v>
      </c>
      <c r="K106" s="8">
        <v>90.214652200000018</v>
      </c>
      <c r="L106" s="8">
        <v>87.941101459999999</v>
      </c>
      <c r="M106" s="8">
        <v>82.922734949999992</v>
      </c>
      <c r="N106" s="8">
        <f t="shared" si="123"/>
        <v>261.07848861000002</v>
      </c>
      <c r="O106" s="8">
        <v>88.346656609999982</v>
      </c>
      <c r="P106" s="8">
        <v>97.012283970000027</v>
      </c>
      <c r="Q106" s="8">
        <v>90.26130786170431</v>
      </c>
      <c r="R106" s="8">
        <f t="shared" si="125"/>
        <v>275.62024844170435</v>
      </c>
      <c r="S106" s="8">
        <f t="shared" si="126"/>
        <v>536.69873705170437</v>
      </c>
      <c r="T106" s="8">
        <f t="shared" si="127"/>
        <v>1041.2044296817044</v>
      </c>
      <c r="U106" s="8"/>
      <c r="V106" s="8"/>
    </row>
    <row r="107" spans="1:22" ht="15" customHeight="1" x14ac:dyDescent="0.3">
      <c r="A107" s="12" t="s">
        <v>110</v>
      </c>
      <c r="B107" s="8">
        <v>46.866740839999991</v>
      </c>
      <c r="C107" s="8">
        <v>38.142079609999996</v>
      </c>
      <c r="D107" s="8">
        <v>35.687994659999994</v>
      </c>
      <c r="E107" s="8">
        <f t="shared" si="118"/>
        <v>120.69681510999999</v>
      </c>
      <c r="F107" s="8">
        <v>55.815020789999998</v>
      </c>
      <c r="G107" s="8">
        <v>43.522379700000002</v>
      </c>
      <c r="H107" s="8">
        <v>41.454359230000001</v>
      </c>
      <c r="I107" s="8">
        <f t="shared" si="120"/>
        <v>140.79175971999999</v>
      </c>
      <c r="J107" s="8">
        <f t="shared" si="121"/>
        <v>261.48857482999995</v>
      </c>
      <c r="K107" s="8">
        <v>55.241845759999997</v>
      </c>
      <c r="L107" s="8">
        <v>40.335372730000003</v>
      </c>
      <c r="M107" s="8">
        <v>46.895713269999995</v>
      </c>
      <c r="N107" s="8">
        <f t="shared" si="123"/>
        <v>142.47293175999999</v>
      </c>
      <c r="O107" s="8">
        <v>48.657814039999998</v>
      </c>
      <c r="P107" s="8">
        <v>46.546119709999999</v>
      </c>
      <c r="Q107" s="8">
        <v>39.714733517168895</v>
      </c>
      <c r="R107" s="8">
        <f t="shared" si="125"/>
        <v>134.9186672671689</v>
      </c>
      <c r="S107" s="8">
        <f t="shared" si="126"/>
        <v>277.39159902716892</v>
      </c>
      <c r="T107" s="8">
        <f t="shared" si="127"/>
        <v>538.88017385716887</v>
      </c>
      <c r="U107" s="8"/>
      <c r="V107" s="8"/>
    </row>
    <row r="108" spans="1:22" ht="18" customHeight="1" x14ac:dyDescent="0.3">
      <c r="A108" s="12" t="s">
        <v>111</v>
      </c>
      <c r="B108" s="8"/>
      <c r="C108" s="8"/>
      <c r="D108" s="8"/>
      <c r="E108" s="8"/>
      <c r="F108" s="8"/>
      <c r="G108" s="8"/>
      <c r="H108" s="8"/>
      <c r="I108" s="8"/>
      <c r="J108" s="8"/>
      <c r="K108" s="8"/>
      <c r="L108" s="8"/>
      <c r="M108" s="8"/>
      <c r="N108" s="8"/>
      <c r="O108" s="8"/>
      <c r="P108" s="8"/>
      <c r="Q108" s="8"/>
      <c r="R108" s="8"/>
      <c r="S108" s="8"/>
      <c r="T108" s="8"/>
      <c r="U108" s="8"/>
      <c r="V108" s="8"/>
    </row>
    <row r="109" spans="1:22" ht="15" customHeight="1" x14ac:dyDescent="0.3">
      <c r="A109" s="12" t="s">
        <v>112</v>
      </c>
      <c r="B109" s="8">
        <v>276.94942929000001</v>
      </c>
      <c r="C109" s="8">
        <v>158.03575369999999</v>
      </c>
      <c r="D109" s="8">
        <v>183.50243943000004</v>
      </c>
      <c r="E109" s="8">
        <f>SUM(B109:D109)</f>
        <v>618.48762241999998</v>
      </c>
      <c r="F109" s="8">
        <v>322.00073634999995</v>
      </c>
      <c r="G109" s="8">
        <v>236.20865742000001</v>
      </c>
      <c r="H109" s="8">
        <v>224.35950237</v>
      </c>
      <c r="I109" s="8">
        <f>SUM(F109:H109)</f>
        <v>782.56889613999988</v>
      </c>
      <c r="J109" s="8">
        <f t="shared" ref="J109" si="128">+E109+I109</f>
        <v>1401.0565185599999</v>
      </c>
      <c r="K109" s="8">
        <v>234.01407968999999</v>
      </c>
      <c r="L109" s="8">
        <v>252.53190857000004</v>
      </c>
      <c r="M109" s="8">
        <v>230.80714452000004</v>
      </c>
      <c r="N109" s="8">
        <f>SUM(K109:M109)</f>
        <v>717.35313278000012</v>
      </c>
      <c r="O109" s="8">
        <v>222.49854929000003</v>
      </c>
      <c r="P109" s="8">
        <v>313.23991871999999</v>
      </c>
      <c r="Q109" s="8">
        <v>243.84990706345658</v>
      </c>
      <c r="R109" s="8">
        <f>SUM(O109:Q109)</f>
        <v>779.58837507345663</v>
      </c>
      <c r="S109" s="8">
        <f t="shared" ref="S109" si="129">+N109+R109</f>
        <v>1496.9415078534566</v>
      </c>
      <c r="T109" s="8">
        <f>+J109+S109</f>
        <v>2897.9980264134565</v>
      </c>
      <c r="U109" s="8"/>
      <c r="V109" s="8"/>
    </row>
    <row r="110" spans="1:22" s="10" customFormat="1" ht="15" customHeight="1" x14ac:dyDescent="0.3">
      <c r="A110" s="12"/>
      <c r="B110" s="11"/>
      <c r="C110" s="11"/>
      <c r="D110" s="11"/>
      <c r="E110" s="11"/>
      <c r="F110" s="11"/>
      <c r="G110" s="11"/>
      <c r="H110" s="11"/>
      <c r="I110" s="11"/>
      <c r="J110" s="11"/>
      <c r="K110" s="11"/>
      <c r="L110" s="11"/>
      <c r="M110" s="11"/>
      <c r="N110" s="11"/>
      <c r="O110" s="11"/>
      <c r="P110" s="11"/>
      <c r="Q110" s="11"/>
      <c r="R110" s="11"/>
      <c r="S110" s="11"/>
      <c r="T110" s="11"/>
      <c r="U110" s="11"/>
      <c r="V110" s="11"/>
    </row>
    <row r="111" spans="1:22" s="10" customFormat="1" ht="15" customHeight="1" x14ac:dyDescent="0.25">
      <c r="A111" s="13" t="s">
        <v>113</v>
      </c>
      <c r="B111" s="11">
        <f>SUM(B112:B116)</f>
        <v>993.46680301000015</v>
      </c>
      <c r="C111" s="11">
        <f t="shared" ref="C111:D111" si="130">SUM(C112:C116)</f>
        <v>724.06724797999993</v>
      </c>
      <c r="D111" s="11">
        <f t="shared" si="130"/>
        <v>904.29467412000008</v>
      </c>
      <c r="E111" s="11">
        <f t="shared" ref="E111:E116" si="131">SUM(B111:D111)</f>
        <v>2621.8287251100001</v>
      </c>
      <c r="F111" s="11">
        <f t="shared" ref="F111:H111" si="132">SUM(F112:F116)</f>
        <v>1272.4830411300004</v>
      </c>
      <c r="G111" s="11">
        <f t="shared" si="132"/>
        <v>1185.3997436900002</v>
      </c>
      <c r="H111" s="11">
        <f t="shared" si="132"/>
        <v>961.12549749999982</v>
      </c>
      <c r="I111" s="11">
        <f t="shared" ref="I111:I116" si="133">SUM(F111:H111)</f>
        <v>3419.0082823200005</v>
      </c>
      <c r="J111" s="11">
        <f t="shared" ref="J111:J116" si="134">+E111+I111</f>
        <v>6040.8370074300001</v>
      </c>
      <c r="K111" s="11">
        <f t="shared" ref="K111:M111" si="135">SUM(K112:K116)</f>
        <v>880.79028548999986</v>
      </c>
      <c r="L111" s="11">
        <f t="shared" si="135"/>
        <v>1185.3630224499996</v>
      </c>
      <c r="M111" s="11">
        <f t="shared" si="135"/>
        <v>953.45756051999979</v>
      </c>
      <c r="N111" s="11">
        <f t="shared" ref="N111:N116" si="136">SUM(K111:M111)</f>
        <v>3019.6108684599994</v>
      </c>
      <c r="O111" s="11">
        <f t="shared" ref="O111:Q111" si="137">SUM(O112:O116)</f>
        <v>869.70968554000081</v>
      </c>
      <c r="P111" s="11">
        <f t="shared" si="137"/>
        <v>1098.1078463999997</v>
      </c>
      <c r="Q111" s="11">
        <f t="shared" si="137"/>
        <v>922.25089018016865</v>
      </c>
      <c r="R111" s="11">
        <f t="shared" ref="R111:R116" si="138">SUM(O111:Q111)</f>
        <v>2890.0684221201691</v>
      </c>
      <c r="S111" s="11">
        <f t="shared" ref="S111:S116" si="139">+N111+R111</f>
        <v>5909.6792905801685</v>
      </c>
      <c r="T111" s="11">
        <f t="shared" ref="T111:T116" si="140">+J111+S111</f>
        <v>11950.516298010169</v>
      </c>
      <c r="U111" s="11"/>
      <c r="V111" s="11"/>
    </row>
    <row r="112" spans="1:22" ht="15" customHeight="1" x14ac:dyDescent="0.3">
      <c r="A112" s="12" t="s">
        <v>114</v>
      </c>
      <c r="B112" s="8">
        <v>155.10686283999996</v>
      </c>
      <c r="C112" s="8">
        <v>99.399779669999987</v>
      </c>
      <c r="D112" s="8">
        <v>120.26587536999997</v>
      </c>
      <c r="E112" s="8">
        <f t="shared" si="131"/>
        <v>374.7725178799999</v>
      </c>
      <c r="F112" s="8">
        <v>211.99568267999993</v>
      </c>
      <c r="G112" s="8">
        <v>127.93044230000001</v>
      </c>
      <c r="H112" s="8">
        <v>144.83853393000001</v>
      </c>
      <c r="I112" s="8">
        <f t="shared" si="133"/>
        <v>484.76465890999998</v>
      </c>
      <c r="J112" s="8">
        <f t="shared" si="134"/>
        <v>859.53717678999988</v>
      </c>
      <c r="K112" s="8">
        <v>130.70652455299995</v>
      </c>
      <c r="L112" s="8">
        <v>137.48989895999998</v>
      </c>
      <c r="M112" s="8">
        <v>135.770503773</v>
      </c>
      <c r="N112" s="8">
        <f t="shared" si="136"/>
        <v>403.96692728599987</v>
      </c>
      <c r="O112" s="8">
        <v>155.9392374</v>
      </c>
      <c r="P112" s="8">
        <v>135.84090061999996</v>
      </c>
      <c r="Q112" s="8">
        <v>143.95701729291727</v>
      </c>
      <c r="R112" s="8">
        <f t="shared" si="138"/>
        <v>435.73715531291725</v>
      </c>
      <c r="S112" s="8">
        <f t="shared" si="139"/>
        <v>839.70408259891713</v>
      </c>
      <c r="T112" s="8">
        <f t="shared" si="140"/>
        <v>1699.2412593889171</v>
      </c>
      <c r="U112" s="8"/>
      <c r="V112" s="8"/>
    </row>
    <row r="113" spans="1:22" ht="15" customHeight="1" x14ac:dyDescent="0.3">
      <c r="A113" s="12" t="s">
        <v>115</v>
      </c>
      <c r="B113" s="8">
        <v>135.25274711000009</v>
      </c>
      <c r="C113" s="8">
        <v>135.16994059000004</v>
      </c>
      <c r="D113" s="8">
        <v>142.92763629999999</v>
      </c>
      <c r="E113" s="8">
        <f t="shared" si="131"/>
        <v>413.35032400000011</v>
      </c>
      <c r="F113" s="8">
        <v>149.17840552000001</v>
      </c>
      <c r="G113" s="8">
        <v>142.36702493000001</v>
      </c>
      <c r="H113" s="8">
        <v>166.93542674999992</v>
      </c>
      <c r="I113" s="8">
        <f t="shared" si="133"/>
        <v>458.48085719999995</v>
      </c>
      <c r="J113" s="8">
        <f t="shared" si="134"/>
        <v>871.83118120000006</v>
      </c>
      <c r="K113" s="8">
        <v>121.38481929000002</v>
      </c>
      <c r="L113" s="8">
        <v>157.07312818000003</v>
      </c>
      <c r="M113" s="8">
        <v>113.63767932</v>
      </c>
      <c r="N113" s="8">
        <f t="shared" si="136"/>
        <v>392.09562679000004</v>
      </c>
      <c r="O113" s="8">
        <v>129.13592494999997</v>
      </c>
      <c r="P113" s="8">
        <v>165.11963642000003</v>
      </c>
      <c r="Q113" s="8">
        <v>123.91386945245034</v>
      </c>
      <c r="R113" s="8">
        <f t="shared" si="138"/>
        <v>418.16943082245035</v>
      </c>
      <c r="S113" s="8">
        <f t="shared" si="139"/>
        <v>810.26505761245039</v>
      </c>
      <c r="T113" s="8">
        <f t="shared" si="140"/>
        <v>1682.0962388124503</v>
      </c>
      <c r="U113" s="8"/>
      <c r="V113" s="8"/>
    </row>
    <row r="114" spans="1:22" ht="15" customHeight="1" x14ac:dyDescent="0.3">
      <c r="A114" s="12" t="s">
        <v>116</v>
      </c>
      <c r="B114" s="8">
        <v>87.767030210000001</v>
      </c>
      <c r="C114" s="8">
        <v>67.44968541999998</v>
      </c>
      <c r="D114" s="8">
        <v>69.903455009999988</v>
      </c>
      <c r="E114" s="8">
        <f t="shared" si="131"/>
        <v>225.12017063999997</v>
      </c>
      <c r="F114" s="8">
        <v>106.49961880000001</v>
      </c>
      <c r="G114" s="8">
        <v>76.567499539999986</v>
      </c>
      <c r="H114" s="8">
        <v>80.673727940000006</v>
      </c>
      <c r="I114" s="8">
        <f t="shared" si="133"/>
        <v>263.74084627999997</v>
      </c>
      <c r="J114" s="8">
        <f t="shared" si="134"/>
        <v>488.86101691999994</v>
      </c>
      <c r="K114" s="8">
        <v>79.595449700000032</v>
      </c>
      <c r="L114" s="8">
        <v>87.210596490000015</v>
      </c>
      <c r="M114" s="8">
        <v>83.84152216999999</v>
      </c>
      <c r="N114" s="8">
        <f t="shared" si="136"/>
        <v>250.64756836000004</v>
      </c>
      <c r="O114" s="8">
        <v>89.054400680000029</v>
      </c>
      <c r="P114" s="8">
        <v>91.007685420000001</v>
      </c>
      <c r="Q114" s="8">
        <v>89.855394676402298</v>
      </c>
      <c r="R114" s="8">
        <f t="shared" si="138"/>
        <v>269.91748077640233</v>
      </c>
      <c r="S114" s="8">
        <f t="shared" si="139"/>
        <v>520.56504913640242</v>
      </c>
      <c r="T114" s="8">
        <f t="shared" si="140"/>
        <v>1009.4260660564023</v>
      </c>
      <c r="U114" s="8"/>
      <c r="V114" s="8"/>
    </row>
    <row r="115" spans="1:22" ht="18" customHeight="1" x14ac:dyDescent="0.3">
      <c r="A115" s="12" t="s">
        <v>117</v>
      </c>
      <c r="B115" s="8">
        <v>42.080579239999999</v>
      </c>
      <c r="C115" s="8">
        <v>31.010455449999998</v>
      </c>
      <c r="D115" s="8">
        <v>22.547455829999997</v>
      </c>
      <c r="E115" s="8">
        <f t="shared" si="131"/>
        <v>95.638490520000005</v>
      </c>
      <c r="F115" s="8">
        <v>47.462858320000009</v>
      </c>
      <c r="G115" s="8">
        <v>62.778834290000006</v>
      </c>
      <c r="H115" s="8">
        <v>29.920690910000001</v>
      </c>
      <c r="I115" s="8">
        <f t="shared" si="133"/>
        <v>140.16238352000002</v>
      </c>
      <c r="J115" s="8">
        <f t="shared" si="134"/>
        <v>235.80087404000002</v>
      </c>
      <c r="K115" s="8">
        <v>41.865056150000001</v>
      </c>
      <c r="L115" s="8">
        <v>46.799185100000003</v>
      </c>
      <c r="M115" s="8">
        <v>34.08894749000001</v>
      </c>
      <c r="N115" s="8">
        <f t="shared" si="136"/>
        <v>122.75318874000001</v>
      </c>
      <c r="O115" s="8">
        <v>29.300999389999998</v>
      </c>
      <c r="P115" s="8">
        <v>45.298034589999993</v>
      </c>
      <c r="Q115" s="8">
        <v>39.770410038164535</v>
      </c>
      <c r="R115" s="8">
        <f t="shared" si="138"/>
        <v>114.36944401816453</v>
      </c>
      <c r="S115" s="8">
        <f t="shared" si="139"/>
        <v>237.12263275816454</v>
      </c>
      <c r="T115" s="8">
        <f t="shared" si="140"/>
        <v>472.92350679816457</v>
      </c>
      <c r="U115" s="8"/>
      <c r="V115" s="8"/>
    </row>
    <row r="116" spans="1:22" ht="18" customHeight="1" x14ac:dyDescent="0.3">
      <c r="A116" s="12" t="s">
        <v>118</v>
      </c>
      <c r="B116" s="8">
        <v>573.25958361000005</v>
      </c>
      <c r="C116" s="8">
        <v>391.03738684999996</v>
      </c>
      <c r="D116" s="8">
        <v>548.65025161000017</v>
      </c>
      <c r="E116" s="8">
        <f t="shared" si="131"/>
        <v>1512.9472220700002</v>
      </c>
      <c r="F116" s="8">
        <v>757.34647581000036</v>
      </c>
      <c r="G116" s="8">
        <v>775.75594263000005</v>
      </c>
      <c r="H116" s="8">
        <v>538.75711796999985</v>
      </c>
      <c r="I116" s="8">
        <f t="shared" si="133"/>
        <v>2071.8595364100001</v>
      </c>
      <c r="J116" s="8">
        <f t="shared" si="134"/>
        <v>3584.8067584800001</v>
      </c>
      <c r="K116" s="8">
        <v>507.23843579699985</v>
      </c>
      <c r="L116" s="8">
        <v>756.79021371999954</v>
      </c>
      <c r="M116" s="8">
        <v>586.11890776699977</v>
      </c>
      <c r="N116" s="8">
        <f t="shared" si="136"/>
        <v>1850.147557283999</v>
      </c>
      <c r="O116" s="8">
        <v>466.2791231200008</v>
      </c>
      <c r="P116" s="8">
        <v>660.84158934999971</v>
      </c>
      <c r="Q116" s="8">
        <v>524.75419872023417</v>
      </c>
      <c r="R116" s="8">
        <f t="shared" si="138"/>
        <v>1651.8749111902346</v>
      </c>
      <c r="S116" s="8">
        <f t="shared" si="139"/>
        <v>3502.0224684742334</v>
      </c>
      <c r="T116" s="8">
        <f t="shared" si="140"/>
        <v>7086.8292269542335</v>
      </c>
      <c r="U116" s="8"/>
      <c r="V116" s="8"/>
    </row>
    <row r="117" spans="1:22" s="10" customFormat="1" ht="15" customHeight="1" x14ac:dyDescent="0.3">
      <c r="A117" s="12"/>
      <c r="B117" s="11"/>
      <c r="C117" s="11"/>
      <c r="D117" s="11"/>
      <c r="E117" s="11"/>
      <c r="F117" s="11"/>
      <c r="G117" s="11"/>
      <c r="H117" s="11"/>
      <c r="I117" s="11"/>
      <c r="J117" s="11"/>
      <c r="K117" s="11"/>
      <c r="L117" s="11"/>
      <c r="M117" s="11"/>
      <c r="N117" s="11"/>
      <c r="O117" s="11"/>
      <c r="P117" s="11"/>
      <c r="Q117" s="11"/>
      <c r="R117" s="11"/>
      <c r="S117" s="11"/>
      <c r="T117" s="11"/>
      <c r="U117" s="11"/>
      <c r="V117" s="11"/>
    </row>
    <row r="118" spans="1:22" s="10" customFormat="1" ht="15" customHeight="1" x14ac:dyDescent="0.25">
      <c r="A118" s="13" t="s">
        <v>119</v>
      </c>
      <c r="B118" s="11">
        <f>SUM(B119:B123)</f>
        <v>1290.5873131599997</v>
      </c>
      <c r="C118" s="11">
        <f t="shared" ref="C118:D118" si="141">SUM(C119:C123)</f>
        <v>1024.4163964899999</v>
      </c>
      <c r="D118" s="11">
        <f t="shared" si="141"/>
        <v>1150.6698974800001</v>
      </c>
      <c r="E118" s="11">
        <f t="shared" ref="E118:E122" si="142">SUM(B118:D118)</f>
        <v>3465.6736071299997</v>
      </c>
      <c r="F118" s="11">
        <f t="shared" ref="F118:H118" si="143">SUM(F119:F123)</f>
        <v>1851.7555932200007</v>
      </c>
      <c r="G118" s="11">
        <f t="shared" si="143"/>
        <v>1640.4035222899997</v>
      </c>
      <c r="H118" s="11">
        <f t="shared" si="143"/>
        <v>1452.2508284000005</v>
      </c>
      <c r="I118" s="11">
        <f t="shared" ref="I118:I122" si="144">SUM(F118:H118)</f>
        <v>4944.4099439100009</v>
      </c>
      <c r="J118" s="11">
        <f t="shared" ref="J118:J122" si="145">+E118+I118</f>
        <v>8410.0835510400011</v>
      </c>
      <c r="K118" s="11">
        <f t="shared" ref="K118:M118" si="146">SUM(K119:K123)</f>
        <v>1188.0798282699998</v>
      </c>
      <c r="L118" s="11">
        <f t="shared" si="146"/>
        <v>1511.82324625</v>
      </c>
      <c r="M118" s="11">
        <f t="shared" si="146"/>
        <v>1340.6965202600002</v>
      </c>
      <c r="N118" s="11">
        <f t="shared" ref="N118:N122" si="147">SUM(K118:M118)</f>
        <v>4040.5995947800002</v>
      </c>
      <c r="O118" s="11">
        <f t="shared" ref="O118:Q118" si="148">SUM(O119:O123)</f>
        <v>1380.6858482600001</v>
      </c>
      <c r="P118" s="11">
        <f t="shared" si="148"/>
        <v>1611.1421755200004</v>
      </c>
      <c r="Q118" s="11">
        <f t="shared" si="148"/>
        <v>1442.0119814238178</v>
      </c>
      <c r="R118" s="11">
        <f t="shared" ref="R118:R122" si="149">SUM(O118:Q118)</f>
        <v>4433.8400052038178</v>
      </c>
      <c r="S118" s="11">
        <f t="shared" ref="S118:S122" si="150">+N118+R118</f>
        <v>8474.439599983818</v>
      </c>
      <c r="T118" s="11">
        <f t="shared" ref="T118:T123" si="151">+J118+S118</f>
        <v>16884.523151023819</v>
      </c>
      <c r="U118" s="11"/>
      <c r="V118" s="11"/>
    </row>
    <row r="119" spans="1:22" ht="15" customHeight="1" x14ac:dyDescent="0.3">
      <c r="A119" s="12" t="s">
        <v>120</v>
      </c>
      <c r="B119" s="8">
        <v>232.63896273999987</v>
      </c>
      <c r="C119" s="8">
        <v>238.77260305000004</v>
      </c>
      <c r="D119" s="8">
        <v>169.06357624000003</v>
      </c>
      <c r="E119" s="8">
        <f t="shared" si="142"/>
        <v>640.47514202999992</v>
      </c>
      <c r="F119" s="8">
        <v>372.13509014999994</v>
      </c>
      <c r="G119" s="8">
        <v>266.18874239000019</v>
      </c>
      <c r="H119" s="8">
        <v>233.17774308000006</v>
      </c>
      <c r="I119" s="8">
        <f t="shared" si="144"/>
        <v>871.50157562000015</v>
      </c>
      <c r="J119" s="8">
        <f t="shared" si="145"/>
        <v>1511.97671765</v>
      </c>
      <c r="K119" s="8">
        <v>236.70188928999997</v>
      </c>
      <c r="L119" s="8">
        <v>313.51846976999997</v>
      </c>
      <c r="M119" s="8">
        <v>239.9103879700001</v>
      </c>
      <c r="N119" s="8">
        <f t="shared" si="147"/>
        <v>790.13074703000007</v>
      </c>
      <c r="O119" s="8">
        <v>251.72716152000004</v>
      </c>
      <c r="P119" s="8">
        <v>311.84315279000003</v>
      </c>
      <c r="Q119" s="8">
        <v>251.83350391573069</v>
      </c>
      <c r="R119" s="8">
        <f t="shared" si="149"/>
        <v>815.40381822573079</v>
      </c>
      <c r="S119" s="8">
        <f t="shared" si="150"/>
        <v>1605.5345652557307</v>
      </c>
      <c r="T119" s="8">
        <f t="shared" si="151"/>
        <v>3117.5112829057307</v>
      </c>
      <c r="U119" s="8"/>
      <c r="V119" s="8"/>
    </row>
    <row r="120" spans="1:22" ht="15" customHeight="1" x14ac:dyDescent="0.3">
      <c r="A120" s="12" t="s">
        <v>121</v>
      </c>
      <c r="B120" s="8">
        <v>75.010381680000009</v>
      </c>
      <c r="C120" s="8">
        <v>78.346248809999992</v>
      </c>
      <c r="D120" s="8">
        <v>85.923823860000013</v>
      </c>
      <c r="E120" s="8">
        <f t="shared" si="142"/>
        <v>239.28045435000001</v>
      </c>
      <c r="F120" s="8">
        <v>150.84454729000001</v>
      </c>
      <c r="G120" s="8">
        <v>95.281843569999992</v>
      </c>
      <c r="H120" s="8">
        <v>122.29044060000001</v>
      </c>
      <c r="I120" s="8">
        <f t="shared" si="144"/>
        <v>368.41683146000003</v>
      </c>
      <c r="J120" s="8">
        <f t="shared" si="145"/>
        <v>607.69728581000004</v>
      </c>
      <c r="K120" s="8">
        <v>90.470531959999974</v>
      </c>
      <c r="L120" s="8">
        <v>121.37624934999995</v>
      </c>
      <c r="M120" s="8">
        <v>85.950505470000024</v>
      </c>
      <c r="N120" s="8">
        <f t="shared" si="147"/>
        <v>297.79728677999992</v>
      </c>
      <c r="O120" s="8">
        <v>107.64397198000002</v>
      </c>
      <c r="P120" s="8">
        <v>113.56430013999999</v>
      </c>
      <c r="Q120" s="8">
        <v>121.73750584660223</v>
      </c>
      <c r="R120" s="8">
        <f t="shared" si="149"/>
        <v>342.94577796660224</v>
      </c>
      <c r="S120" s="8">
        <f t="shared" si="150"/>
        <v>640.74306474660216</v>
      </c>
      <c r="T120" s="8">
        <f t="shared" si="151"/>
        <v>1248.4403505566022</v>
      </c>
      <c r="U120" s="8"/>
      <c r="V120" s="8"/>
    </row>
    <row r="121" spans="1:22" ht="15" customHeight="1" x14ac:dyDescent="0.3">
      <c r="A121" s="12" t="s">
        <v>122</v>
      </c>
      <c r="B121" s="8">
        <v>47.143457179999999</v>
      </c>
      <c r="C121" s="8">
        <v>44.724351160000005</v>
      </c>
      <c r="D121" s="8">
        <v>41.670640110000001</v>
      </c>
      <c r="E121" s="8">
        <f t="shared" si="142"/>
        <v>133.53844845</v>
      </c>
      <c r="F121" s="8">
        <v>76.731024719999994</v>
      </c>
      <c r="G121" s="8">
        <v>61.588134249999996</v>
      </c>
      <c r="H121" s="8">
        <v>67.113902530000004</v>
      </c>
      <c r="I121" s="8">
        <f t="shared" si="144"/>
        <v>205.43306150000001</v>
      </c>
      <c r="J121" s="8">
        <f t="shared" si="145"/>
        <v>338.97150995000004</v>
      </c>
      <c r="K121" s="8">
        <v>42.070209230000003</v>
      </c>
      <c r="L121" s="8">
        <v>68.29014853999999</v>
      </c>
      <c r="M121" s="8">
        <v>43.802797379999994</v>
      </c>
      <c r="N121" s="8">
        <f t="shared" si="147"/>
        <v>154.16315514999999</v>
      </c>
      <c r="O121" s="8">
        <v>55.880043709999988</v>
      </c>
      <c r="P121" s="8">
        <v>64.400367010000011</v>
      </c>
      <c r="Q121" s="8">
        <v>48.348721198387068</v>
      </c>
      <c r="R121" s="8">
        <f t="shared" si="149"/>
        <v>168.62913191838706</v>
      </c>
      <c r="S121" s="8">
        <f t="shared" si="150"/>
        <v>322.79228706838705</v>
      </c>
      <c r="T121" s="8">
        <f t="shared" si="151"/>
        <v>661.76379701838709</v>
      </c>
      <c r="U121" s="8"/>
      <c r="V121" s="8"/>
    </row>
    <row r="122" spans="1:22" ht="15" customHeight="1" x14ac:dyDescent="0.3">
      <c r="A122" s="12" t="s">
        <v>123</v>
      </c>
      <c r="B122" s="8">
        <v>935.79451155999982</v>
      </c>
      <c r="C122" s="8">
        <v>662.57319346999975</v>
      </c>
      <c r="D122" s="8">
        <v>854.01185726999995</v>
      </c>
      <c r="E122" s="8">
        <f t="shared" si="142"/>
        <v>2452.3795622999996</v>
      </c>
      <c r="F122" s="8">
        <v>1252.0449310600009</v>
      </c>
      <c r="G122" s="8">
        <v>1217.3448020799997</v>
      </c>
      <c r="H122" s="8">
        <v>1029.6687421900003</v>
      </c>
      <c r="I122" s="8">
        <f t="shared" si="144"/>
        <v>3499.0584753300009</v>
      </c>
      <c r="J122" s="8">
        <f t="shared" si="145"/>
        <v>5951.4380376300005</v>
      </c>
      <c r="K122" s="8">
        <v>818.83719778999989</v>
      </c>
      <c r="L122" s="8">
        <v>1008.6383785900002</v>
      </c>
      <c r="M122" s="8">
        <v>971.03282944</v>
      </c>
      <c r="N122" s="8">
        <f t="shared" si="147"/>
        <v>2798.50840582</v>
      </c>
      <c r="O122" s="8">
        <v>965.43467105000002</v>
      </c>
      <c r="P122" s="8">
        <v>1121.3343555800002</v>
      </c>
      <c r="Q122" s="8">
        <v>1020.0922504630978</v>
      </c>
      <c r="R122" s="8">
        <f t="shared" si="149"/>
        <v>3106.8612770930977</v>
      </c>
      <c r="S122" s="8">
        <f t="shared" si="150"/>
        <v>5905.3696829130977</v>
      </c>
      <c r="T122" s="8">
        <f t="shared" si="151"/>
        <v>11856.807720543098</v>
      </c>
      <c r="U122" s="8"/>
      <c r="V122" s="8"/>
    </row>
    <row r="123" spans="1:22" ht="18" customHeight="1" x14ac:dyDescent="0.3">
      <c r="A123" s="12" t="s">
        <v>124</v>
      </c>
      <c r="B123" s="8"/>
      <c r="C123" s="8"/>
      <c r="D123" s="8"/>
      <c r="E123" s="8"/>
      <c r="F123" s="8"/>
      <c r="G123" s="8"/>
      <c r="H123" s="8"/>
      <c r="I123" s="8"/>
      <c r="J123" s="8"/>
      <c r="K123" s="8"/>
      <c r="L123" s="8"/>
      <c r="M123" s="8"/>
      <c r="N123" s="8"/>
      <c r="O123" s="8"/>
      <c r="P123" s="8"/>
      <c r="Q123" s="8"/>
      <c r="R123" s="8"/>
      <c r="S123" s="8"/>
      <c r="T123" s="8">
        <f t="shared" si="151"/>
        <v>0</v>
      </c>
      <c r="U123" s="8"/>
      <c r="V123" s="8"/>
    </row>
    <row r="124" spans="1:22" s="10" customFormat="1" ht="15" customHeight="1" x14ac:dyDescent="0.3">
      <c r="A124" s="12"/>
      <c r="B124" s="11"/>
      <c r="C124" s="11"/>
      <c r="D124" s="11"/>
      <c r="E124" s="11"/>
      <c r="F124" s="11"/>
      <c r="G124" s="11"/>
      <c r="H124" s="11"/>
      <c r="I124" s="11"/>
      <c r="J124" s="11"/>
      <c r="K124" s="11"/>
      <c r="L124" s="11"/>
      <c r="M124" s="11"/>
      <c r="N124" s="11"/>
      <c r="O124" s="11"/>
      <c r="P124" s="11"/>
      <c r="Q124" s="11"/>
      <c r="R124" s="11"/>
      <c r="S124" s="11"/>
      <c r="T124" s="11"/>
      <c r="U124" s="11"/>
      <c r="V124" s="11"/>
    </row>
    <row r="125" spans="1:22" s="10" customFormat="1" ht="15" customHeight="1" x14ac:dyDescent="0.25">
      <c r="A125" s="13" t="s">
        <v>125</v>
      </c>
      <c r="B125" s="11">
        <f>SUM(B126:B129)</f>
        <v>660.51708340000005</v>
      </c>
      <c r="C125" s="11">
        <f t="shared" ref="C125:D125" si="152">SUM(C126:C129)</f>
        <v>432.39416712999997</v>
      </c>
      <c r="D125" s="11">
        <f t="shared" si="152"/>
        <v>519.27773120000006</v>
      </c>
      <c r="E125" s="11">
        <f t="shared" ref="E125:E129" si="153">SUM(B125:D125)</f>
        <v>1612.18898173</v>
      </c>
      <c r="F125" s="11">
        <f t="shared" ref="F125:H125" si="154">SUM(F126:F129)</f>
        <v>874.96817776999978</v>
      </c>
      <c r="G125" s="11">
        <f t="shared" si="154"/>
        <v>629.79109239000002</v>
      </c>
      <c r="H125" s="11">
        <f t="shared" si="154"/>
        <v>609.16482369000005</v>
      </c>
      <c r="I125" s="11">
        <f t="shared" ref="I125:I129" si="155">SUM(F125:H125)</f>
        <v>2113.9240938499997</v>
      </c>
      <c r="J125" s="11">
        <f t="shared" ref="J125:J129" si="156">+E125+I125</f>
        <v>3726.1130755799995</v>
      </c>
      <c r="K125" s="11">
        <f t="shared" ref="K125:M125" si="157">SUM(K126:K129)</f>
        <v>588.10320774000002</v>
      </c>
      <c r="L125" s="11">
        <f t="shared" si="157"/>
        <v>687.72364046999985</v>
      </c>
      <c r="M125" s="11">
        <f t="shared" si="157"/>
        <v>609.72453897000003</v>
      </c>
      <c r="N125" s="11">
        <f t="shared" ref="N125:N129" si="158">SUM(K125:M125)</f>
        <v>1885.5513871799999</v>
      </c>
      <c r="O125" s="11">
        <f t="shared" ref="O125:Q125" si="159">SUM(O126:O129)</f>
        <v>597.58781679000003</v>
      </c>
      <c r="P125" s="11">
        <f t="shared" si="159"/>
        <v>758.1566039500002</v>
      </c>
      <c r="Q125" s="11">
        <f t="shared" si="159"/>
        <v>593.76208704594774</v>
      </c>
      <c r="R125" s="11">
        <f t="shared" ref="R125:R129" si="160">SUM(O125:Q125)</f>
        <v>1949.5065077859481</v>
      </c>
      <c r="S125" s="11">
        <f t="shared" ref="S125:S129" si="161">+N125+R125</f>
        <v>3835.057894965948</v>
      </c>
      <c r="T125" s="11">
        <f t="shared" ref="T125:T129" si="162">+J125+S125</f>
        <v>7561.1709705459471</v>
      </c>
      <c r="U125" s="11"/>
      <c r="V125" s="11"/>
    </row>
    <row r="126" spans="1:22" ht="15" customHeight="1" x14ac:dyDescent="0.3">
      <c r="A126" s="12" t="s">
        <v>126</v>
      </c>
      <c r="B126" s="8">
        <v>125.22350766999999</v>
      </c>
      <c r="C126" s="8">
        <v>92.777945460000012</v>
      </c>
      <c r="D126" s="8">
        <v>98.01224547999999</v>
      </c>
      <c r="E126" s="8">
        <f t="shared" si="153"/>
        <v>316.01369861000001</v>
      </c>
      <c r="F126" s="8">
        <v>143.88921044999995</v>
      </c>
      <c r="G126" s="8">
        <v>108.74896593999996</v>
      </c>
      <c r="H126" s="8">
        <v>138.52307830999996</v>
      </c>
      <c r="I126" s="8">
        <f t="shared" si="155"/>
        <v>391.16125469999986</v>
      </c>
      <c r="J126" s="8">
        <f t="shared" si="156"/>
        <v>707.17495330999986</v>
      </c>
      <c r="K126" s="8">
        <v>127.54192017000004</v>
      </c>
      <c r="L126" s="8">
        <v>125.00072976999995</v>
      </c>
      <c r="M126" s="8">
        <v>116.30230901999995</v>
      </c>
      <c r="N126" s="8">
        <f t="shared" si="158"/>
        <v>368.84495895999993</v>
      </c>
      <c r="O126" s="8">
        <v>113.49602284999997</v>
      </c>
      <c r="P126" s="8">
        <v>135.50792754</v>
      </c>
      <c r="Q126" s="8">
        <v>121.12127183719062</v>
      </c>
      <c r="R126" s="8">
        <f t="shared" si="160"/>
        <v>370.12522222719059</v>
      </c>
      <c r="S126" s="8">
        <f t="shared" si="161"/>
        <v>738.97018118719052</v>
      </c>
      <c r="T126" s="8">
        <f t="shared" si="162"/>
        <v>1446.1451344971904</v>
      </c>
      <c r="U126" s="8"/>
      <c r="V126" s="8"/>
    </row>
    <row r="127" spans="1:22" ht="15" customHeight="1" x14ac:dyDescent="0.3">
      <c r="A127" s="12" t="s">
        <v>127</v>
      </c>
      <c r="B127" s="8">
        <v>223.11238851999997</v>
      </c>
      <c r="C127" s="8">
        <v>159.81159477000003</v>
      </c>
      <c r="D127" s="8">
        <v>205.89718281000012</v>
      </c>
      <c r="E127" s="8">
        <f t="shared" si="153"/>
        <v>588.82116610000014</v>
      </c>
      <c r="F127" s="8">
        <v>392.99377472999976</v>
      </c>
      <c r="G127" s="8">
        <v>229.84513185000012</v>
      </c>
      <c r="H127" s="8">
        <v>180.56337484000002</v>
      </c>
      <c r="I127" s="8">
        <f t="shared" si="155"/>
        <v>803.40228141999989</v>
      </c>
      <c r="J127" s="8">
        <f t="shared" si="156"/>
        <v>1392.22344752</v>
      </c>
      <c r="K127" s="8">
        <v>179.24987037999995</v>
      </c>
      <c r="L127" s="8">
        <v>237.38776148999983</v>
      </c>
      <c r="M127" s="8">
        <v>227.03916322000003</v>
      </c>
      <c r="N127" s="8">
        <f t="shared" si="158"/>
        <v>643.67679508999981</v>
      </c>
      <c r="O127" s="8">
        <v>194.58059937000007</v>
      </c>
      <c r="P127" s="8">
        <v>282.03482032999995</v>
      </c>
      <c r="Q127" s="8">
        <v>204.7668660279102</v>
      </c>
      <c r="R127" s="8">
        <f t="shared" si="160"/>
        <v>681.38228572791024</v>
      </c>
      <c r="S127" s="8">
        <f t="shared" si="161"/>
        <v>1325.0590808179099</v>
      </c>
      <c r="T127" s="8">
        <f t="shared" si="162"/>
        <v>2717.2825283379098</v>
      </c>
      <c r="U127" s="8"/>
      <c r="V127" s="8"/>
    </row>
    <row r="128" spans="1:22" ht="15" customHeight="1" x14ac:dyDescent="0.3">
      <c r="A128" s="12" t="s">
        <v>128</v>
      </c>
      <c r="B128" s="8">
        <v>213.08058869000007</v>
      </c>
      <c r="C128" s="8">
        <v>101.31721185000002</v>
      </c>
      <c r="D128" s="8">
        <v>133.09966628999996</v>
      </c>
      <c r="E128" s="8">
        <f t="shared" si="153"/>
        <v>447.49746683000006</v>
      </c>
      <c r="F128" s="8">
        <v>214.5812603200001</v>
      </c>
      <c r="G128" s="8">
        <v>176.79074597999997</v>
      </c>
      <c r="H128" s="8">
        <v>193.74855447000002</v>
      </c>
      <c r="I128" s="8">
        <f t="shared" si="155"/>
        <v>585.12056077000011</v>
      </c>
      <c r="J128" s="8">
        <f t="shared" si="156"/>
        <v>1032.6180276000002</v>
      </c>
      <c r="K128" s="8">
        <v>180.72145643000002</v>
      </c>
      <c r="L128" s="8">
        <v>193.99079437</v>
      </c>
      <c r="M128" s="8">
        <v>164.14117614</v>
      </c>
      <c r="N128" s="8">
        <f t="shared" si="158"/>
        <v>538.85342693999996</v>
      </c>
      <c r="O128" s="8">
        <v>198.51309071000003</v>
      </c>
      <c r="P128" s="8">
        <v>210.16660130000011</v>
      </c>
      <c r="Q128" s="8">
        <v>174.89099555979823</v>
      </c>
      <c r="R128" s="8">
        <f t="shared" si="160"/>
        <v>583.57068756979834</v>
      </c>
      <c r="S128" s="8">
        <f t="shared" si="161"/>
        <v>1122.4241145097983</v>
      </c>
      <c r="T128" s="8">
        <f t="shared" si="162"/>
        <v>2155.0421421097985</v>
      </c>
      <c r="U128" s="8"/>
      <c r="V128" s="8"/>
    </row>
    <row r="129" spans="1:22" ht="15" customHeight="1" x14ac:dyDescent="0.3">
      <c r="A129" s="12" t="s">
        <v>129</v>
      </c>
      <c r="B129" s="8">
        <v>99.100598520000005</v>
      </c>
      <c r="C129" s="8">
        <v>78.487415049999939</v>
      </c>
      <c r="D129" s="8">
        <v>82.268636620000024</v>
      </c>
      <c r="E129" s="8">
        <f t="shared" si="153"/>
        <v>259.85665018999998</v>
      </c>
      <c r="F129" s="8">
        <v>123.50393227000004</v>
      </c>
      <c r="G129" s="8">
        <v>114.40624861999997</v>
      </c>
      <c r="H129" s="8">
        <v>96.329816070000007</v>
      </c>
      <c r="I129" s="8">
        <f t="shared" si="155"/>
        <v>334.23999695999998</v>
      </c>
      <c r="J129" s="8">
        <f t="shared" si="156"/>
        <v>594.09664714999997</v>
      </c>
      <c r="K129" s="8">
        <v>100.58996076000003</v>
      </c>
      <c r="L129" s="8">
        <v>131.34435484000002</v>
      </c>
      <c r="M129" s="8">
        <v>102.24189058999998</v>
      </c>
      <c r="N129" s="8">
        <f t="shared" si="158"/>
        <v>334.17620619000002</v>
      </c>
      <c r="O129" s="8">
        <v>90.998103860000001</v>
      </c>
      <c r="P129" s="8">
        <v>130.44725478000007</v>
      </c>
      <c r="Q129" s="8">
        <v>92.982953621048722</v>
      </c>
      <c r="R129" s="8">
        <f t="shared" si="160"/>
        <v>314.42831226104875</v>
      </c>
      <c r="S129" s="8">
        <f t="shared" si="161"/>
        <v>648.60451845104876</v>
      </c>
      <c r="T129" s="8">
        <f t="shared" si="162"/>
        <v>1242.7011656010486</v>
      </c>
      <c r="U129" s="8"/>
      <c r="V129" s="8"/>
    </row>
    <row r="130" spans="1:22" s="10" customFormat="1" ht="15" customHeight="1" x14ac:dyDescent="0.3">
      <c r="A130" s="12"/>
      <c r="B130" s="11"/>
      <c r="C130" s="11"/>
      <c r="D130" s="11"/>
      <c r="E130" s="11"/>
      <c r="F130" s="11"/>
      <c r="G130" s="11"/>
      <c r="H130" s="11"/>
      <c r="I130" s="11"/>
      <c r="J130" s="11"/>
      <c r="K130" s="11"/>
      <c r="L130" s="11"/>
      <c r="M130" s="11"/>
      <c r="N130" s="11"/>
      <c r="O130" s="11"/>
      <c r="P130" s="11"/>
      <c r="Q130" s="11"/>
      <c r="R130" s="11"/>
      <c r="S130" s="11"/>
      <c r="T130" s="11"/>
      <c r="U130" s="11"/>
      <c r="V130" s="11"/>
    </row>
    <row r="131" spans="1:22" s="10" customFormat="1" ht="15" customHeight="1" x14ac:dyDescent="0.25">
      <c r="A131" s="13" t="s">
        <v>130</v>
      </c>
      <c r="B131" s="11">
        <f>SUM(B132:B135)</f>
        <v>428.20299347999986</v>
      </c>
      <c r="C131" s="11">
        <f t="shared" ref="C131:D131" si="163">SUM(C132:C135)</f>
        <v>311.70777096</v>
      </c>
      <c r="D131" s="11">
        <f t="shared" si="163"/>
        <v>370.67187226000004</v>
      </c>
      <c r="E131" s="11">
        <f t="shared" ref="E131:E135" si="164">SUM(B131:D131)</f>
        <v>1110.5826367</v>
      </c>
      <c r="F131" s="11">
        <f t="shared" ref="F131:H131" si="165">SUM(F132:F135)</f>
        <v>464.07622874000003</v>
      </c>
      <c r="G131" s="11">
        <f t="shared" si="165"/>
        <v>440.1082234399999</v>
      </c>
      <c r="H131" s="11">
        <f t="shared" si="165"/>
        <v>445.81313816999989</v>
      </c>
      <c r="I131" s="11">
        <f t="shared" ref="I131:I135" si="166">SUM(F131:H131)</f>
        <v>1349.9975903499999</v>
      </c>
      <c r="J131" s="11">
        <f t="shared" ref="J131:J135" si="167">+E131+I131</f>
        <v>2460.5802270499998</v>
      </c>
      <c r="K131" s="11">
        <f t="shared" ref="K131:M131" si="168">SUM(K132:K135)</f>
        <v>400.68600739999988</v>
      </c>
      <c r="L131" s="11">
        <f t="shared" si="168"/>
        <v>442.73964706000015</v>
      </c>
      <c r="M131" s="11">
        <f t="shared" si="168"/>
        <v>410.11735147999991</v>
      </c>
      <c r="N131" s="11">
        <f t="shared" ref="N131:N135" si="169">SUM(K131:M131)</f>
        <v>1253.5430059400001</v>
      </c>
      <c r="O131" s="11">
        <f t="shared" ref="O131:Q131" si="170">SUM(O132:O135)</f>
        <v>477.99586498000002</v>
      </c>
      <c r="P131" s="11">
        <f t="shared" si="170"/>
        <v>498.64223539999989</v>
      </c>
      <c r="Q131" s="11">
        <f t="shared" si="170"/>
        <v>547.83928135802853</v>
      </c>
      <c r="R131" s="11">
        <f t="shared" ref="R131:R135" si="171">SUM(O131:Q131)</f>
        <v>1524.4773817380285</v>
      </c>
      <c r="S131" s="11">
        <f t="shared" ref="S131:S135" si="172">+N131+R131</f>
        <v>2778.0203876780288</v>
      </c>
      <c r="T131" s="11">
        <f t="shared" ref="T131:T135" si="173">+J131+S131</f>
        <v>5238.6006147280286</v>
      </c>
      <c r="U131" s="11"/>
      <c r="V131" s="11"/>
    </row>
    <row r="132" spans="1:22" ht="15" customHeight="1" x14ac:dyDescent="0.3">
      <c r="A132" s="12" t="s">
        <v>131</v>
      </c>
      <c r="B132" s="8">
        <v>171.01423562999986</v>
      </c>
      <c r="C132" s="8">
        <v>143.59392028000002</v>
      </c>
      <c r="D132" s="8">
        <v>164.86146772000004</v>
      </c>
      <c r="E132" s="8">
        <f t="shared" si="164"/>
        <v>479.46962362999989</v>
      </c>
      <c r="F132" s="8">
        <v>199.87309822000009</v>
      </c>
      <c r="G132" s="8">
        <v>217.31677189999991</v>
      </c>
      <c r="H132" s="8">
        <v>214.68588365999997</v>
      </c>
      <c r="I132" s="8">
        <f t="shared" si="166"/>
        <v>631.87575377999997</v>
      </c>
      <c r="J132" s="8">
        <f t="shared" si="167"/>
        <v>1111.3453774099999</v>
      </c>
      <c r="K132" s="8">
        <v>156.12180126999988</v>
      </c>
      <c r="L132" s="8">
        <v>204.73798631000011</v>
      </c>
      <c r="M132" s="8">
        <v>184.75724202999996</v>
      </c>
      <c r="N132" s="8">
        <f t="shared" si="169"/>
        <v>545.61702960999992</v>
      </c>
      <c r="O132" s="8">
        <v>253.45908577</v>
      </c>
      <c r="P132" s="8">
        <v>247.65386632999986</v>
      </c>
      <c r="Q132" s="8">
        <v>308.85257178747918</v>
      </c>
      <c r="R132" s="8">
        <f t="shared" si="171"/>
        <v>809.96552388747909</v>
      </c>
      <c r="S132" s="8">
        <f t="shared" si="172"/>
        <v>1355.582553497479</v>
      </c>
      <c r="T132" s="8">
        <f t="shared" si="173"/>
        <v>2466.9279309074791</v>
      </c>
      <c r="U132" s="8"/>
      <c r="V132" s="8"/>
    </row>
    <row r="133" spans="1:22" ht="15" customHeight="1" x14ac:dyDescent="0.3">
      <c r="A133" s="12" t="s">
        <v>132</v>
      </c>
      <c r="B133" s="8">
        <v>84.145770159999998</v>
      </c>
      <c r="C133" s="8">
        <v>50.026091750000013</v>
      </c>
      <c r="D133" s="8">
        <v>80.590348509999984</v>
      </c>
      <c r="E133" s="8">
        <f t="shared" si="164"/>
        <v>214.76221042</v>
      </c>
      <c r="F133" s="8">
        <v>79.21984652999997</v>
      </c>
      <c r="G133" s="8">
        <v>70.253791860000021</v>
      </c>
      <c r="H133" s="8">
        <v>73.123557359999978</v>
      </c>
      <c r="I133" s="8">
        <f t="shared" si="166"/>
        <v>222.59719574999997</v>
      </c>
      <c r="J133" s="8">
        <f t="shared" si="167"/>
        <v>437.35940616999994</v>
      </c>
      <c r="K133" s="8">
        <v>79.071375189999983</v>
      </c>
      <c r="L133" s="8">
        <v>78.801520650000001</v>
      </c>
      <c r="M133" s="8">
        <v>73.020574879999998</v>
      </c>
      <c r="N133" s="8">
        <f t="shared" si="169"/>
        <v>230.89347071999998</v>
      </c>
      <c r="O133" s="8">
        <v>68.890742539999991</v>
      </c>
      <c r="P133" s="8">
        <v>78.38428515999999</v>
      </c>
      <c r="Q133" s="8">
        <v>79.096219087900863</v>
      </c>
      <c r="R133" s="8">
        <f t="shared" si="171"/>
        <v>226.37124678790084</v>
      </c>
      <c r="S133" s="8">
        <f t="shared" si="172"/>
        <v>457.26471750790085</v>
      </c>
      <c r="T133" s="8">
        <f t="shared" si="173"/>
        <v>894.6241236779008</v>
      </c>
      <c r="U133" s="8"/>
      <c r="V133" s="8"/>
    </row>
    <row r="134" spans="1:22" ht="15" customHeight="1" x14ac:dyDescent="0.3">
      <c r="A134" s="12" t="s">
        <v>133</v>
      </c>
      <c r="B134" s="8">
        <v>87.606537020000005</v>
      </c>
      <c r="C134" s="8">
        <v>60.077065230000017</v>
      </c>
      <c r="D134" s="8">
        <v>62.144604000000015</v>
      </c>
      <c r="E134" s="8">
        <f t="shared" si="164"/>
        <v>209.82820625000005</v>
      </c>
      <c r="F134" s="8">
        <v>95.983731390000003</v>
      </c>
      <c r="G134" s="8">
        <v>78.760795359999989</v>
      </c>
      <c r="H134" s="8">
        <v>88.451419709999982</v>
      </c>
      <c r="I134" s="8">
        <f t="shared" si="166"/>
        <v>263.19594645999996</v>
      </c>
      <c r="J134" s="8">
        <f t="shared" si="167"/>
        <v>473.02415271000001</v>
      </c>
      <c r="K134" s="8">
        <v>89.249102810000039</v>
      </c>
      <c r="L134" s="8">
        <v>78.651631320000021</v>
      </c>
      <c r="M134" s="8">
        <v>81.135162289999997</v>
      </c>
      <c r="N134" s="8">
        <f t="shared" si="169"/>
        <v>249.03589642000003</v>
      </c>
      <c r="O134" s="8">
        <v>86.024962639999984</v>
      </c>
      <c r="P134" s="8">
        <v>88.168323390000012</v>
      </c>
      <c r="Q134" s="8">
        <v>92.934086438418561</v>
      </c>
      <c r="R134" s="8">
        <f t="shared" si="171"/>
        <v>267.12737246841857</v>
      </c>
      <c r="S134" s="8">
        <f t="shared" si="172"/>
        <v>516.16326888841854</v>
      </c>
      <c r="T134" s="8">
        <f t="shared" si="173"/>
        <v>989.1874215984185</v>
      </c>
      <c r="U134" s="8"/>
      <c r="V134" s="8"/>
    </row>
    <row r="135" spans="1:22" ht="15" customHeight="1" x14ac:dyDescent="0.3">
      <c r="A135" s="12" t="s">
        <v>134</v>
      </c>
      <c r="B135" s="8">
        <v>85.436450669999999</v>
      </c>
      <c r="C135" s="8">
        <v>58.010693699999983</v>
      </c>
      <c r="D135" s="8">
        <v>63.075452030000008</v>
      </c>
      <c r="E135" s="8">
        <f t="shared" si="164"/>
        <v>206.5225964</v>
      </c>
      <c r="F135" s="8">
        <v>88.999552599999973</v>
      </c>
      <c r="G135" s="8">
        <v>73.776864320000001</v>
      </c>
      <c r="H135" s="8">
        <v>69.552277439999983</v>
      </c>
      <c r="I135" s="8">
        <f t="shared" si="166"/>
        <v>232.32869435999996</v>
      </c>
      <c r="J135" s="8">
        <f t="shared" si="167"/>
        <v>438.85129075999998</v>
      </c>
      <c r="K135" s="8">
        <v>76.243728130000008</v>
      </c>
      <c r="L135" s="8">
        <v>80.548508780000006</v>
      </c>
      <c r="M135" s="8">
        <v>71.204372279999987</v>
      </c>
      <c r="N135" s="8">
        <f t="shared" si="169"/>
        <v>227.99660919000002</v>
      </c>
      <c r="O135" s="8">
        <v>69.621074029999988</v>
      </c>
      <c r="P135" s="8">
        <v>84.435760520000017</v>
      </c>
      <c r="Q135" s="8">
        <v>66.956404044229927</v>
      </c>
      <c r="R135" s="8">
        <f t="shared" si="171"/>
        <v>221.01323859422996</v>
      </c>
      <c r="S135" s="8">
        <f t="shared" si="172"/>
        <v>449.00984778422998</v>
      </c>
      <c r="T135" s="8">
        <f t="shared" si="173"/>
        <v>887.86113854423002</v>
      </c>
      <c r="U135" s="8"/>
      <c r="V135" s="8"/>
    </row>
    <row r="136" spans="1:22" s="10" customFormat="1" ht="15" customHeight="1" x14ac:dyDescent="0.3">
      <c r="A136" s="12"/>
      <c r="B136" s="11"/>
      <c r="C136" s="11"/>
      <c r="D136" s="11"/>
      <c r="E136" s="11"/>
      <c r="F136" s="11"/>
      <c r="G136" s="11"/>
      <c r="H136" s="11"/>
      <c r="I136" s="11"/>
      <c r="J136" s="11"/>
      <c r="K136" s="11"/>
      <c r="L136" s="11"/>
      <c r="M136" s="11"/>
      <c r="N136" s="11"/>
      <c r="O136" s="11"/>
      <c r="P136" s="11"/>
      <c r="Q136" s="11"/>
      <c r="R136" s="11"/>
      <c r="S136" s="11"/>
      <c r="T136" s="11"/>
      <c r="U136" s="11"/>
      <c r="V136" s="11"/>
    </row>
    <row r="137" spans="1:22" s="10" customFormat="1" ht="15" customHeight="1" x14ac:dyDescent="0.25">
      <c r="A137" s="14" t="s">
        <v>135</v>
      </c>
      <c r="B137" s="11">
        <f>SUM(B138:B143)</f>
        <v>210.44956556</v>
      </c>
      <c r="C137" s="11">
        <f t="shared" ref="C137:D137" si="174">SUM(C138:C143)</f>
        <v>210.90436785999998</v>
      </c>
      <c r="D137" s="11">
        <f t="shared" si="174"/>
        <v>200.78792085999999</v>
      </c>
      <c r="E137" s="11">
        <f t="shared" ref="E137:E142" si="175">SUM(B137:D137)</f>
        <v>622.14185427999996</v>
      </c>
      <c r="F137" s="11">
        <f t="shared" ref="F137:H137" si="176">SUM(F138:F143)</f>
        <v>322.77646945000004</v>
      </c>
      <c r="G137" s="11">
        <f t="shared" si="176"/>
        <v>243.46145750999997</v>
      </c>
      <c r="H137" s="11">
        <f t="shared" si="176"/>
        <v>237.02361137999998</v>
      </c>
      <c r="I137" s="11">
        <f t="shared" ref="I137:I142" si="177">SUM(F137:H137)</f>
        <v>803.26153834000002</v>
      </c>
      <c r="J137" s="11">
        <f t="shared" ref="J137:J142" si="178">+E137+I137</f>
        <v>1425.40339262</v>
      </c>
      <c r="K137" s="11">
        <f t="shared" ref="K137:M137" si="179">SUM(K138:K143)</f>
        <v>226.30983377000001</v>
      </c>
      <c r="L137" s="11">
        <f t="shared" si="179"/>
        <v>211.64741293000006</v>
      </c>
      <c r="M137" s="11">
        <f t="shared" si="179"/>
        <v>226.25780833999997</v>
      </c>
      <c r="N137" s="11">
        <f t="shared" ref="N137:N142" si="180">SUM(K137:M137)</f>
        <v>664.21505504000004</v>
      </c>
      <c r="O137" s="11">
        <f t="shared" ref="O137:Q137" si="181">SUM(O138:O143)</f>
        <v>254.07974511999998</v>
      </c>
      <c r="P137" s="11">
        <f t="shared" si="181"/>
        <v>256.06237204999996</v>
      </c>
      <c r="Q137" s="11">
        <f t="shared" si="181"/>
        <v>282.50663607265165</v>
      </c>
      <c r="R137" s="11">
        <f t="shared" ref="R137:R142" si="182">SUM(O137:Q137)</f>
        <v>792.64875324265154</v>
      </c>
      <c r="S137" s="11">
        <f t="shared" ref="S137:S142" si="183">+N137+R137</f>
        <v>1456.8638082826515</v>
      </c>
      <c r="T137" s="11">
        <f t="shared" ref="T137:T142" si="184">+J137+S137</f>
        <v>2882.2672009026514</v>
      </c>
      <c r="U137" s="11"/>
      <c r="V137" s="11"/>
    </row>
    <row r="138" spans="1:22" ht="15" customHeight="1" x14ac:dyDescent="0.3">
      <c r="A138" s="12" t="s">
        <v>136</v>
      </c>
      <c r="B138" s="8">
        <v>26.501670430000001</v>
      </c>
      <c r="C138" s="8">
        <v>22.106585969999998</v>
      </c>
      <c r="D138" s="8">
        <v>28.618330969999999</v>
      </c>
      <c r="E138" s="8">
        <f t="shared" si="175"/>
        <v>77.226587370000004</v>
      </c>
      <c r="F138" s="8">
        <v>23.756083910000001</v>
      </c>
      <c r="G138" s="8">
        <v>28.76899864</v>
      </c>
      <c r="H138" s="8">
        <v>8.04634976</v>
      </c>
      <c r="I138" s="8">
        <f t="shared" si="177"/>
        <v>60.571432309999999</v>
      </c>
      <c r="J138" s="8">
        <f t="shared" si="178"/>
        <v>137.79801968000001</v>
      </c>
      <c r="K138" s="8">
        <v>10.321797480000001</v>
      </c>
      <c r="L138" s="8">
        <v>16.820837760000003</v>
      </c>
      <c r="M138" s="8">
        <v>7.3913084000000007</v>
      </c>
      <c r="N138" s="8">
        <f t="shared" si="180"/>
        <v>34.533943640000004</v>
      </c>
      <c r="O138" s="8">
        <v>18.090499670000003</v>
      </c>
      <c r="P138" s="8">
        <v>18.312939089999997</v>
      </c>
      <c r="Q138" s="8">
        <v>29.657309650465102</v>
      </c>
      <c r="R138" s="8">
        <f t="shared" si="182"/>
        <v>66.060748410465095</v>
      </c>
      <c r="S138" s="8">
        <f t="shared" si="183"/>
        <v>100.5946920504651</v>
      </c>
      <c r="T138" s="8">
        <f t="shared" si="184"/>
        <v>238.39271173046512</v>
      </c>
      <c r="U138" s="8"/>
      <c r="V138" s="8"/>
    </row>
    <row r="139" spans="1:22" ht="15" customHeight="1" x14ac:dyDescent="0.3">
      <c r="A139" s="12" t="s">
        <v>137</v>
      </c>
      <c r="B139" s="8">
        <v>30.189211979999996</v>
      </c>
      <c r="C139" s="8">
        <v>37.375917320000006</v>
      </c>
      <c r="D139" s="8">
        <v>18.417025039999999</v>
      </c>
      <c r="E139" s="8">
        <f t="shared" si="175"/>
        <v>85.982154339999994</v>
      </c>
      <c r="F139" s="8">
        <v>59.269523829999997</v>
      </c>
      <c r="G139" s="8">
        <v>58.746502280000001</v>
      </c>
      <c r="H139" s="8">
        <v>68.643838479999985</v>
      </c>
      <c r="I139" s="8">
        <f t="shared" si="177"/>
        <v>186.65986458999998</v>
      </c>
      <c r="J139" s="8">
        <f t="shared" si="178"/>
        <v>272.64201892999995</v>
      </c>
      <c r="K139" s="8">
        <v>30.968166270000005</v>
      </c>
      <c r="L139" s="8">
        <v>53.09471842</v>
      </c>
      <c r="M139" s="8">
        <v>28.709892889999999</v>
      </c>
      <c r="N139" s="8">
        <f t="shared" si="180"/>
        <v>112.77277758</v>
      </c>
      <c r="O139" s="8">
        <v>35.397015060000001</v>
      </c>
      <c r="P139" s="8">
        <v>26.167636909999995</v>
      </c>
      <c r="Q139" s="8">
        <v>43.789985537218918</v>
      </c>
      <c r="R139" s="8">
        <f t="shared" si="182"/>
        <v>105.35463750721891</v>
      </c>
      <c r="S139" s="8">
        <f t="shared" si="183"/>
        <v>218.12741508721891</v>
      </c>
      <c r="T139" s="8">
        <f t="shared" si="184"/>
        <v>490.76943401721883</v>
      </c>
      <c r="U139" s="8"/>
      <c r="V139" s="8"/>
    </row>
    <row r="140" spans="1:22" ht="15" customHeight="1" x14ac:dyDescent="0.3">
      <c r="A140" s="12" t="s">
        <v>138</v>
      </c>
      <c r="B140" s="8">
        <v>132.66970232999998</v>
      </c>
      <c r="C140" s="8">
        <v>126.43642680999999</v>
      </c>
      <c r="D140" s="8">
        <v>136.86520989000002</v>
      </c>
      <c r="E140" s="8">
        <f t="shared" si="175"/>
        <v>395.97133902999997</v>
      </c>
      <c r="F140" s="8">
        <v>168.91059742000002</v>
      </c>
      <c r="G140" s="8">
        <v>108.83482157999998</v>
      </c>
      <c r="H140" s="8">
        <v>140.96284079999998</v>
      </c>
      <c r="I140" s="8">
        <f t="shared" si="177"/>
        <v>418.70825979999995</v>
      </c>
      <c r="J140" s="8">
        <f t="shared" si="178"/>
        <v>814.67959882999992</v>
      </c>
      <c r="K140" s="8">
        <v>123.05944746000002</v>
      </c>
      <c r="L140" s="8">
        <v>106.33338016000003</v>
      </c>
      <c r="M140" s="8">
        <v>167.77275852999998</v>
      </c>
      <c r="N140" s="8">
        <f t="shared" si="180"/>
        <v>397.16558615000002</v>
      </c>
      <c r="O140" s="8">
        <v>186.56646204999998</v>
      </c>
      <c r="P140" s="8">
        <v>152.38250769999999</v>
      </c>
      <c r="Q140" s="8">
        <v>146.96338170084715</v>
      </c>
      <c r="R140" s="8">
        <f t="shared" si="182"/>
        <v>485.9123514508471</v>
      </c>
      <c r="S140" s="8">
        <f t="shared" si="183"/>
        <v>883.07793760084712</v>
      </c>
      <c r="T140" s="8">
        <f t="shared" si="184"/>
        <v>1697.757536430847</v>
      </c>
      <c r="U140" s="8"/>
      <c r="V140" s="8"/>
    </row>
    <row r="141" spans="1:22" ht="15" customHeight="1" x14ac:dyDescent="0.3">
      <c r="A141" s="12" t="s">
        <v>139</v>
      </c>
      <c r="B141" s="8">
        <v>6.9711233899999998</v>
      </c>
      <c r="C141" s="8">
        <v>20.023575040000001</v>
      </c>
      <c r="D141" s="8">
        <v>13.011849329999999</v>
      </c>
      <c r="E141" s="8">
        <f t="shared" si="175"/>
        <v>40.006547759999997</v>
      </c>
      <c r="F141" s="8">
        <v>8.8186565100000003</v>
      </c>
      <c r="G141" s="8">
        <v>35.473863080000001</v>
      </c>
      <c r="H141" s="8">
        <v>-3.7412914600000007</v>
      </c>
      <c r="I141" s="8">
        <f t="shared" si="177"/>
        <v>40.551228129999998</v>
      </c>
      <c r="J141" s="8">
        <f t="shared" si="178"/>
        <v>80.557775889999988</v>
      </c>
      <c r="K141" s="8">
        <v>36.979484219999996</v>
      </c>
      <c r="L141" s="8">
        <v>17.721377920000002</v>
      </c>
      <c r="M141" s="8">
        <v>11.20213908</v>
      </c>
      <c r="N141" s="8">
        <f t="shared" si="180"/>
        <v>65.903001219999993</v>
      </c>
      <c r="O141" s="8">
        <v>7.4994583899999991</v>
      </c>
      <c r="P141" s="8">
        <v>43.53923322</v>
      </c>
      <c r="Q141" s="8">
        <v>33.836425511814291</v>
      </c>
      <c r="R141" s="8">
        <f t="shared" si="182"/>
        <v>84.875117121814299</v>
      </c>
      <c r="S141" s="8">
        <f t="shared" si="183"/>
        <v>150.77811834181429</v>
      </c>
      <c r="T141" s="8">
        <f t="shared" si="184"/>
        <v>231.33589423181428</v>
      </c>
      <c r="U141" s="8"/>
      <c r="V141" s="8"/>
    </row>
    <row r="142" spans="1:22" ht="15" customHeight="1" x14ac:dyDescent="0.3">
      <c r="A142" s="12" t="s">
        <v>140</v>
      </c>
      <c r="B142" s="8">
        <v>14.117857430000003</v>
      </c>
      <c r="C142" s="8">
        <v>4.9618627200000001</v>
      </c>
      <c r="D142" s="8">
        <v>3.8755056299999997</v>
      </c>
      <c r="E142" s="8">
        <f t="shared" si="175"/>
        <v>22.955225780000003</v>
      </c>
      <c r="F142" s="8">
        <v>62.021607780000004</v>
      </c>
      <c r="G142" s="8">
        <v>11.637271929999999</v>
      </c>
      <c r="H142" s="8">
        <v>23.111873800000001</v>
      </c>
      <c r="I142" s="8">
        <f t="shared" si="177"/>
        <v>96.770753510000006</v>
      </c>
      <c r="J142" s="8">
        <f t="shared" si="178"/>
        <v>119.72597929000001</v>
      </c>
      <c r="K142" s="8">
        <v>24.980938339999994</v>
      </c>
      <c r="L142" s="8">
        <v>17.677098670000003</v>
      </c>
      <c r="M142" s="8">
        <v>11.181709439999999</v>
      </c>
      <c r="N142" s="8">
        <f t="shared" si="180"/>
        <v>53.83974645</v>
      </c>
      <c r="O142" s="8">
        <v>6.526309949999999</v>
      </c>
      <c r="P142" s="8">
        <v>15.66005513</v>
      </c>
      <c r="Q142" s="8">
        <v>28.259533672306219</v>
      </c>
      <c r="R142" s="8">
        <f t="shared" si="182"/>
        <v>50.445898752306221</v>
      </c>
      <c r="S142" s="8">
        <f t="shared" si="183"/>
        <v>104.28564520230623</v>
      </c>
      <c r="T142" s="8">
        <f t="shared" si="184"/>
        <v>224.01162449230623</v>
      </c>
      <c r="U142" s="8"/>
      <c r="V142" s="8"/>
    </row>
    <row r="143" spans="1:22" ht="18" customHeight="1" x14ac:dyDescent="0.3">
      <c r="A143" s="12" t="s">
        <v>141</v>
      </c>
      <c r="B143" s="8"/>
      <c r="C143" s="8"/>
      <c r="D143" s="8"/>
      <c r="E143" s="8"/>
      <c r="F143" s="8"/>
      <c r="G143" s="8"/>
      <c r="H143" s="8"/>
      <c r="I143" s="8"/>
      <c r="J143" s="8"/>
      <c r="K143" s="8"/>
      <c r="L143" s="8"/>
      <c r="M143" s="8"/>
      <c r="N143" s="8"/>
      <c r="O143" s="8"/>
      <c r="P143" s="8"/>
      <c r="Q143" s="8"/>
      <c r="R143" s="8"/>
      <c r="S143" s="8"/>
      <c r="T143" s="8"/>
      <c r="U143" s="8"/>
      <c r="V143" s="8"/>
    </row>
    <row r="144" spans="1:22" ht="15" customHeight="1" x14ac:dyDescent="0.3">
      <c r="B144" s="8"/>
      <c r="C144" s="8"/>
      <c r="D144" s="8"/>
      <c r="E144" s="8"/>
      <c r="F144" s="8"/>
      <c r="G144" s="8"/>
      <c r="H144" s="8"/>
      <c r="I144" s="8"/>
      <c r="J144" s="8"/>
      <c r="K144" s="8"/>
      <c r="L144" s="8"/>
      <c r="M144" s="8"/>
      <c r="N144" s="8"/>
      <c r="O144" s="8"/>
      <c r="P144" s="8"/>
      <c r="Q144" s="8"/>
      <c r="R144" s="8"/>
      <c r="S144" s="8"/>
      <c r="T144" s="8"/>
      <c r="U144" s="8"/>
      <c r="V144" s="8"/>
    </row>
    <row r="145" spans="1:36" s="10" customFormat="1" ht="15" customHeight="1" x14ac:dyDescent="0.25">
      <c r="A145" s="10" t="s">
        <v>142</v>
      </c>
      <c r="B145" s="11">
        <f>+B7+B25+B33+B39+B45+B56+B64+B71+B79+B86+B90+B96+B104+B111+B118+B125+B131+B137</f>
        <v>126139.21259716993</v>
      </c>
      <c r="C145" s="11">
        <f t="shared" ref="C145:D145" si="185">+C7+C25+C33+C39+C45+C56+C64+C71+C79+C86+C90+C96+C104+C111+C118+C125+C131+C137</f>
        <v>92101.666869239998</v>
      </c>
      <c r="D145" s="11">
        <f t="shared" si="185"/>
        <v>101601.71817809998</v>
      </c>
      <c r="E145" s="11">
        <f>SUM(B145:D145)</f>
        <v>319842.59764450986</v>
      </c>
      <c r="F145" s="11">
        <f t="shared" ref="F145:H145" si="186">+F7+F25+F33+F39+F45+F56+F64+F71+F79+F86+F90+F96+F104+F111+F118+F125+F131+F137</f>
        <v>175673.88897254004</v>
      </c>
      <c r="G145" s="11">
        <f t="shared" si="186"/>
        <v>149050.32358698998</v>
      </c>
      <c r="H145" s="11">
        <f t="shared" si="186"/>
        <v>123719.85858321005</v>
      </c>
      <c r="I145" s="11">
        <f>SUM(F145:H145)</f>
        <v>448444.07114274008</v>
      </c>
      <c r="J145" s="11">
        <f t="shared" ref="J145" si="187">+E145+I145</f>
        <v>768286.66878724995</v>
      </c>
      <c r="K145" s="11">
        <f t="shared" ref="K145:M145" si="188">+K7+K25+K33+K39+K45+K56+K64+K71+K79+K86+K90+K96+K104+K111+K118+K125+K131+K137</f>
        <v>114569.09108507002</v>
      </c>
      <c r="L145" s="11">
        <f t="shared" si="188"/>
        <v>154475.349366357</v>
      </c>
      <c r="M145" s="11">
        <f t="shared" si="188"/>
        <v>109712.16726316998</v>
      </c>
      <c r="N145" s="11">
        <f>SUM(K145:M145)</f>
        <v>378756.60771459702</v>
      </c>
      <c r="O145" s="11">
        <f t="shared" ref="O145:Q145" si="189">+O7+O25+O33+O39+O45+O56+O64+O71+O79+O86+O90+O96+O104+O111+O118+O125+O131+O137</f>
        <v>119973.00186283998</v>
      </c>
      <c r="P145" s="11">
        <f t="shared" si="189"/>
        <v>154942.95159792996</v>
      </c>
      <c r="Q145" s="11">
        <f t="shared" si="189"/>
        <v>118888.08411584997</v>
      </c>
      <c r="R145" s="11">
        <f>SUM(O145:Q145)</f>
        <v>393804.03757661994</v>
      </c>
      <c r="S145" s="11">
        <f t="shared" ref="S145" si="190">+N145+R145</f>
        <v>772560.6452912169</v>
      </c>
      <c r="T145" s="11">
        <f>+J145+S145</f>
        <v>1540847.314078467</v>
      </c>
      <c r="U145" s="11"/>
      <c r="V145" s="11"/>
    </row>
    <row r="146" spans="1:36" ht="15" customHeight="1" x14ac:dyDescent="0.3">
      <c r="B146" s="8"/>
      <c r="C146" s="8"/>
      <c r="D146" s="8"/>
      <c r="E146" s="8"/>
      <c r="F146" s="8"/>
      <c r="G146" s="8"/>
      <c r="H146" s="8"/>
      <c r="I146" s="8"/>
      <c r="J146" s="8"/>
      <c r="K146" s="8"/>
      <c r="L146" s="8"/>
      <c r="M146" s="8"/>
      <c r="N146" s="8"/>
      <c r="O146" s="8"/>
      <c r="P146" s="8"/>
      <c r="Q146" s="8"/>
      <c r="R146" s="8"/>
      <c r="S146" s="8"/>
      <c r="T146" s="8"/>
      <c r="U146" s="8"/>
      <c r="V146" s="8"/>
    </row>
    <row r="147" spans="1:36" s="10" customFormat="1" ht="15" customHeight="1" x14ac:dyDescent="0.25">
      <c r="A147" s="10" t="s">
        <v>143</v>
      </c>
      <c r="B147" s="11">
        <v>3509.8784551500003</v>
      </c>
      <c r="C147" s="11">
        <v>2779.0507463099998</v>
      </c>
      <c r="D147" s="11">
        <v>4131.8938947300003</v>
      </c>
      <c r="E147" s="11">
        <f>SUM(B147:D147)</f>
        <v>10420.823096190001</v>
      </c>
      <c r="F147" s="11">
        <v>1888.9941461800001</v>
      </c>
      <c r="G147" s="11">
        <v>3181.34132998</v>
      </c>
      <c r="H147" s="11">
        <v>2195.89585377</v>
      </c>
      <c r="I147" s="11">
        <f>SUM(F147:H147)</f>
        <v>7266.2313299300004</v>
      </c>
      <c r="J147" s="11">
        <f t="shared" ref="J147" si="191">+E147+I147</f>
        <v>17687.054426120001</v>
      </c>
      <c r="K147" s="11">
        <v>3049.1118988200001</v>
      </c>
      <c r="L147" s="11">
        <v>3056.7256357600004</v>
      </c>
      <c r="M147" s="11">
        <v>4063.6519056699999</v>
      </c>
      <c r="N147" s="11">
        <f>SUM(K147:M147)</f>
        <v>10169.489440249999</v>
      </c>
      <c r="O147" s="11">
        <v>2237.8298596700001</v>
      </c>
      <c r="P147" s="11">
        <v>2316.96893791</v>
      </c>
      <c r="Q147" s="11">
        <v>2525.2180334499999</v>
      </c>
      <c r="R147" s="11">
        <f>SUM(O147:Q147)</f>
        <v>7080.0168310300005</v>
      </c>
      <c r="S147" s="11">
        <f t="shared" ref="S147" si="192">+N147+R147</f>
        <v>17249.506271279999</v>
      </c>
      <c r="T147" s="11">
        <f>+J147+S147</f>
        <v>34936.560697399997</v>
      </c>
      <c r="U147" s="11"/>
      <c r="V147" s="11"/>
      <c r="W147" s="15"/>
      <c r="X147" s="15"/>
      <c r="Y147" s="15"/>
      <c r="Z147" s="15"/>
      <c r="AA147" s="15"/>
      <c r="AB147" s="15"/>
      <c r="AC147" s="15"/>
      <c r="AD147" s="15"/>
      <c r="AE147" s="15"/>
      <c r="AF147" s="15"/>
      <c r="AG147" s="15"/>
      <c r="AH147" s="15"/>
      <c r="AI147" s="15"/>
      <c r="AJ147" s="15"/>
    </row>
    <row r="148" spans="1:36" s="10" customFormat="1" ht="15" customHeight="1" x14ac:dyDescent="0.2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spans="1:36" s="10" customFormat="1" ht="15" customHeight="1" x14ac:dyDescent="0.25">
      <c r="A149" s="10" t="s">
        <v>144</v>
      </c>
      <c r="B149" s="15">
        <v>0</v>
      </c>
      <c r="C149" s="15">
        <v>0</v>
      </c>
      <c r="D149" s="15">
        <v>0</v>
      </c>
      <c r="E149" s="15">
        <f>SUM(B149:D149)</f>
        <v>0</v>
      </c>
      <c r="F149" s="15">
        <v>0</v>
      </c>
      <c r="G149" s="15">
        <v>0</v>
      </c>
      <c r="H149" s="15">
        <v>0</v>
      </c>
      <c r="I149" s="15">
        <f>SUM(F149:H149)</f>
        <v>0</v>
      </c>
      <c r="J149" s="15">
        <f t="shared" ref="J149" si="193">+E149+I149</f>
        <v>0</v>
      </c>
      <c r="K149" s="15">
        <v>0</v>
      </c>
      <c r="L149" s="15">
        <v>0</v>
      </c>
      <c r="M149" s="15">
        <v>0</v>
      </c>
      <c r="N149" s="15">
        <f>SUM(K149:M149)</f>
        <v>0</v>
      </c>
      <c r="O149" s="15">
        <v>0</v>
      </c>
      <c r="P149" s="15">
        <v>0</v>
      </c>
      <c r="Q149" s="15">
        <v>0</v>
      </c>
      <c r="R149" s="15">
        <f>SUM(O149:Q149)</f>
        <v>0</v>
      </c>
      <c r="S149" s="15">
        <f t="shared" ref="S149" si="194">+N149+R149</f>
        <v>0</v>
      </c>
      <c r="T149" s="15">
        <f>+J149+S149</f>
        <v>0</v>
      </c>
      <c r="U149" s="15"/>
      <c r="V149" s="15"/>
      <c r="W149" s="15"/>
      <c r="X149" s="15"/>
      <c r="Y149" s="15"/>
      <c r="Z149" s="15"/>
      <c r="AA149" s="15"/>
      <c r="AB149" s="15"/>
      <c r="AC149" s="15"/>
      <c r="AD149" s="15"/>
      <c r="AE149" s="15"/>
      <c r="AF149" s="15"/>
      <c r="AG149" s="15"/>
      <c r="AH149" s="15"/>
      <c r="AI149" s="15"/>
      <c r="AJ149" s="15"/>
    </row>
    <row r="150" spans="1:36" s="10" customFormat="1" ht="15" customHeight="1" x14ac:dyDescent="0.2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spans="1:36" s="10" customFormat="1" ht="15" customHeight="1" x14ac:dyDescent="0.25">
      <c r="A151" s="10" t="s">
        <v>145</v>
      </c>
      <c r="B151" s="15">
        <f>+B145+B147+B149</f>
        <v>129649.09105231993</v>
      </c>
      <c r="C151" s="15">
        <f t="shared" ref="C151:D151" si="195">+C145+C147+C149</f>
        <v>94880.717615549991</v>
      </c>
      <c r="D151" s="15">
        <f t="shared" si="195"/>
        <v>105733.61207282999</v>
      </c>
      <c r="E151" s="15">
        <f>SUM(B151:D151)</f>
        <v>330263.42074069992</v>
      </c>
      <c r="F151" s="15">
        <f t="shared" ref="F151:H151" si="196">+F145+F147+F149</f>
        <v>177562.88311872003</v>
      </c>
      <c r="G151" s="15">
        <f t="shared" si="196"/>
        <v>152231.66491696998</v>
      </c>
      <c r="H151" s="15">
        <f t="shared" si="196"/>
        <v>125915.75443698005</v>
      </c>
      <c r="I151" s="15">
        <f>SUM(F151:H151)</f>
        <v>455710.30247267004</v>
      </c>
      <c r="J151" s="15">
        <f t="shared" ref="J151" si="197">+E151+I151</f>
        <v>785973.72321336996</v>
      </c>
      <c r="K151" s="15">
        <f t="shared" ref="K151:M151" si="198">+K145+K147+K149</f>
        <v>117618.20298389002</v>
      </c>
      <c r="L151" s="15">
        <f t="shared" si="198"/>
        <v>157532.075002117</v>
      </c>
      <c r="M151" s="15">
        <f t="shared" si="198"/>
        <v>113775.81916883998</v>
      </c>
      <c r="N151" s="15">
        <f>SUM(K151:M151)</f>
        <v>388926.097154847</v>
      </c>
      <c r="O151" s="15">
        <f t="shared" ref="O151:Q151" si="199">+O145+O147+O149</f>
        <v>122210.83172250999</v>
      </c>
      <c r="P151" s="15">
        <f t="shared" si="199"/>
        <v>157259.92053583995</v>
      </c>
      <c r="Q151" s="15">
        <f t="shared" si="199"/>
        <v>121413.30214929997</v>
      </c>
      <c r="R151" s="15">
        <f>SUM(O151:Q151)</f>
        <v>400884.05440764991</v>
      </c>
      <c r="S151" s="15">
        <f t="shared" ref="S151" si="200">+N151+R151</f>
        <v>789810.1515624969</v>
      </c>
      <c r="T151" s="15">
        <f>+J151+S151</f>
        <v>1575783.874775867</v>
      </c>
      <c r="U151" s="15"/>
      <c r="V151" s="15"/>
      <c r="W151" s="15"/>
      <c r="X151" s="15"/>
      <c r="Y151" s="15"/>
      <c r="Z151" s="15"/>
      <c r="AA151" s="15"/>
      <c r="AB151" s="15"/>
      <c r="AC151" s="15"/>
      <c r="AD151" s="15"/>
      <c r="AE151" s="15"/>
      <c r="AF151" s="15"/>
      <c r="AG151" s="15"/>
      <c r="AH151" s="15"/>
      <c r="AI151" s="15"/>
      <c r="AJ151" s="15"/>
    </row>
    <row r="152" spans="1:36" s="10" customFormat="1" ht="15" customHeight="1" x14ac:dyDescent="0.2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spans="1:36" s="10" customFormat="1" ht="15" customHeight="1" x14ac:dyDescent="0.25">
      <c r="A153" s="10" t="s">
        <v>146</v>
      </c>
      <c r="B153" s="15">
        <v>0</v>
      </c>
      <c r="C153" s="15">
        <v>0</v>
      </c>
      <c r="D153" s="15">
        <v>0</v>
      </c>
      <c r="E153" s="15">
        <f>SUM(B153:D153)</f>
        <v>0</v>
      </c>
      <c r="F153" s="15">
        <v>-5.3025997199999999</v>
      </c>
      <c r="G153" s="15">
        <v>-1220.7051802699998</v>
      </c>
      <c r="H153" s="15">
        <v>-1326.8214105</v>
      </c>
      <c r="I153" s="15">
        <f>SUM(F153:H153)</f>
        <v>-2552.8291904899997</v>
      </c>
      <c r="J153" s="15">
        <f t="shared" ref="J153" si="201">+E153+I153</f>
        <v>-2552.8291904899997</v>
      </c>
      <c r="K153" s="15">
        <v>-161.15367159999997</v>
      </c>
      <c r="L153" s="15">
        <v>-96.044036789999993</v>
      </c>
      <c r="M153" s="15">
        <v>-925.54027899000016</v>
      </c>
      <c r="N153" s="15">
        <f>SUM(K153:M153)</f>
        <v>-1182.73798738</v>
      </c>
      <c r="O153" s="15">
        <v>-203.89747426</v>
      </c>
      <c r="P153" s="15">
        <v>-1005.1285671300001</v>
      </c>
      <c r="Q153" s="15">
        <v>-3626.42465068</v>
      </c>
      <c r="R153" s="15">
        <f>SUM(O153:Q153)</f>
        <v>-4835.4506920700005</v>
      </c>
      <c r="S153" s="15">
        <f t="shared" ref="S153" si="202">+N153+R153</f>
        <v>-6018.1886794500006</v>
      </c>
      <c r="T153" s="15">
        <f>+J153+S153</f>
        <v>-8571.0178699400003</v>
      </c>
      <c r="U153" s="15"/>
      <c r="V153" s="15"/>
      <c r="W153" s="15"/>
      <c r="X153" s="15"/>
      <c r="Y153" s="15"/>
      <c r="Z153" s="15"/>
      <c r="AA153" s="15"/>
      <c r="AB153" s="15"/>
      <c r="AC153" s="15"/>
      <c r="AD153" s="15"/>
      <c r="AE153" s="15"/>
      <c r="AF153" s="15"/>
      <c r="AG153" s="15"/>
      <c r="AH153" s="15"/>
      <c r="AI153" s="15"/>
      <c r="AJ153" s="15"/>
    </row>
    <row r="154" spans="1:36" s="10" customFormat="1" ht="15" customHeight="1" x14ac:dyDescent="0.2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spans="1:36" s="10" customFormat="1" ht="15" customHeight="1" x14ac:dyDescent="0.25">
      <c r="A155" s="10" t="s">
        <v>147</v>
      </c>
      <c r="B155" s="15">
        <f>+B151+B153</f>
        <v>129649.09105231993</v>
      </c>
      <c r="C155" s="15">
        <f t="shared" ref="C155:Q155" si="203">+C151+C153</f>
        <v>94880.717615549991</v>
      </c>
      <c r="D155" s="15">
        <f t="shared" si="203"/>
        <v>105733.61207282999</v>
      </c>
      <c r="E155" s="15">
        <f>SUM(B155:D155)</f>
        <v>330263.42074069992</v>
      </c>
      <c r="F155" s="15">
        <f t="shared" si="203"/>
        <v>177557.58051900004</v>
      </c>
      <c r="G155" s="15">
        <f t="shared" si="203"/>
        <v>151010.9597367</v>
      </c>
      <c r="H155" s="15">
        <f t="shared" si="203"/>
        <v>124588.93302648005</v>
      </c>
      <c r="I155" s="15">
        <f>SUM(F155:H155)</f>
        <v>453157.47328218003</v>
      </c>
      <c r="J155" s="15">
        <f t="shared" ref="J155" si="204">+E155+I155</f>
        <v>783420.89402287989</v>
      </c>
      <c r="K155" s="15">
        <f t="shared" si="203"/>
        <v>117457.04931229002</v>
      </c>
      <c r="L155" s="15">
        <f t="shared" si="203"/>
        <v>157436.03096532699</v>
      </c>
      <c r="M155" s="15">
        <f t="shared" si="203"/>
        <v>112850.27888984999</v>
      </c>
      <c r="N155" s="15">
        <f>SUM(K155:M155)</f>
        <v>387743.35916746699</v>
      </c>
      <c r="O155" s="15">
        <f t="shared" si="203"/>
        <v>122006.93424824999</v>
      </c>
      <c r="P155" s="15">
        <f t="shared" si="203"/>
        <v>156254.79196870993</v>
      </c>
      <c r="Q155" s="15">
        <f t="shared" si="203"/>
        <v>117786.87749861997</v>
      </c>
      <c r="R155" s="15">
        <f>SUM(O155:Q155)</f>
        <v>396048.6037155799</v>
      </c>
      <c r="S155" s="15">
        <f t="shared" ref="S155" si="205">+N155+R155</f>
        <v>783791.96288304683</v>
      </c>
      <c r="T155" s="15">
        <f>+J155+S155</f>
        <v>1567212.8569059267</v>
      </c>
      <c r="U155" s="15"/>
      <c r="V155" s="15"/>
      <c r="W155" s="15"/>
      <c r="X155" s="15"/>
      <c r="Y155" s="15"/>
      <c r="Z155" s="15"/>
      <c r="AA155" s="15"/>
      <c r="AB155" s="15"/>
      <c r="AC155" s="15"/>
      <c r="AD155" s="15"/>
      <c r="AE155" s="15"/>
      <c r="AF155" s="15"/>
      <c r="AG155" s="15"/>
      <c r="AH155" s="15"/>
      <c r="AI155" s="15"/>
      <c r="AJ155" s="15"/>
    </row>
    <row r="156" spans="1:36" s="10" customFormat="1" ht="15" customHeight="1" thickBot="1" x14ac:dyDescent="0.3">
      <c r="A156" s="16"/>
      <c r="B156" s="17"/>
      <c r="C156" s="17"/>
      <c r="D156" s="17"/>
      <c r="E156" s="17"/>
      <c r="F156" s="17"/>
      <c r="G156" s="17"/>
      <c r="H156" s="17"/>
      <c r="I156" s="17"/>
      <c r="J156" s="17"/>
      <c r="K156" s="17"/>
      <c r="L156" s="17"/>
      <c r="M156" s="17"/>
      <c r="N156" s="17"/>
      <c r="O156" s="17"/>
      <c r="P156" s="17"/>
      <c r="Q156" s="17"/>
      <c r="R156" s="17"/>
      <c r="S156" s="17"/>
      <c r="T156" s="17"/>
      <c r="U156" s="15"/>
      <c r="V156" s="15"/>
      <c r="W156" s="15"/>
      <c r="X156" s="15"/>
      <c r="Y156" s="15"/>
      <c r="Z156" s="15"/>
      <c r="AA156" s="15"/>
      <c r="AB156" s="15"/>
      <c r="AC156" s="15"/>
      <c r="AD156" s="15"/>
      <c r="AE156" s="15"/>
      <c r="AF156" s="15"/>
      <c r="AG156" s="15"/>
      <c r="AH156" s="15"/>
      <c r="AI156" s="15"/>
      <c r="AJ156" s="15"/>
    </row>
    <row r="157" spans="1:36" s="10" customFormat="1" ht="15" customHeight="1" thickTop="1" x14ac:dyDescent="0.25">
      <c r="A157" s="18" t="s">
        <v>148</v>
      </c>
      <c r="B157" s="19"/>
      <c r="C157" s="19"/>
      <c r="D157" s="19"/>
      <c r="E157" s="19"/>
      <c r="F157" s="19"/>
      <c r="G157" s="19"/>
      <c r="H157" s="19"/>
      <c r="I157" s="19"/>
      <c r="J157" s="19"/>
      <c r="K157" s="19"/>
      <c r="L157" s="19"/>
      <c r="M157" s="19"/>
      <c r="N157" s="19"/>
      <c r="O157" s="19"/>
      <c r="P157" s="19"/>
      <c r="Q157" s="19"/>
      <c r="R157" s="19"/>
      <c r="S157" s="19"/>
      <c r="T157" s="19"/>
      <c r="U157" s="15"/>
      <c r="V157" s="15"/>
      <c r="W157" s="15"/>
      <c r="X157" s="15"/>
      <c r="Y157" s="15"/>
      <c r="Z157" s="15"/>
      <c r="AA157" s="15"/>
      <c r="AB157" s="15"/>
      <c r="AC157" s="15"/>
      <c r="AD157" s="15"/>
      <c r="AE157" s="15"/>
      <c r="AF157" s="15"/>
      <c r="AG157" s="15"/>
      <c r="AH157" s="15"/>
      <c r="AI157" s="15"/>
      <c r="AJ157" s="15"/>
    </row>
    <row r="158" spans="1:36" s="10" customFormat="1" ht="15" customHeight="1" x14ac:dyDescent="0.25">
      <c r="A158" s="18"/>
      <c r="B158" s="19"/>
      <c r="C158" s="19"/>
      <c r="D158" s="19"/>
      <c r="E158" s="19"/>
      <c r="F158" s="19"/>
      <c r="G158" s="19"/>
      <c r="H158" s="19"/>
      <c r="I158" s="19"/>
      <c r="J158" s="19"/>
      <c r="K158" s="19"/>
      <c r="L158" s="19"/>
      <c r="M158" s="19"/>
      <c r="N158" s="19"/>
      <c r="O158" s="19"/>
      <c r="P158" s="19"/>
      <c r="Q158" s="19"/>
      <c r="R158" s="19"/>
      <c r="S158" s="19"/>
      <c r="T158" s="19"/>
      <c r="U158" s="15"/>
      <c r="V158" s="15"/>
      <c r="W158" s="15"/>
      <c r="X158" s="15"/>
      <c r="Y158" s="15"/>
      <c r="Z158" s="15"/>
      <c r="AA158" s="15"/>
      <c r="AB158" s="15"/>
      <c r="AC158" s="15"/>
      <c r="AD158" s="15"/>
      <c r="AE158" s="15"/>
      <c r="AF158" s="15"/>
      <c r="AG158" s="15"/>
      <c r="AH158" s="15"/>
      <c r="AI158" s="15"/>
      <c r="AJ158" s="15"/>
    </row>
    <row r="159" spans="1:36" s="10" customFormat="1" ht="15" customHeight="1" x14ac:dyDescent="0.3">
      <c r="A159" s="20" t="s">
        <v>149</v>
      </c>
      <c r="B159" s="21"/>
      <c r="C159" s="21"/>
      <c r="D159" s="21"/>
      <c r="E159" s="21"/>
      <c r="F159" s="21"/>
      <c r="G159" s="21"/>
      <c r="H159" s="21"/>
      <c r="I159" s="21"/>
      <c r="J159" s="21"/>
      <c r="K159" s="21"/>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spans="1:36" s="10" customFormat="1" ht="15" customHeight="1" x14ac:dyDescent="0.3">
      <c r="A160" s="20" t="s">
        <v>167</v>
      </c>
      <c r="B160" s="22"/>
      <c r="C160" s="22"/>
      <c r="D160" s="22"/>
      <c r="E160" s="22"/>
      <c r="F160" s="22"/>
      <c r="G160" s="22"/>
      <c r="H160" s="22"/>
      <c r="I160" s="22"/>
      <c r="J160" s="22"/>
    </row>
    <row r="161" spans="1:10" ht="15" customHeight="1" x14ac:dyDescent="0.3">
      <c r="A161" s="23" t="s">
        <v>150</v>
      </c>
      <c r="B161" s="24"/>
      <c r="C161" s="24"/>
      <c r="D161" s="24"/>
      <c r="E161" s="24"/>
      <c r="F161" s="24"/>
      <c r="G161" s="24"/>
      <c r="H161" s="24"/>
      <c r="I161" s="24"/>
      <c r="J161" s="24"/>
    </row>
    <row r="162" spans="1:10" s="24" customFormat="1" ht="17.100000000000001" customHeight="1" x14ac:dyDescent="0.3">
      <c r="A162" s="25" t="s">
        <v>151</v>
      </c>
    </row>
    <row r="163" spans="1:10" s="24" customFormat="1" ht="17.100000000000001" customHeight="1" x14ac:dyDescent="0.3">
      <c r="A163" s="25" t="s">
        <v>152</v>
      </c>
    </row>
    <row r="164" spans="1:10" s="24" customFormat="1" ht="17.100000000000001" customHeight="1" x14ac:dyDescent="0.3">
      <c r="A164" s="25" t="s">
        <v>153</v>
      </c>
    </row>
    <row r="165" spans="1:10" s="24" customFormat="1" ht="17.100000000000001" customHeight="1" x14ac:dyDescent="0.3">
      <c r="A165" s="25" t="s">
        <v>154</v>
      </c>
    </row>
    <row r="166" spans="1:10" s="24" customFormat="1" ht="17.100000000000001" customHeight="1" x14ac:dyDescent="0.3">
      <c r="A166" s="25" t="s">
        <v>155</v>
      </c>
    </row>
    <row r="167" spans="1:10" s="24" customFormat="1" ht="15.95" customHeight="1" x14ac:dyDescent="0.3">
      <c r="A167" s="55" t="s">
        <v>156</v>
      </c>
      <c r="B167" s="55"/>
      <c r="C167" s="55"/>
      <c r="D167" s="55"/>
      <c r="E167" s="55"/>
      <c r="F167" s="55"/>
      <c r="G167" s="55"/>
      <c r="H167" s="55"/>
      <c r="I167" s="55"/>
      <c r="J167" s="55"/>
    </row>
    <row r="168" spans="1:10" s="24" customFormat="1" ht="15.95" customHeight="1" x14ac:dyDescent="0.3">
      <c r="A168" s="55"/>
      <c r="B168" s="55"/>
      <c r="C168" s="55"/>
      <c r="D168" s="55"/>
      <c r="E168" s="55"/>
      <c r="F168" s="55"/>
      <c r="G168" s="55"/>
      <c r="H168" s="55"/>
      <c r="I168" s="55"/>
      <c r="J168" s="55"/>
    </row>
    <row r="169" spans="1:10" s="24" customFormat="1" ht="17.100000000000001" customHeight="1" x14ac:dyDescent="0.3">
      <c r="A169" s="25" t="s">
        <v>157</v>
      </c>
    </row>
    <row r="170" spans="1:10" s="24" customFormat="1" ht="17.100000000000001" customHeight="1" x14ac:dyDescent="0.3">
      <c r="A170" s="25" t="s">
        <v>158</v>
      </c>
    </row>
    <row r="171" spans="1:10" s="24" customFormat="1" ht="15.95" customHeight="1" x14ac:dyDescent="0.3">
      <c r="A171" s="55" t="s">
        <v>159</v>
      </c>
      <c r="B171" s="55"/>
      <c r="C171" s="55"/>
      <c r="D171" s="55"/>
      <c r="E171" s="55"/>
      <c r="F171" s="55"/>
      <c r="G171" s="55"/>
      <c r="H171" s="55"/>
      <c r="I171" s="55"/>
      <c r="J171" s="55"/>
    </row>
    <row r="172" spans="1:10" s="24" customFormat="1" ht="15.95" customHeight="1" x14ac:dyDescent="0.3">
      <c r="A172" s="55"/>
      <c r="B172" s="55"/>
      <c r="C172" s="55"/>
      <c r="D172" s="55"/>
      <c r="E172" s="55"/>
      <c r="F172" s="55"/>
      <c r="G172" s="55"/>
      <c r="H172" s="55"/>
      <c r="I172" s="55"/>
      <c r="J172" s="55"/>
    </row>
    <row r="173" spans="1:10" s="24" customFormat="1" ht="17.100000000000001" customHeight="1" x14ac:dyDescent="0.3">
      <c r="A173" s="25" t="s">
        <v>160</v>
      </c>
    </row>
    <row r="174" spans="1:10" s="24" customFormat="1" ht="17.100000000000001" customHeight="1" x14ac:dyDescent="0.3">
      <c r="A174" s="25" t="s">
        <v>161</v>
      </c>
    </row>
    <row r="175" spans="1:10" s="24" customFormat="1" ht="17.100000000000001" customHeight="1" x14ac:dyDescent="0.3">
      <c r="A175" s="25" t="s">
        <v>162</v>
      </c>
      <c r="B175" s="25"/>
      <c r="C175" s="25"/>
      <c r="D175" s="25"/>
      <c r="E175" s="25"/>
      <c r="F175" s="25"/>
      <c r="G175" s="25"/>
      <c r="H175" s="25"/>
      <c r="I175" s="25"/>
      <c r="J175" s="25"/>
    </row>
    <row r="176" spans="1:10" s="24" customFormat="1" ht="17.100000000000001" customHeight="1" x14ac:dyDescent="0.3">
      <c r="A176" s="25" t="s">
        <v>163</v>
      </c>
    </row>
    <row r="177" spans="1:1" s="24" customFormat="1" ht="17.100000000000001" customHeight="1" x14ac:dyDescent="0.3">
      <c r="A177" s="25" t="s">
        <v>164</v>
      </c>
    </row>
    <row r="178" spans="1:1" s="24" customFormat="1" ht="13.5" x14ac:dyDescent="0.3"/>
    <row r="179" spans="1:1" s="24" customFormat="1" ht="13.5" x14ac:dyDescent="0.3"/>
    <row r="180" spans="1:1" s="24" customFormat="1" x14ac:dyDescent="0.3">
      <c r="A180" s="1"/>
    </row>
    <row r="181" spans="1:1" s="24" customFormat="1" ht="13.5" x14ac:dyDescent="0.3"/>
    <row r="182" spans="1:1" s="24" customFormat="1" ht="13.5" x14ac:dyDescent="0.3"/>
    <row r="183" spans="1:1" s="24" customFormat="1" ht="13.5" x14ac:dyDescent="0.3"/>
    <row r="184" spans="1:1" s="24" customFormat="1" ht="13.5" x14ac:dyDescent="0.3"/>
  </sheetData>
  <mergeCells count="2">
    <mergeCell ref="A167:J168"/>
    <mergeCell ref="A171:J172"/>
  </mergeCells>
  <printOptions horizontalCentered="1"/>
  <pageMargins left="0.2" right="0.2" top="0.5" bottom="0.5" header="0.3" footer="0.3"/>
  <pageSetup paperSize="14" scale="85" orientation="landscape" r:id="rId1"/>
  <headerFooter>
    <oddFooter>&amp;C&amp;"Century Gothic,Regular"&amp;8Page &amp;P of &amp;N</oddFooter>
  </headerFooter>
  <rowBreaks count="3" manualBreakCount="3">
    <brk id="78" max="16383" man="1"/>
    <brk id="110" max="16383" man="1"/>
    <brk id="14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B64E9-87BF-42F1-99A6-738E56D2E983}">
  <dimension ref="A1:AJ184"/>
  <sheetViews>
    <sheetView workbookViewId="0">
      <selection activeCell="A149" sqref="A149"/>
    </sheetView>
  </sheetViews>
  <sheetFormatPr defaultRowHeight="14.25" x14ac:dyDescent="0.3"/>
  <cols>
    <col min="1" max="1" width="50.625" style="3" customWidth="1"/>
    <col min="2" max="20" width="11.625" style="3" customWidth="1"/>
    <col min="21" max="16384" width="9" style="3"/>
  </cols>
  <sheetData>
    <row r="1" spans="1:22" x14ac:dyDescent="0.3">
      <c r="A1" s="1" t="s">
        <v>0</v>
      </c>
      <c r="B1" s="1"/>
      <c r="C1" s="1"/>
      <c r="D1" s="1"/>
      <c r="E1" s="1"/>
      <c r="F1" s="1"/>
      <c r="G1" s="1"/>
      <c r="H1" s="1"/>
      <c r="I1" s="1"/>
      <c r="J1" s="1"/>
      <c r="K1" s="1"/>
      <c r="L1" s="1"/>
      <c r="M1" s="1"/>
      <c r="N1" s="1"/>
      <c r="O1" s="1"/>
      <c r="P1" s="1"/>
      <c r="Q1" s="1"/>
      <c r="R1" s="2"/>
      <c r="S1" s="2"/>
    </row>
    <row r="2" spans="1:22" x14ac:dyDescent="0.3">
      <c r="A2" s="1" t="s">
        <v>168</v>
      </c>
      <c r="B2" s="1"/>
      <c r="C2" s="1"/>
      <c r="D2" s="1"/>
      <c r="E2" s="1"/>
      <c r="F2" s="1"/>
      <c r="G2" s="1"/>
      <c r="H2" s="1"/>
      <c r="I2" s="1"/>
      <c r="J2" s="1"/>
      <c r="K2" s="1"/>
      <c r="L2" s="1"/>
      <c r="M2" s="1"/>
      <c r="N2" s="1"/>
      <c r="O2" s="1"/>
      <c r="P2" s="1"/>
      <c r="Q2" s="1"/>
      <c r="R2" s="2"/>
      <c r="S2" s="2"/>
    </row>
    <row r="3" spans="1:22" x14ac:dyDescent="0.3">
      <c r="A3" s="1" t="s">
        <v>1</v>
      </c>
      <c r="B3" s="1"/>
      <c r="C3" s="1"/>
      <c r="D3" s="1"/>
      <c r="E3" s="1"/>
      <c r="F3" s="1"/>
      <c r="G3" s="1"/>
      <c r="H3" s="1"/>
      <c r="I3" s="1"/>
      <c r="J3" s="1"/>
      <c r="K3" s="1"/>
      <c r="L3" s="1"/>
      <c r="M3" s="1"/>
      <c r="N3" s="1"/>
      <c r="O3" s="1"/>
      <c r="P3" s="1"/>
      <c r="Q3" s="1"/>
      <c r="R3" s="2"/>
      <c r="S3" s="2"/>
    </row>
    <row r="4" spans="1:22" ht="15" thickBot="1" x14ac:dyDescent="0.35"/>
    <row r="5" spans="1:22" s="7" customFormat="1" ht="15" thickTop="1" thickBot="1" x14ac:dyDescent="0.3">
      <c r="A5" s="4" t="s">
        <v>2</v>
      </c>
      <c r="B5" s="5" t="s">
        <v>3</v>
      </c>
      <c r="C5" s="5" t="s">
        <v>4</v>
      </c>
      <c r="D5" s="5" t="s">
        <v>5</v>
      </c>
      <c r="E5" s="5" t="s">
        <v>6</v>
      </c>
      <c r="F5" s="5" t="s">
        <v>7</v>
      </c>
      <c r="G5" s="5" t="s">
        <v>8</v>
      </c>
      <c r="H5" s="5" t="s">
        <v>9</v>
      </c>
      <c r="I5" s="5" t="s">
        <v>10</v>
      </c>
      <c r="J5" s="5" t="s">
        <v>11</v>
      </c>
      <c r="K5" s="5" t="s">
        <v>12</v>
      </c>
      <c r="L5" s="5" t="s">
        <v>13</v>
      </c>
      <c r="M5" s="5" t="s">
        <v>14</v>
      </c>
      <c r="N5" s="5" t="s">
        <v>15</v>
      </c>
      <c r="O5" s="5" t="s">
        <v>16</v>
      </c>
      <c r="P5" s="5" t="s">
        <v>17</v>
      </c>
      <c r="Q5" s="6" t="s">
        <v>18</v>
      </c>
      <c r="R5" s="5" t="s">
        <v>19</v>
      </c>
      <c r="S5" s="5" t="s">
        <v>20</v>
      </c>
      <c r="T5" s="5" t="s">
        <v>21</v>
      </c>
    </row>
    <row r="6" spans="1:22" s="9" customFormat="1" ht="15" thickTop="1" x14ac:dyDescent="0.3">
      <c r="A6" s="3"/>
      <c r="B6" s="8"/>
      <c r="C6" s="8"/>
      <c r="D6" s="8"/>
      <c r="E6" s="8"/>
      <c r="F6" s="8"/>
      <c r="G6" s="8"/>
      <c r="H6" s="8"/>
      <c r="I6" s="8"/>
      <c r="J6" s="8"/>
      <c r="K6" s="8"/>
      <c r="L6" s="8"/>
      <c r="M6" s="8"/>
      <c r="N6" s="8"/>
      <c r="O6" s="8"/>
      <c r="P6" s="8"/>
      <c r="Q6" s="8"/>
      <c r="R6" s="8"/>
      <c r="S6" s="8"/>
      <c r="T6" s="8"/>
      <c r="U6" s="8"/>
      <c r="V6" s="8"/>
    </row>
    <row r="7" spans="1:22" s="10" customFormat="1" ht="15" customHeight="1" x14ac:dyDescent="0.25">
      <c r="A7" s="10" t="s">
        <v>22</v>
      </c>
      <c r="B7" s="11">
        <f>SUM(B8:B23)</f>
        <v>116491.64397534002</v>
      </c>
      <c r="C7" s="11">
        <f t="shared" ref="C7:Q7" si="0">SUM(C8:C23)</f>
        <v>83674.299468180005</v>
      </c>
      <c r="D7" s="11">
        <f t="shared" si="0"/>
        <v>90676.095637510036</v>
      </c>
      <c r="E7" s="11">
        <f>SUM(B7:D7)</f>
        <v>290842.03908103006</v>
      </c>
      <c r="F7" s="11">
        <f t="shared" si="0"/>
        <v>155561.17197195999</v>
      </c>
      <c r="G7" s="11">
        <f t="shared" si="0"/>
        <v>128635.19528056703</v>
      </c>
      <c r="H7" s="11">
        <f t="shared" si="0"/>
        <v>106269.63822482002</v>
      </c>
      <c r="I7" s="11">
        <f>SUM(F7:H7)</f>
        <v>390466.00547734706</v>
      </c>
      <c r="J7" s="11">
        <f>+E7+I7</f>
        <v>681308.04455837712</v>
      </c>
      <c r="K7" s="11">
        <f t="shared" si="0"/>
        <v>109544.70183438</v>
      </c>
      <c r="L7" s="11">
        <f t="shared" si="0"/>
        <v>140217.05774975001</v>
      </c>
      <c r="M7" s="11">
        <f t="shared" si="0"/>
        <v>114952.72407215998</v>
      </c>
      <c r="N7" s="11">
        <f>SUM(K7:M7)</f>
        <v>364714.48365628999</v>
      </c>
      <c r="O7" s="11">
        <f t="shared" si="0"/>
        <v>115096.98647702999</v>
      </c>
      <c r="P7" s="11">
        <f t="shared" si="0"/>
        <v>145330.26351601002</v>
      </c>
      <c r="Q7" s="11">
        <f t="shared" si="0"/>
        <v>119711.82061158003</v>
      </c>
      <c r="R7" s="11">
        <f>SUM(O7:Q7)</f>
        <v>380139.07060462004</v>
      </c>
      <c r="S7" s="11">
        <f>+N7+R7</f>
        <v>744853.55426091002</v>
      </c>
      <c r="T7" s="11">
        <f>+J7+S7</f>
        <v>1426161.598819287</v>
      </c>
      <c r="U7" s="11"/>
      <c r="V7" s="11"/>
    </row>
    <row r="8" spans="1:22" ht="15" customHeight="1" x14ac:dyDescent="0.3">
      <c r="A8" s="12" t="s">
        <v>23</v>
      </c>
      <c r="B8" s="8">
        <v>437.02073564000045</v>
      </c>
      <c r="C8" s="8">
        <v>407.52712441999989</v>
      </c>
      <c r="D8" s="8">
        <v>458.67261659000008</v>
      </c>
      <c r="E8" s="8">
        <f t="shared" ref="E8:E23" si="1">SUM(B8:D8)</f>
        <v>1303.2204766500004</v>
      </c>
      <c r="F8" s="8">
        <v>709.88213553999947</v>
      </c>
      <c r="G8" s="8">
        <v>525.53709096000068</v>
      </c>
      <c r="H8" s="8">
        <v>466.30359054000013</v>
      </c>
      <c r="I8" s="8">
        <f t="shared" ref="I8:I23" si="2">SUM(F8:H8)</f>
        <v>1701.7228170400003</v>
      </c>
      <c r="J8" s="8">
        <f t="shared" ref="J8:J71" si="3">+E8+I8</f>
        <v>3004.9432936900007</v>
      </c>
      <c r="K8" s="8">
        <v>462.94356646000006</v>
      </c>
      <c r="L8" s="8">
        <v>561.25855175000038</v>
      </c>
      <c r="M8" s="8">
        <v>457.26074614000009</v>
      </c>
      <c r="N8" s="8">
        <f t="shared" ref="N8:N23" si="4">SUM(K8:M8)</f>
        <v>1481.4628643500005</v>
      </c>
      <c r="O8" s="8">
        <v>465.78884307999982</v>
      </c>
      <c r="P8" s="8">
        <v>548.78264824000041</v>
      </c>
      <c r="Q8" s="8">
        <v>555.94354910000004</v>
      </c>
      <c r="R8" s="8">
        <f t="shared" ref="R8:R23" si="5">SUM(O8:Q8)</f>
        <v>1570.5150404200003</v>
      </c>
      <c r="S8" s="8">
        <f t="shared" ref="S8:S71" si="6">+N8+R8</f>
        <v>3051.9779047700008</v>
      </c>
      <c r="T8" s="8">
        <f t="shared" ref="T8:T23" si="7">+J8+S8</f>
        <v>6056.9211984600015</v>
      </c>
      <c r="U8" s="8"/>
      <c r="V8" s="8"/>
    </row>
    <row r="9" spans="1:22" ht="15" customHeight="1" x14ac:dyDescent="0.3">
      <c r="A9" s="12" t="s">
        <v>24</v>
      </c>
      <c r="B9" s="8">
        <v>352.65528476000003</v>
      </c>
      <c r="C9" s="8">
        <v>260.92316423</v>
      </c>
      <c r="D9" s="8">
        <v>299.78963922999998</v>
      </c>
      <c r="E9" s="8">
        <f t="shared" si="1"/>
        <v>913.36808821999989</v>
      </c>
      <c r="F9" s="8">
        <v>584.11966186999985</v>
      </c>
      <c r="G9" s="8">
        <v>376.14488808000004</v>
      </c>
      <c r="H9" s="8">
        <v>324.67960306999998</v>
      </c>
      <c r="I9" s="8">
        <f t="shared" si="2"/>
        <v>1284.9441530199999</v>
      </c>
      <c r="J9" s="8">
        <f t="shared" si="3"/>
        <v>2198.3122412399998</v>
      </c>
      <c r="K9" s="8">
        <v>352.62428898999963</v>
      </c>
      <c r="L9" s="8">
        <v>476.69952259999997</v>
      </c>
      <c r="M9" s="8">
        <v>328.19832143999963</v>
      </c>
      <c r="N9" s="8">
        <f t="shared" si="4"/>
        <v>1157.5221330299992</v>
      </c>
      <c r="O9" s="8">
        <v>356.74793686999971</v>
      </c>
      <c r="P9" s="8">
        <v>457.15352181999975</v>
      </c>
      <c r="Q9" s="8">
        <v>434.71375974</v>
      </c>
      <c r="R9" s="8">
        <f t="shared" si="5"/>
        <v>1248.6152184299995</v>
      </c>
      <c r="S9" s="8">
        <f t="shared" si="6"/>
        <v>2406.1373514599986</v>
      </c>
      <c r="T9" s="8">
        <f t="shared" si="7"/>
        <v>4604.4495926999989</v>
      </c>
      <c r="U9" s="8"/>
      <c r="V9" s="8"/>
    </row>
    <row r="10" spans="1:22" ht="15" customHeight="1" x14ac:dyDescent="0.3">
      <c r="A10" s="12" t="s">
        <v>25</v>
      </c>
      <c r="B10" s="8">
        <v>8383.8228291299965</v>
      </c>
      <c r="C10" s="8">
        <v>5539.7403547200065</v>
      </c>
      <c r="D10" s="8">
        <v>6017.8916685900031</v>
      </c>
      <c r="E10" s="8">
        <f t="shared" si="1"/>
        <v>19941.454852440005</v>
      </c>
      <c r="F10" s="8">
        <v>11122.018021730004</v>
      </c>
      <c r="G10" s="8">
        <v>7625.1228510699966</v>
      </c>
      <c r="H10" s="8">
        <v>6579.7334967300012</v>
      </c>
      <c r="I10" s="8">
        <f t="shared" si="2"/>
        <v>25326.874369530004</v>
      </c>
      <c r="J10" s="8">
        <f t="shared" si="3"/>
        <v>45268.329221970009</v>
      </c>
      <c r="K10" s="8">
        <v>6657.3794923800024</v>
      </c>
      <c r="L10" s="8">
        <v>8218.7787071000002</v>
      </c>
      <c r="M10" s="8">
        <v>7194.7805392099999</v>
      </c>
      <c r="N10" s="8">
        <f t="shared" si="4"/>
        <v>22070.938738690005</v>
      </c>
      <c r="O10" s="8">
        <v>9339.9995662700021</v>
      </c>
      <c r="P10" s="8">
        <v>8715.5378748299991</v>
      </c>
      <c r="Q10" s="8">
        <v>7835.4059822700001</v>
      </c>
      <c r="R10" s="8">
        <f t="shared" si="5"/>
        <v>25890.943423370001</v>
      </c>
      <c r="S10" s="8">
        <f t="shared" si="6"/>
        <v>47961.882162060007</v>
      </c>
      <c r="T10" s="8">
        <f t="shared" si="7"/>
        <v>93230.211384030015</v>
      </c>
      <c r="U10" s="8"/>
      <c r="V10" s="8"/>
    </row>
    <row r="11" spans="1:22" ht="15" customHeight="1" x14ac:dyDescent="0.3">
      <c r="A11" s="12" t="s">
        <v>26</v>
      </c>
      <c r="B11" s="8">
        <v>310.66832772999976</v>
      </c>
      <c r="C11" s="8">
        <v>251.89675883999999</v>
      </c>
      <c r="D11" s="8">
        <v>279.99230024000013</v>
      </c>
      <c r="E11" s="8">
        <f t="shared" si="1"/>
        <v>842.5573868099998</v>
      </c>
      <c r="F11" s="8">
        <v>446.23023090999953</v>
      </c>
      <c r="G11" s="8">
        <v>293.25724165999981</v>
      </c>
      <c r="H11" s="8">
        <v>259.53467320999999</v>
      </c>
      <c r="I11" s="8">
        <f t="shared" si="2"/>
        <v>999.02214577999939</v>
      </c>
      <c r="J11" s="8">
        <f t="shared" si="3"/>
        <v>1841.5795325899992</v>
      </c>
      <c r="K11" s="8">
        <v>240.35537450000015</v>
      </c>
      <c r="L11" s="8">
        <v>283.71011061000007</v>
      </c>
      <c r="M11" s="8">
        <v>239.3442884799999</v>
      </c>
      <c r="N11" s="8">
        <f t="shared" si="4"/>
        <v>763.40977359000021</v>
      </c>
      <c r="O11" s="8">
        <v>269.3109181800001</v>
      </c>
      <c r="P11" s="8">
        <v>332.73685398999993</v>
      </c>
      <c r="Q11" s="8">
        <v>308.43943640000003</v>
      </c>
      <c r="R11" s="8">
        <f t="shared" si="5"/>
        <v>910.48720857000012</v>
      </c>
      <c r="S11" s="8">
        <f t="shared" si="6"/>
        <v>1673.8969821600003</v>
      </c>
      <c r="T11" s="8">
        <f t="shared" si="7"/>
        <v>3515.4765147499993</v>
      </c>
      <c r="U11" s="8"/>
      <c r="V11" s="8"/>
    </row>
    <row r="12" spans="1:22" ht="15" customHeight="1" x14ac:dyDescent="0.3">
      <c r="A12" s="12" t="s">
        <v>27</v>
      </c>
      <c r="B12" s="8">
        <v>1700.4116814699992</v>
      </c>
      <c r="C12" s="8">
        <v>1139.7498190300003</v>
      </c>
      <c r="D12" s="8">
        <v>1169.9501077300008</v>
      </c>
      <c r="E12" s="8">
        <f t="shared" si="1"/>
        <v>4010.1116082300005</v>
      </c>
      <c r="F12" s="8">
        <v>2089.9383217899999</v>
      </c>
      <c r="G12" s="8">
        <v>1287.0653857799998</v>
      </c>
      <c r="H12" s="8">
        <v>1145.6839295700004</v>
      </c>
      <c r="I12" s="8">
        <f t="shared" si="2"/>
        <v>4522.6876371400003</v>
      </c>
      <c r="J12" s="8">
        <f t="shared" si="3"/>
        <v>8532.7992453700008</v>
      </c>
      <c r="K12" s="8">
        <v>1448.6903270000003</v>
      </c>
      <c r="L12" s="8">
        <v>1498.5322222199982</v>
      </c>
      <c r="M12" s="8">
        <v>1081.5960704800004</v>
      </c>
      <c r="N12" s="8">
        <f t="shared" si="4"/>
        <v>4028.8186196999991</v>
      </c>
      <c r="O12" s="8">
        <v>1457.1070312399997</v>
      </c>
      <c r="P12" s="8">
        <v>1832.2614680699994</v>
      </c>
      <c r="Q12" s="8">
        <v>1490.5663483199999</v>
      </c>
      <c r="R12" s="8">
        <f t="shared" si="5"/>
        <v>4779.9348476299992</v>
      </c>
      <c r="S12" s="8">
        <f t="shared" si="6"/>
        <v>8808.7534673299979</v>
      </c>
      <c r="T12" s="8">
        <f t="shared" si="7"/>
        <v>17341.552712699999</v>
      </c>
      <c r="U12" s="8"/>
      <c r="V12" s="8"/>
    </row>
    <row r="13" spans="1:22" ht="15" customHeight="1" x14ac:dyDescent="0.3">
      <c r="A13" s="12" t="s">
        <v>28</v>
      </c>
      <c r="B13" s="8">
        <v>3802.3128808499996</v>
      </c>
      <c r="C13" s="8">
        <v>2700.499411939998</v>
      </c>
      <c r="D13" s="8">
        <v>3403.5011146600004</v>
      </c>
      <c r="E13" s="8">
        <f t="shared" si="1"/>
        <v>9906.3134074499976</v>
      </c>
      <c r="F13" s="8">
        <v>5315.1665803599999</v>
      </c>
      <c r="G13" s="8">
        <v>3379.4756518199993</v>
      </c>
      <c r="H13" s="8">
        <v>3285.2038470200005</v>
      </c>
      <c r="I13" s="8">
        <f t="shared" si="2"/>
        <v>11979.846079199999</v>
      </c>
      <c r="J13" s="8">
        <f t="shared" si="3"/>
        <v>21886.159486649995</v>
      </c>
      <c r="K13" s="8">
        <v>3299.5984192100013</v>
      </c>
      <c r="L13" s="8">
        <v>3785.1974638800002</v>
      </c>
      <c r="M13" s="8">
        <v>3312.9767390200004</v>
      </c>
      <c r="N13" s="8">
        <f t="shared" si="4"/>
        <v>10397.772622110002</v>
      </c>
      <c r="O13" s="8">
        <v>3248.7270052299978</v>
      </c>
      <c r="P13" s="8">
        <v>4010.8215930499991</v>
      </c>
      <c r="Q13" s="8">
        <v>3948.0548027099999</v>
      </c>
      <c r="R13" s="8">
        <f t="shared" si="5"/>
        <v>11207.603400989996</v>
      </c>
      <c r="S13" s="8">
        <f t="shared" si="6"/>
        <v>21605.376023099998</v>
      </c>
      <c r="T13" s="8">
        <f t="shared" si="7"/>
        <v>43491.535509749992</v>
      </c>
      <c r="U13" s="8"/>
      <c r="V13" s="8"/>
    </row>
    <row r="14" spans="1:22" ht="18" customHeight="1" x14ac:dyDescent="0.3">
      <c r="A14" s="12" t="s">
        <v>29</v>
      </c>
      <c r="B14" s="8">
        <v>487.54398416999993</v>
      </c>
      <c r="C14" s="8">
        <v>424.81809889999982</v>
      </c>
      <c r="D14" s="8">
        <v>468.81065877999976</v>
      </c>
      <c r="E14" s="8">
        <f t="shared" si="1"/>
        <v>1381.1727418499995</v>
      </c>
      <c r="F14" s="8">
        <v>763.79134534999878</v>
      </c>
      <c r="G14" s="8">
        <v>512.32871793999925</v>
      </c>
      <c r="H14" s="8">
        <v>535.22652537999966</v>
      </c>
      <c r="I14" s="8">
        <f t="shared" si="2"/>
        <v>1811.3465886699978</v>
      </c>
      <c r="J14" s="8">
        <f t="shared" si="3"/>
        <v>3192.5193305199973</v>
      </c>
      <c r="K14" s="8">
        <v>529.68328087999976</v>
      </c>
      <c r="L14" s="8">
        <v>638.10389855000039</v>
      </c>
      <c r="M14" s="8">
        <v>544.85019784999974</v>
      </c>
      <c r="N14" s="8">
        <f t="shared" si="4"/>
        <v>1712.6373772799998</v>
      </c>
      <c r="O14" s="8">
        <v>529.76311181000017</v>
      </c>
      <c r="P14" s="8">
        <v>601.93987324000034</v>
      </c>
      <c r="Q14" s="8">
        <v>713.09421482000005</v>
      </c>
      <c r="R14" s="8">
        <f t="shared" si="5"/>
        <v>1844.7971998700004</v>
      </c>
      <c r="S14" s="8">
        <f t="shared" si="6"/>
        <v>3557.4345771500002</v>
      </c>
      <c r="T14" s="8">
        <f t="shared" si="7"/>
        <v>6749.9539076699975</v>
      </c>
      <c r="U14" s="8"/>
      <c r="V14" s="8"/>
    </row>
    <row r="15" spans="1:22" ht="15" customHeight="1" x14ac:dyDescent="0.3">
      <c r="A15" s="12" t="s">
        <v>30</v>
      </c>
      <c r="B15" s="8">
        <v>1013.9752146999998</v>
      </c>
      <c r="C15" s="8">
        <v>687.86792093999929</v>
      </c>
      <c r="D15" s="8">
        <v>831.97552296000015</v>
      </c>
      <c r="E15" s="8">
        <f t="shared" si="1"/>
        <v>2533.8186585999993</v>
      </c>
      <c r="F15" s="8">
        <v>1225.9155699999974</v>
      </c>
      <c r="G15" s="8">
        <v>948.30164601999968</v>
      </c>
      <c r="H15" s="8">
        <v>752.36936429999923</v>
      </c>
      <c r="I15" s="8">
        <f t="shared" si="2"/>
        <v>2926.5865803199963</v>
      </c>
      <c r="J15" s="8">
        <f t="shared" si="3"/>
        <v>5460.4052389199951</v>
      </c>
      <c r="K15" s="8">
        <v>881.04334814000003</v>
      </c>
      <c r="L15" s="8">
        <v>1032.7978903099984</v>
      </c>
      <c r="M15" s="8">
        <v>792.03803826000103</v>
      </c>
      <c r="N15" s="8">
        <f t="shared" si="4"/>
        <v>2705.8792767099994</v>
      </c>
      <c r="O15" s="8">
        <v>1002.6709258299996</v>
      </c>
      <c r="P15" s="8">
        <v>1109.3107247499993</v>
      </c>
      <c r="Q15" s="8">
        <v>1169.5511186600002</v>
      </c>
      <c r="R15" s="8">
        <f t="shared" si="5"/>
        <v>3281.5327692399992</v>
      </c>
      <c r="S15" s="8">
        <f t="shared" si="6"/>
        <v>5987.4120459499991</v>
      </c>
      <c r="T15" s="8">
        <f t="shared" si="7"/>
        <v>11447.817284869994</v>
      </c>
      <c r="U15" s="8"/>
      <c r="V15" s="8"/>
    </row>
    <row r="16" spans="1:22" ht="15" customHeight="1" x14ac:dyDescent="0.3">
      <c r="A16" s="12" t="s">
        <v>31</v>
      </c>
      <c r="B16" s="8">
        <v>994.33483618999742</v>
      </c>
      <c r="C16" s="8">
        <v>822.05341889999954</v>
      </c>
      <c r="D16" s="8">
        <v>1287.5624105999993</v>
      </c>
      <c r="E16" s="8">
        <f t="shared" si="1"/>
        <v>3103.9506656899966</v>
      </c>
      <c r="F16" s="8">
        <v>1712.3276591899998</v>
      </c>
      <c r="G16" s="8">
        <v>1083.5654713999988</v>
      </c>
      <c r="H16" s="8">
        <v>960.02497500000095</v>
      </c>
      <c r="I16" s="8">
        <f t="shared" si="2"/>
        <v>3755.9181055899999</v>
      </c>
      <c r="J16" s="8">
        <f t="shared" si="3"/>
        <v>6859.8687712799965</v>
      </c>
      <c r="K16" s="8">
        <v>834.22868589999973</v>
      </c>
      <c r="L16" s="8">
        <v>1141.7679415300001</v>
      </c>
      <c r="M16" s="8">
        <v>870.88686419000044</v>
      </c>
      <c r="N16" s="8">
        <f t="shared" si="4"/>
        <v>2846.8834916200003</v>
      </c>
      <c r="O16" s="8">
        <v>910.52316923999911</v>
      </c>
      <c r="P16" s="8">
        <v>1256.0744543099988</v>
      </c>
      <c r="Q16" s="8">
        <v>1001.12925468</v>
      </c>
      <c r="R16" s="8">
        <f t="shared" si="5"/>
        <v>3167.726878229998</v>
      </c>
      <c r="S16" s="8">
        <f t="shared" si="6"/>
        <v>6014.6103698499983</v>
      </c>
      <c r="T16" s="8">
        <f t="shared" si="7"/>
        <v>12874.479141129996</v>
      </c>
      <c r="U16" s="8"/>
      <c r="V16" s="8"/>
    </row>
    <row r="17" spans="1:22" ht="15" customHeight="1" x14ac:dyDescent="0.3">
      <c r="A17" s="12" t="s">
        <v>32</v>
      </c>
      <c r="B17" s="8">
        <v>1108.1254680300003</v>
      </c>
      <c r="C17" s="8">
        <v>846.60192237999979</v>
      </c>
      <c r="D17" s="8">
        <v>991.69117020000033</v>
      </c>
      <c r="E17" s="8">
        <f t="shared" si="1"/>
        <v>2946.4185606100004</v>
      </c>
      <c r="F17" s="8">
        <v>1366.16871406</v>
      </c>
      <c r="G17" s="8">
        <v>1062.4031861599988</v>
      </c>
      <c r="H17" s="8">
        <v>980.03818336999905</v>
      </c>
      <c r="I17" s="8">
        <f t="shared" si="2"/>
        <v>3408.6100835899974</v>
      </c>
      <c r="J17" s="8">
        <f t="shared" si="3"/>
        <v>6355.0286441999979</v>
      </c>
      <c r="K17" s="8">
        <v>986.89718465000033</v>
      </c>
      <c r="L17" s="8">
        <v>1227.0713779999999</v>
      </c>
      <c r="M17" s="8">
        <v>936.30434690999971</v>
      </c>
      <c r="N17" s="8">
        <f t="shared" si="4"/>
        <v>3150.2729095600002</v>
      </c>
      <c r="O17" s="8">
        <v>1034.7061875899988</v>
      </c>
      <c r="P17" s="8">
        <v>1207.4576562299999</v>
      </c>
      <c r="Q17" s="8">
        <v>1423.6196280199999</v>
      </c>
      <c r="R17" s="8">
        <f t="shared" si="5"/>
        <v>3665.783471839999</v>
      </c>
      <c r="S17" s="8">
        <f t="shared" si="6"/>
        <v>6816.0563813999997</v>
      </c>
      <c r="T17" s="8">
        <f t="shared" si="7"/>
        <v>13171.085025599998</v>
      </c>
      <c r="U17" s="8"/>
      <c r="V17" s="8"/>
    </row>
    <row r="18" spans="1:22" ht="15" customHeight="1" x14ac:dyDescent="0.3">
      <c r="A18" s="12" t="s">
        <v>33</v>
      </c>
      <c r="B18" s="8">
        <v>3671.4842139300004</v>
      </c>
      <c r="C18" s="8">
        <v>2149.8366072299987</v>
      </c>
      <c r="D18" s="8">
        <v>2465.5368796400098</v>
      </c>
      <c r="E18" s="8">
        <f t="shared" si="1"/>
        <v>8286.8577008000102</v>
      </c>
      <c r="F18" s="8">
        <v>4028.2387950700008</v>
      </c>
      <c r="G18" s="8">
        <v>2755.73664706</v>
      </c>
      <c r="H18" s="8">
        <v>2378.96137856</v>
      </c>
      <c r="I18" s="8">
        <f t="shared" si="2"/>
        <v>9162.9368206899999</v>
      </c>
      <c r="J18" s="8">
        <f t="shared" si="3"/>
        <v>17449.79452149001</v>
      </c>
      <c r="K18" s="8">
        <v>2470.9275198400028</v>
      </c>
      <c r="L18" s="8">
        <v>2900.3952981299994</v>
      </c>
      <c r="M18" s="8">
        <v>2488.2643356600001</v>
      </c>
      <c r="N18" s="8">
        <f t="shared" si="4"/>
        <v>7859.5871536300019</v>
      </c>
      <c r="O18" s="8">
        <v>2640.8126581100032</v>
      </c>
      <c r="P18" s="8">
        <v>3147.8834575200003</v>
      </c>
      <c r="Q18" s="8">
        <v>2877.5060678300001</v>
      </c>
      <c r="R18" s="8">
        <f t="shared" si="5"/>
        <v>8666.2021834600037</v>
      </c>
      <c r="S18" s="8">
        <f t="shared" si="6"/>
        <v>16525.789337090006</v>
      </c>
      <c r="T18" s="8">
        <f t="shared" si="7"/>
        <v>33975.583858580016</v>
      </c>
      <c r="U18" s="8"/>
      <c r="V18" s="8"/>
    </row>
    <row r="19" spans="1:22" ht="15" customHeight="1" x14ac:dyDescent="0.3">
      <c r="A19" s="12" t="s">
        <v>34</v>
      </c>
      <c r="B19" s="8">
        <v>6623.6198373700026</v>
      </c>
      <c r="C19" s="8">
        <v>4495.3807785299987</v>
      </c>
      <c r="D19" s="8">
        <v>5475.0186809299994</v>
      </c>
      <c r="E19" s="8">
        <f t="shared" si="1"/>
        <v>16594.01929683</v>
      </c>
      <c r="F19" s="8">
        <v>8660.1075992700062</v>
      </c>
      <c r="G19" s="8">
        <v>5748.0167929570007</v>
      </c>
      <c r="H19" s="8">
        <v>5743.2834050000029</v>
      </c>
      <c r="I19" s="8">
        <f t="shared" si="2"/>
        <v>20151.40779722701</v>
      </c>
      <c r="J19" s="8">
        <f t="shared" si="3"/>
        <v>36745.427094057013</v>
      </c>
      <c r="K19" s="8">
        <v>5724.2307098699985</v>
      </c>
      <c r="L19" s="8">
        <v>6906.3377307600003</v>
      </c>
      <c r="M19" s="8">
        <v>5716.7583688900022</v>
      </c>
      <c r="N19" s="8">
        <f t="shared" si="4"/>
        <v>18347.32680952</v>
      </c>
      <c r="O19" s="8">
        <v>5815.5360859499997</v>
      </c>
      <c r="P19" s="8">
        <v>7186.0622960999972</v>
      </c>
      <c r="Q19" s="8">
        <v>6571.256936920001</v>
      </c>
      <c r="R19" s="8">
        <f t="shared" si="5"/>
        <v>19572.855318969996</v>
      </c>
      <c r="S19" s="8">
        <f t="shared" si="6"/>
        <v>37920.182128489992</v>
      </c>
      <c r="T19" s="8">
        <f t="shared" si="7"/>
        <v>74665.609222547006</v>
      </c>
      <c r="U19" s="8"/>
      <c r="V19" s="8"/>
    </row>
    <row r="20" spans="1:22" ht="15" customHeight="1" x14ac:dyDescent="0.3">
      <c r="A20" s="12" t="s">
        <v>35</v>
      </c>
      <c r="B20" s="8">
        <v>573.63607998999998</v>
      </c>
      <c r="C20" s="8">
        <v>356.49898910000064</v>
      </c>
      <c r="D20" s="8">
        <v>443.63692089999961</v>
      </c>
      <c r="E20" s="8">
        <f t="shared" si="1"/>
        <v>1373.7719899900003</v>
      </c>
      <c r="F20" s="8">
        <v>727.64302989999976</v>
      </c>
      <c r="G20" s="8">
        <v>523.73057253000002</v>
      </c>
      <c r="H20" s="8">
        <v>402.13170090999984</v>
      </c>
      <c r="I20" s="8">
        <f t="shared" si="2"/>
        <v>1653.5053033399995</v>
      </c>
      <c r="J20" s="8">
        <f t="shared" si="3"/>
        <v>3027.2772933299998</v>
      </c>
      <c r="K20" s="8">
        <v>415.83055734000015</v>
      </c>
      <c r="L20" s="8">
        <v>468.95988367999973</v>
      </c>
      <c r="M20" s="8">
        <v>398.75310690000038</v>
      </c>
      <c r="N20" s="8">
        <f t="shared" si="4"/>
        <v>1283.5435479200003</v>
      </c>
      <c r="O20" s="8">
        <v>437.61672129000027</v>
      </c>
      <c r="P20" s="8">
        <v>538.62902783999948</v>
      </c>
      <c r="Q20" s="8">
        <v>467.40433459000002</v>
      </c>
      <c r="R20" s="8">
        <f t="shared" si="5"/>
        <v>1443.6500837199997</v>
      </c>
      <c r="S20" s="8">
        <f t="shared" si="6"/>
        <v>2727.1936316399997</v>
      </c>
      <c r="T20" s="8">
        <f t="shared" si="7"/>
        <v>5754.470924969999</v>
      </c>
      <c r="U20" s="8"/>
      <c r="V20" s="8"/>
    </row>
    <row r="21" spans="1:22" ht="15" customHeight="1" x14ac:dyDescent="0.3">
      <c r="A21" s="12" t="s">
        <v>36</v>
      </c>
      <c r="B21" s="8">
        <v>3011.8902210300025</v>
      </c>
      <c r="C21" s="8">
        <v>2152.9716246299995</v>
      </c>
      <c r="D21" s="8">
        <v>2552.914044319999</v>
      </c>
      <c r="E21" s="8">
        <f t="shared" si="1"/>
        <v>7717.775889980001</v>
      </c>
      <c r="F21" s="8">
        <v>3693.8429763500026</v>
      </c>
      <c r="G21" s="8">
        <v>2963.772565730002</v>
      </c>
      <c r="H21" s="8">
        <v>2522.3197859800034</v>
      </c>
      <c r="I21" s="8">
        <f t="shared" si="2"/>
        <v>9179.935328060008</v>
      </c>
      <c r="J21" s="8">
        <f t="shared" si="3"/>
        <v>16897.711218040007</v>
      </c>
      <c r="K21" s="8">
        <v>3001.9620184899968</v>
      </c>
      <c r="L21" s="8">
        <v>3168.2717216899982</v>
      </c>
      <c r="M21" s="8">
        <v>2808.9219832500016</v>
      </c>
      <c r="N21" s="8">
        <f t="shared" si="4"/>
        <v>8979.1557234299962</v>
      </c>
      <c r="O21" s="8">
        <v>3614.1694220500012</v>
      </c>
      <c r="P21" s="8">
        <v>3219.488948510003</v>
      </c>
      <c r="Q21" s="8">
        <v>3220.4813571100003</v>
      </c>
      <c r="R21" s="8">
        <f t="shared" si="5"/>
        <v>10054.139727670005</v>
      </c>
      <c r="S21" s="8">
        <f t="shared" si="6"/>
        <v>19033.295451099999</v>
      </c>
      <c r="T21" s="8">
        <f t="shared" si="7"/>
        <v>35931.006669140006</v>
      </c>
      <c r="U21" s="8"/>
      <c r="V21" s="8"/>
    </row>
    <row r="22" spans="1:22" ht="15" customHeight="1" x14ac:dyDescent="0.3">
      <c r="A22" s="12" t="s">
        <v>37</v>
      </c>
      <c r="B22" s="8">
        <v>346.37967094999971</v>
      </c>
      <c r="C22" s="8">
        <v>318.4687760399998</v>
      </c>
      <c r="D22" s="8">
        <v>391.81827164999993</v>
      </c>
      <c r="E22" s="8">
        <f t="shared" si="1"/>
        <v>1056.6667186399995</v>
      </c>
      <c r="F22" s="8">
        <v>526.9524466099997</v>
      </c>
      <c r="G22" s="8">
        <v>405.44564587999997</v>
      </c>
      <c r="H22" s="8">
        <v>332.04909549000058</v>
      </c>
      <c r="I22" s="8">
        <f t="shared" si="2"/>
        <v>1264.4471879800003</v>
      </c>
      <c r="J22" s="8">
        <f t="shared" si="3"/>
        <v>2321.1139066199999</v>
      </c>
      <c r="K22" s="8">
        <v>396.95631516999975</v>
      </c>
      <c r="L22" s="8">
        <v>483.55137814999995</v>
      </c>
      <c r="M22" s="8">
        <v>362.26493843000009</v>
      </c>
      <c r="N22" s="8">
        <f t="shared" si="4"/>
        <v>1242.7726317499998</v>
      </c>
      <c r="O22" s="8">
        <v>380.73874592999999</v>
      </c>
      <c r="P22" s="8">
        <v>485.06058423999957</v>
      </c>
      <c r="Q22" s="8">
        <v>421.34658637000001</v>
      </c>
      <c r="R22" s="8">
        <f t="shared" si="5"/>
        <v>1287.1459165399997</v>
      </c>
      <c r="S22" s="8">
        <f t="shared" si="6"/>
        <v>2529.9185482899993</v>
      </c>
      <c r="T22" s="8">
        <f t="shared" si="7"/>
        <v>4851.0324549099987</v>
      </c>
      <c r="U22" s="8"/>
      <c r="V22" s="8"/>
    </row>
    <row r="23" spans="1:22" ht="18" customHeight="1" x14ac:dyDescent="0.3">
      <c r="A23" s="12" t="s">
        <v>38</v>
      </c>
      <c r="B23" s="8">
        <v>83673.76270940002</v>
      </c>
      <c r="C23" s="8">
        <v>61119.464698350006</v>
      </c>
      <c r="D23" s="8">
        <v>64137.333630490022</v>
      </c>
      <c r="E23" s="8">
        <f t="shared" si="1"/>
        <v>208930.56103824006</v>
      </c>
      <c r="F23" s="8">
        <v>112588.82888395998</v>
      </c>
      <c r="G23" s="8">
        <v>99145.290925520036</v>
      </c>
      <c r="H23" s="8">
        <v>79602.094670690029</v>
      </c>
      <c r="I23" s="8">
        <f t="shared" si="2"/>
        <v>291336.21448017005</v>
      </c>
      <c r="J23" s="8">
        <f t="shared" si="3"/>
        <v>500266.77551841014</v>
      </c>
      <c r="K23" s="8">
        <v>81841.350745560005</v>
      </c>
      <c r="L23" s="8">
        <v>107425.62405079001</v>
      </c>
      <c r="M23" s="8">
        <v>87419.525187049978</v>
      </c>
      <c r="N23" s="8">
        <f t="shared" si="4"/>
        <v>276686.49998339999</v>
      </c>
      <c r="O23" s="8">
        <v>83592.768148359988</v>
      </c>
      <c r="P23" s="8">
        <v>110681.06253327001</v>
      </c>
      <c r="Q23" s="8">
        <v>87273.307234040025</v>
      </c>
      <c r="R23" s="8">
        <f t="shared" si="5"/>
        <v>281547.13791567006</v>
      </c>
      <c r="S23" s="8">
        <f t="shared" si="6"/>
        <v>558233.63789907005</v>
      </c>
      <c r="T23" s="8">
        <f t="shared" si="7"/>
        <v>1058500.4134174802</v>
      </c>
      <c r="U23" s="8"/>
      <c r="V23" s="8"/>
    </row>
    <row r="24" spans="1:22" s="10" customFormat="1" ht="15" customHeight="1" x14ac:dyDescent="0.3">
      <c r="A24" s="3"/>
      <c r="B24" s="11"/>
      <c r="C24" s="11"/>
      <c r="D24" s="11"/>
      <c r="E24" s="11"/>
      <c r="F24" s="11"/>
      <c r="G24" s="11"/>
      <c r="H24" s="11"/>
      <c r="I24" s="11"/>
      <c r="J24" s="11"/>
      <c r="K24" s="11"/>
      <c r="L24" s="11"/>
      <c r="M24" s="11"/>
      <c r="N24" s="11"/>
      <c r="O24" s="11"/>
      <c r="P24" s="11"/>
      <c r="Q24" s="11"/>
      <c r="R24" s="11"/>
      <c r="S24" s="11"/>
      <c r="T24" s="11"/>
      <c r="U24" s="11"/>
      <c r="V24" s="11"/>
    </row>
    <row r="25" spans="1:22" s="10" customFormat="1" ht="15" customHeight="1" x14ac:dyDescent="0.25">
      <c r="A25" s="10" t="s">
        <v>39</v>
      </c>
      <c r="B25" s="11">
        <f>SUM(B26:B31)</f>
        <v>524.42725615099971</v>
      </c>
      <c r="C25" s="11">
        <f t="shared" ref="C25:Q25" si="8">SUM(C26:C31)</f>
        <v>425.72817528999985</v>
      </c>
      <c r="D25" s="11">
        <f t="shared" si="8"/>
        <v>481.2361414799999</v>
      </c>
      <c r="E25" s="11">
        <f t="shared" ref="E25:E31" si="9">SUM(B25:D25)</f>
        <v>1431.3915729209994</v>
      </c>
      <c r="F25" s="11">
        <f t="shared" si="8"/>
        <v>628.67905751999956</v>
      </c>
      <c r="G25" s="11">
        <f t="shared" si="8"/>
        <v>491.53335844999987</v>
      </c>
      <c r="H25" s="11">
        <f t="shared" si="8"/>
        <v>591.83070095999994</v>
      </c>
      <c r="I25" s="11">
        <f t="shared" ref="I25:I31" si="10">SUM(F25:H25)</f>
        <v>1712.0431169299995</v>
      </c>
      <c r="J25" s="11">
        <f t="shared" si="3"/>
        <v>3143.4346898509989</v>
      </c>
      <c r="K25" s="11">
        <f t="shared" si="8"/>
        <v>517.17744518000018</v>
      </c>
      <c r="L25" s="11">
        <f t="shared" si="8"/>
        <v>562.35959021999975</v>
      </c>
      <c r="M25" s="11">
        <f t="shared" si="8"/>
        <v>578.10388523000017</v>
      </c>
      <c r="N25" s="11">
        <f t="shared" ref="N25:N31" si="11">SUM(K25:M25)</f>
        <v>1657.64092063</v>
      </c>
      <c r="O25" s="11">
        <f t="shared" si="8"/>
        <v>591.78381171000001</v>
      </c>
      <c r="P25" s="11">
        <f t="shared" si="8"/>
        <v>640.37001425000005</v>
      </c>
      <c r="Q25" s="11">
        <f t="shared" si="8"/>
        <v>675.53904338000007</v>
      </c>
      <c r="R25" s="11">
        <f t="shared" ref="R25:R31" si="12">SUM(O25:Q25)</f>
        <v>1907.6928693400002</v>
      </c>
      <c r="S25" s="11">
        <f t="shared" si="6"/>
        <v>3565.33378997</v>
      </c>
      <c r="T25" s="11">
        <f t="shared" ref="T25:T31" si="13">+J25+S25</f>
        <v>6708.7684798209993</v>
      </c>
      <c r="U25" s="11"/>
      <c r="V25" s="11"/>
    </row>
    <row r="26" spans="1:22" ht="15" customHeight="1" x14ac:dyDescent="0.3">
      <c r="A26" s="12" t="s">
        <v>40</v>
      </c>
      <c r="B26" s="8">
        <v>47.414614769999993</v>
      </c>
      <c r="C26" s="8">
        <v>29.189090569999998</v>
      </c>
      <c r="D26" s="8">
        <v>29.037904399999999</v>
      </c>
      <c r="E26" s="8">
        <f t="shared" si="9"/>
        <v>105.64160973999999</v>
      </c>
      <c r="F26" s="8">
        <v>38.404268009999996</v>
      </c>
      <c r="G26" s="8">
        <v>31.964593789999999</v>
      </c>
      <c r="H26" s="8">
        <v>44.935923810000006</v>
      </c>
      <c r="I26" s="8">
        <f t="shared" si="10"/>
        <v>115.30478561</v>
      </c>
      <c r="J26" s="8">
        <f t="shared" si="3"/>
        <v>220.94639534999999</v>
      </c>
      <c r="K26" s="8">
        <v>34.269068509999997</v>
      </c>
      <c r="L26" s="8">
        <v>36.335808339999993</v>
      </c>
      <c r="M26" s="8">
        <v>35.960119819999996</v>
      </c>
      <c r="N26" s="8">
        <f t="shared" si="11"/>
        <v>106.56499666999997</v>
      </c>
      <c r="O26" s="8">
        <v>41.095161619999999</v>
      </c>
      <c r="P26" s="8">
        <v>65.873485639999998</v>
      </c>
      <c r="Q26" s="8">
        <v>54.65648757000001</v>
      </c>
      <c r="R26" s="8">
        <f t="shared" si="12"/>
        <v>161.62513483000001</v>
      </c>
      <c r="S26" s="8">
        <f t="shared" si="6"/>
        <v>268.19013150000001</v>
      </c>
      <c r="T26" s="8">
        <f t="shared" si="13"/>
        <v>489.13652685</v>
      </c>
      <c r="U26" s="8"/>
      <c r="V26" s="8"/>
    </row>
    <row r="27" spans="1:22" ht="15" customHeight="1" x14ac:dyDescent="0.3">
      <c r="A27" s="12" t="s">
        <v>41</v>
      </c>
      <c r="B27" s="8">
        <v>69.875737889999996</v>
      </c>
      <c r="C27" s="8">
        <v>45.93274636999999</v>
      </c>
      <c r="D27" s="8">
        <v>54.473293340000005</v>
      </c>
      <c r="E27" s="8">
        <f t="shared" si="9"/>
        <v>170.2817776</v>
      </c>
      <c r="F27" s="8">
        <v>62.686753940000003</v>
      </c>
      <c r="G27" s="8">
        <v>52.574413980000003</v>
      </c>
      <c r="H27" s="8">
        <v>52.904201939999993</v>
      </c>
      <c r="I27" s="8">
        <f t="shared" si="10"/>
        <v>168.16536986</v>
      </c>
      <c r="J27" s="8">
        <f t="shared" si="3"/>
        <v>338.44714746</v>
      </c>
      <c r="K27" s="8">
        <v>56.084249540000009</v>
      </c>
      <c r="L27" s="8">
        <v>65.269792660000007</v>
      </c>
      <c r="M27" s="8">
        <v>78.25443940000001</v>
      </c>
      <c r="N27" s="8">
        <f t="shared" si="11"/>
        <v>199.6084816</v>
      </c>
      <c r="O27" s="8">
        <v>69.130764200000002</v>
      </c>
      <c r="P27" s="8">
        <v>72.254971499999996</v>
      </c>
      <c r="Q27" s="8">
        <v>75.29894616</v>
      </c>
      <c r="R27" s="8">
        <f t="shared" si="12"/>
        <v>216.68468186000001</v>
      </c>
      <c r="S27" s="8">
        <f t="shared" si="6"/>
        <v>416.29316346000002</v>
      </c>
      <c r="T27" s="8">
        <f t="shared" si="13"/>
        <v>754.74031091999996</v>
      </c>
      <c r="U27" s="8"/>
      <c r="V27" s="8"/>
    </row>
    <row r="28" spans="1:22" ht="15" customHeight="1" x14ac:dyDescent="0.3">
      <c r="A28" s="12" t="s">
        <v>42</v>
      </c>
      <c r="B28" s="8">
        <v>83.874540400000029</v>
      </c>
      <c r="C28" s="8">
        <v>68.145116039999976</v>
      </c>
      <c r="D28" s="8">
        <v>70.091626059999996</v>
      </c>
      <c r="E28" s="8">
        <f t="shared" si="9"/>
        <v>222.11128250000002</v>
      </c>
      <c r="F28" s="8">
        <v>84.099207640000017</v>
      </c>
      <c r="G28" s="8">
        <v>67.430774379999988</v>
      </c>
      <c r="H28" s="8">
        <v>85.366994330000011</v>
      </c>
      <c r="I28" s="8">
        <f t="shared" si="10"/>
        <v>236.89697635000002</v>
      </c>
      <c r="J28" s="8">
        <f t="shared" si="3"/>
        <v>459.00825885000006</v>
      </c>
      <c r="K28" s="8">
        <v>69.964169700000014</v>
      </c>
      <c r="L28" s="8">
        <v>79.285892150000009</v>
      </c>
      <c r="M28" s="8">
        <v>86.653238179999988</v>
      </c>
      <c r="N28" s="8">
        <f t="shared" si="11"/>
        <v>235.90330003</v>
      </c>
      <c r="O28" s="8">
        <v>82.802433360000009</v>
      </c>
      <c r="P28" s="8">
        <v>104.81141613</v>
      </c>
      <c r="Q28" s="8">
        <v>113.99652847000002</v>
      </c>
      <c r="R28" s="8">
        <f t="shared" si="12"/>
        <v>301.61037796000005</v>
      </c>
      <c r="S28" s="8">
        <f t="shared" si="6"/>
        <v>537.51367799000002</v>
      </c>
      <c r="T28" s="8">
        <f t="shared" si="13"/>
        <v>996.52193684000008</v>
      </c>
      <c r="U28" s="8"/>
      <c r="V28" s="8"/>
    </row>
    <row r="29" spans="1:22" ht="15" customHeight="1" x14ac:dyDescent="0.3">
      <c r="A29" s="12" t="s">
        <v>43</v>
      </c>
      <c r="B29" s="8">
        <v>36.753726409999999</v>
      </c>
      <c r="C29" s="8">
        <v>19.240921780000001</v>
      </c>
      <c r="D29" s="8">
        <v>24.361524110000005</v>
      </c>
      <c r="E29" s="8">
        <f t="shared" si="9"/>
        <v>80.356172299999997</v>
      </c>
      <c r="F29" s="8">
        <v>25.451009790000001</v>
      </c>
      <c r="G29" s="8">
        <v>17.75550118</v>
      </c>
      <c r="H29" s="8">
        <v>26.446087999999992</v>
      </c>
      <c r="I29" s="8">
        <f t="shared" si="10"/>
        <v>69.652598969999985</v>
      </c>
      <c r="J29" s="8">
        <f t="shared" si="3"/>
        <v>150.00877126999998</v>
      </c>
      <c r="K29" s="8">
        <v>34.777741659999997</v>
      </c>
      <c r="L29" s="8">
        <v>23.533499610000003</v>
      </c>
      <c r="M29" s="8">
        <v>27.646972740000002</v>
      </c>
      <c r="N29" s="8">
        <f t="shared" si="11"/>
        <v>85.958214010000006</v>
      </c>
      <c r="O29" s="8">
        <v>32.779724209999998</v>
      </c>
      <c r="P29" s="8">
        <v>33.923653520000002</v>
      </c>
      <c r="Q29" s="8">
        <v>33.092094969999998</v>
      </c>
      <c r="R29" s="8">
        <f t="shared" si="12"/>
        <v>99.795472700000005</v>
      </c>
      <c r="S29" s="8">
        <f t="shared" si="6"/>
        <v>185.75368671000001</v>
      </c>
      <c r="T29" s="8">
        <f t="shared" si="13"/>
        <v>335.76245798000002</v>
      </c>
      <c r="U29" s="8"/>
      <c r="V29" s="8"/>
    </row>
    <row r="30" spans="1:22" ht="15" customHeight="1" x14ac:dyDescent="0.3">
      <c r="A30" s="12" t="s">
        <v>44</v>
      </c>
      <c r="B30" s="8">
        <v>39.596770640999999</v>
      </c>
      <c r="C30" s="8">
        <v>20.088315169999994</v>
      </c>
      <c r="D30" s="8">
        <v>23.624534720000003</v>
      </c>
      <c r="E30" s="8">
        <f t="shared" si="9"/>
        <v>83.309620530999993</v>
      </c>
      <c r="F30" s="8">
        <v>31.294910980000004</v>
      </c>
      <c r="G30" s="8">
        <v>21.212865350000001</v>
      </c>
      <c r="H30" s="8">
        <v>36.013155429999998</v>
      </c>
      <c r="I30" s="8">
        <f t="shared" si="10"/>
        <v>88.520931759999996</v>
      </c>
      <c r="J30" s="8">
        <f t="shared" si="3"/>
        <v>171.830552291</v>
      </c>
      <c r="K30" s="8">
        <v>32.239280969999996</v>
      </c>
      <c r="L30" s="8">
        <v>24.435619339999995</v>
      </c>
      <c r="M30" s="8">
        <v>30.30781915</v>
      </c>
      <c r="N30" s="8">
        <f t="shared" si="11"/>
        <v>86.982719459999998</v>
      </c>
      <c r="O30" s="8">
        <v>32.684087250000005</v>
      </c>
      <c r="P30" s="8">
        <v>30.143836450000002</v>
      </c>
      <c r="Q30" s="8">
        <v>34.954937049999998</v>
      </c>
      <c r="R30" s="8">
        <f t="shared" si="12"/>
        <v>97.782860749999998</v>
      </c>
      <c r="S30" s="8">
        <f t="shared" si="6"/>
        <v>184.76558021</v>
      </c>
      <c r="T30" s="8">
        <f t="shared" si="13"/>
        <v>356.596132501</v>
      </c>
      <c r="U30" s="8"/>
      <c r="V30" s="8"/>
    </row>
    <row r="31" spans="1:22" ht="15" customHeight="1" x14ac:dyDescent="0.3">
      <c r="A31" s="12" t="s">
        <v>45</v>
      </c>
      <c r="B31" s="8">
        <v>246.91186603999978</v>
      </c>
      <c r="C31" s="8">
        <v>243.1319853599999</v>
      </c>
      <c r="D31" s="8">
        <v>279.6472588499999</v>
      </c>
      <c r="E31" s="8">
        <f t="shared" si="9"/>
        <v>769.69111024999961</v>
      </c>
      <c r="F31" s="8">
        <v>386.74290715999962</v>
      </c>
      <c r="G31" s="8">
        <v>300.59520976999988</v>
      </c>
      <c r="H31" s="8">
        <v>346.16433744999995</v>
      </c>
      <c r="I31" s="8">
        <f t="shared" si="10"/>
        <v>1033.5024543799996</v>
      </c>
      <c r="J31" s="8">
        <f t="shared" si="3"/>
        <v>1803.1935646299992</v>
      </c>
      <c r="K31" s="8">
        <v>289.84293480000014</v>
      </c>
      <c r="L31" s="8">
        <v>333.49897811999978</v>
      </c>
      <c r="M31" s="8">
        <v>319.28129594000018</v>
      </c>
      <c r="N31" s="8">
        <f t="shared" si="11"/>
        <v>942.62320886000009</v>
      </c>
      <c r="O31" s="8">
        <v>333.29164106999997</v>
      </c>
      <c r="P31" s="8">
        <v>333.36265101000009</v>
      </c>
      <c r="Q31" s="8">
        <v>363.54004916000002</v>
      </c>
      <c r="R31" s="8">
        <f t="shared" si="12"/>
        <v>1030.1943412400001</v>
      </c>
      <c r="S31" s="8">
        <f t="shared" si="6"/>
        <v>1972.8175501000001</v>
      </c>
      <c r="T31" s="8">
        <f t="shared" si="13"/>
        <v>3776.0111147299995</v>
      </c>
      <c r="U31" s="8"/>
      <c r="V31" s="8"/>
    </row>
    <row r="32" spans="1:22" s="10" customFormat="1" ht="15" customHeight="1" x14ac:dyDescent="0.3">
      <c r="A32" s="3"/>
      <c r="B32" s="11"/>
      <c r="C32" s="11"/>
      <c r="D32" s="11"/>
      <c r="E32" s="11"/>
      <c r="F32" s="11"/>
      <c r="G32" s="11"/>
      <c r="H32" s="11"/>
      <c r="I32" s="11"/>
      <c r="J32" s="11"/>
      <c r="K32" s="11"/>
      <c r="L32" s="11"/>
      <c r="M32" s="11"/>
      <c r="N32" s="11"/>
      <c r="O32" s="11"/>
      <c r="P32" s="11"/>
      <c r="Q32" s="11"/>
      <c r="R32" s="11"/>
      <c r="S32" s="11"/>
      <c r="T32" s="11"/>
      <c r="U32" s="11"/>
      <c r="V32" s="11"/>
    </row>
    <row r="33" spans="1:22" s="10" customFormat="1" ht="15" customHeight="1" x14ac:dyDescent="0.25">
      <c r="A33" s="10" t="s">
        <v>46</v>
      </c>
      <c r="B33" s="11">
        <f>SUM(B34:B37)</f>
        <v>1236.3509568700001</v>
      </c>
      <c r="C33" s="11">
        <f t="shared" ref="C33:Q33" si="14">SUM(C34:C37)</f>
        <v>917.73038765000001</v>
      </c>
      <c r="D33" s="11">
        <f t="shared" si="14"/>
        <v>1067.8407209400002</v>
      </c>
      <c r="E33" s="11">
        <f t="shared" ref="E33:E37" si="15">SUM(B33:D33)</f>
        <v>3221.9220654600003</v>
      </c>
      <c r="F33" s="11">
        <f t="shared" si="14"/>
        <v>1692.0960624700006</v>
      </c>
      <c r="G33" s="11">
        <f t="shared" si="14"/>
        <v>1145.2478623499999</v>
      </c>
      <c r="H33" s="11">
        <f t="shared" si="14"/>
        <v>1174.8675559099997</v>
      </c>
      <c r="I33" s="11">
        <f t="shared" ref="I33:I37" si="16">SUM(F33:H33)</f>
        <v>4012.2114807299999</v>
      </c>
      <c r="J33" s="11">
        <f t="shared" si="3"/>
        <v>7234.1335461899998</v>
      </c>
      <c r="K33" s="11">
        <f t="shared" si="14"/>
        <v>1227.6252523399999</v>
      </c>
      <c r="L33" s="11">
        <f t="shared" si="14"/>
        <v>1274.07082296</v>
      </c>
      <c r="M33" s="11">
        <f t="shared" si="14"/>
        <v>1127.0276491899999</v>
      </c>
      <c r="N33" s="11">
        <f t="shared" ref="N33:N37" si="17">SUM(K33:M33)</f>
        <v>3628.7237244899998</v>
      </c>
      <c r="O33" s="11">
        <f t="shared" si="14"/>
        <v>1157.1132678600002</v>
      </c>
      <c r="P33" s="11">
        <f t="shared" si="14"/>
        <v>1467.6770171299995</v>
      </c>
      <c r="Q33" s="11">
        <f t="shared" si="14"/>
        <v>1200.96806709</v>
      </c>
      <c r="R33" s="11">
        <f t="shared" ref="R33:R37" si="18">SUM(O33:Q33)</f>
        <v>3825.7583520799999</v>
      </c>
      <c r="S33" s="11">
        <f t="shared" si="6"/>
        <v>7454.4820765699997</v>
      </c>
      <c r="T33" s="11">
        <f t="shared" ref="T33:T37" si="19">+J33+S33</f>
        <v>14688.61562276</v>
      </c>
      <c r="U33" s="11"/>
      <c r="V33" s="11"/>
    </row>
    <row r="34" spans="1:22" ht="15" customHeight="1" x14ac:dyDescent="0.3">
      <c r="A34" s="12" t="s">
        <v>47</v>
      </c>
      <c r="B34" s="8">
        <v>160.9446638</v>
      </c>
      <c r="C34" s="8">
        <v>109.23372773000008</v>
      </c>
      <c r="D34" s="8">
        <v>149.69854397999998</v>
      </c>
      <c r="E34" s="8">
        <f t="shared" si="15"/>
        <v>419.87693551000007</v>
      </c>
      <c r="F34" s="8">
        <v>222.35347123</v>
      </c>
      <c r="G34" s="8">
        <v>145.62659932000008</v>
      </c>
      <c r="H34" s="8">
        <v>147.15629675000002</v>
      </c>
      <c r="I34" s="8">
        <f t="shared" si="16"/>
        <v>515.13636730000007</v>
      </c>
      <c r="J34" s="8">
        <f t="shared" si="3"/>
        <v>935.01330281000014</v>
      </c>
      <c r="K34" s="8">
        <v>227.1310637900001</v>
      </c>
      <c r="L34" s="8">
        <v>132.34692979000005</v>
      </c>
      <c r="M34" s="8">
        <v>143.51715373000008</v>
      </c>
      <c r="N34" s="8">
        <f t="shared" si="17"/>
        <v>502.99514731000022</v>
      </c>
      <c r="O34" s="8">
        <v>151.65878569999995</v>
      </c>
      <c r="P34" s="8">
        <v>174.87850076000001</v>
      </c>
      <c r="Q34" s="8">
        <v>125.83461104999999</v>
      </c>
      <c r="R34" s="8">
        <f t="shared" si="18"/>
        <v>452.37189750999994</v>
      </c>
      <c r="S34" s="8">
        <f t="shared" si="6"/>
        <v>955.36704482000016</v>
      </c>
      <c r="T34" s="8">
        <f t="shared" si="19"/>
        <v>1890.3803476300004</v>
      </c>
      <c r="U34" s="8"/>
      <c r="V34" s="8"/>
    </row>
    <row r="35" spans="1:22" ht="15" customHeight="1" x14ac:dyDescent="0.3">
      <c r="A35" s="12" t="s">
        <v>48</v>
      </c>
      <c r="B35" s="8">
        <v>194.13562463000002</v>
      </c>
      <c r="C35" s="8">
        <v>123.91432089999995</v>
      </c>
      <c r="D35" s="8">
        <v>133.43405430999999</v>
      </c>
      <c r="E35" s="8">
        <f t="shared" si="15"/>
        <v>451.48399983999991</v>
      </c>
      <c r="F35" s="8">
        <v>231.69853799000003</v>
      </c>
      <c r="G35" s="8">
        <v>145.86032260999988</v>
      </c>
      <c r="H35" s="8">
        <v>153.23808020999991</v>
      </c>
      <c r="I35" s="8">
        <f t="shared" si="16"/>
        <v>530.7969408099998</v>
      </c>
      <c r="J35" s="8">
        <f t="shared" si="3"/>
        <v>982.28094064999971</v>
      </c>
      <c r="K35" s="8">
        <v>158.56806732999999</v>
      </c>
      <c r="L35" s="8">
        <v>175.46712730000007</v>
      </c>
      <c r="M35" s="8">
        <v>146.45660110000006</v>
      </c>
      <c r="N35" s="8">
        <f t="shared" si="17"/>
        <v>480.49179573000015</v>
      </c>
      <c r="O35" s="8">
        <v>160.07662172999994</v>
      </c>
      <c r="P35" s="8">
        <v>170.22482366999995</v>
      </c>
      <c r="Q35" s="8">
        <v>144.85199243</v>
      </c>
      <c r="R35" s="8">
        <f t="shared" si="18"/>
        <v>475.15343782999992</v>
      </c>
      <c r="S35" s="8">
        <f t="shared" si="6"/>
        <v>955.64523356000007</v>
      </c>
      <c r="T35" s="8">
        <f t="shared" si="19"/>
        <v>1937.9261742099998</v>
      </c>
      <c r="U35" s="8"/>
      <c r="V35" s="8"/>
    </row>
    <row r="36" spans="1:22" ht="15" customHeight="1" x14ac:dyDescent="0.3">
      <c r="A36" s="12" t="s">
        <v>49</v>
      </c>
      <c r="B36" s="8">
        <v>307.44585927999998</v>
      </c>
      <c r="C36" s="8">
        <v>188.79203249999995</v>
      </c>
      <c r="D36" s="8">
        <v>214.37669418999999</v>
      </c>
      <c r="E36" s="8">
        <f t="shared" si="15"/>
        <v>710.61458596999989</v>
      </c>
      <c r="F36" s="8">
        <v>388.4255142200002</v>
      </c>
      <c r="G36" s="8">
        <v>273.43743258000012</v>
      </c>
      <c r="H36" s="8">
        <v>277.15929473999984</v>
      </c>
      <c r="I36" s="8">
        <f t="shared" si="16"/>
        <v>939.02224154000021</v>
      </c>
      <c r="J36" s="8">
        <f t="shared" si="3"/>
        <v>1649.6368275100001</v>
      </c>
      <c r="K36" s="8">
        <v>276.57696999000012</v>
      </c>
      <c r="L36" s="8">
        <v>304.32168676999999</v>
      </c>
      <c r="M36" s="8">
        <v>263.52124309999999</v>
      </c>
      <c r="N36" s="8">
        <f t="shared" si="17"/>
        <v>844.4198998600001</v>
      </c>
      <c r="O36" s="8">
        <v>280.20440077999996</v>
      </c>
      <c r="P36" s="8">
        <v>314.15145264999973</v>
      </c>
      <c r="Q36" s="8">
        <v>272.10502821</v>
      </c>
      <c r="R36" s="8">
        <f t="shared" si="18"/>
        <v>866.46088163999968</v>
      </c>
      <c r="S36" s="8">
        <f t="shared" si="6"/>
        <v>1710.8807814999998</v>
      </c>
      <c r="T36" s="8">
        <f t="shared" si="19"/>
        <v>3360.5176090099999</v>
      </c>
      <c r="U36" s="8"/>
      <c r="V36" s="8"/>
    </row>
    <row r="37" spans="1:22" ht="15" customHeight="1" x14ac:dyDescent="0.3">
      <c r="A37" s="12" t="s">
        <v>50</v>
      </c>
      <c r="B37" s="8">
        <v>573.8248091600002</v>
      </c>
      <c r="C37" s="8">
        <v>495.79030652000006</v>
      </c>
      <c r="D37" s="8">
        <v>570.3314284600001</v>
      </c>
      <c r="E37" s="8">
        <f t="shared" si="15"/>
        <v>1639.9465441400002</v>
      </c>
      <c r="F37" s="8">
        <v>849.61853903000019</v>
      </c>
      <c r="G37" s="8">
        <v>580.32350783999982</v>
      </c>
      <c r="H37" s="8">
        <v>597.31388421000008</v>
      </c>
      <c r="I37" s="8">
        <f t="shared" si="16"/>
        <v>2027.2559310800002</v>
      </c>
      <c r="J37" s="8">
        <f t="shared" si="3"/>
        <v>3667.2024752200005</v>
      </c>
      <c r="K37" s="8">
        <v>565.34915122999985</v>
      </c>
      <c r="L37" s="8">
        <v>661.93507909999994</v>
      </c>
      <c r="M37" s="8">
        <v>573.53265125999962</v>
      </c>
      <c r="N37" s="8">
        <f t="shared" si="17"/>
        <v>1800.8168815899994</v>
      </c>
      <c r="O37" s="8">
        <v>565.17345965000015</v>
      </c>
      <c r="P37" s="8">
        <v>808.42224004999991</v>
      </c>
      <c r="Q37" s="8">
        <v>658.17643539999995</v>
      </c>
      <c r="R37" s="8">
        <f t="shared" si="18"/>
        <v>2031.7721351</v>
      </c>
      <c r="S37" s="8">
        <f t="shared" si="6"/>
        <v>3832.5890166899994</v>
      </c>
      <c r="T37" s="8">
        <f t="shared" si="19"/>
        <v>7499.7914919100003</v>
      </c>
      <c r="U37" s="8"/>
      <c r="V37" s="8"/>
    </row>
    <row r="38" spans="1:22" s="10" customFormat="1" ht="15" customHeight="1" x14ac:dyDescent="0.3">
      <c r="A38" s="3"/>
      <c r="B38" s="11"/>
      <c r="C38" s="11"/>
      <c r="D38" s="11"/>
      <c r="E38" s="11"/>
      <c r="F38" s="11"/>
      <c r="G38" s="11"/>
      <c r="H38" s="11"/>
      <c r="I38" s="11"/>
      <c r="J38" s="11"/>
      <c r="K38" s="11"/>
      <c r="L38" s="11"/>
      <c r="M38" s="11"/>
      <c r="N38" s="11"/>
      <c r="O38" s="11"/>
      <c r="P38" s="11"/>
      <c r="Q38" s="11"/>
      <c r="R38" s="11"/>
      <c r="S38" s="11"/>
      <c r="T38" s="11"/>
      <c r="U38" s="11"/>
      <c r="V38" s="11"/>
    </row>
    <row r="39" spans="1:22" s="10" customFormat="1" ht="15" customHeight="1" x14ac:dyDescent="0.25">
      <c r="A39" s="10" t="s">
        <v>51</v>
      </c>
      <c r="B39" s="11">
        <f>SUM(B40:B43)</f>
        <v>846.54141847999995</v>
      </c>
      <c r="C39" s="11">
        <f t="shared" ref="C39:Q39" si="20">SUM(C40:C43)</f>
        <v>630.74621463000028</v>
      </c>
      <c r="D39" s="11">
        <f t="shared" si="20"/>
        <v>720.78149844999984</v>
      </c>
      <c r="E39" s="11">
        <f t="shared" ref="E39:E43" si="21">SUM(B39:D39)</f>
        <v>2198.0691315599997</v>
      </c>
      <c r="F39" s="11">
        <f t="shared" si="20"/>
        <v>1211.4107476599997</v>
      </c>
      <c r="G39" s="11">
        <f t="shared" si="20"/>
        <v>813.85126259999993</v>
      </c>
      <c r="H39" s="11">
        <f t="shared" si="20"/>
        <v>745.6016491900001</v>
      </c>
      <c r="I39" s="11">
        <f t="shared" ref="I39:I43" si="22">SUM(F39:H39)</f>
        <v>2770.8636594499999</v>
      </c>
      <c r="J39" s="11">
        <f t="shared" si="3"/>
        <v>4968.9327910100001</v>
      </c>
      <c r="K39" s="11">
        <f t="shared" si="20"/>
        <v>792.45397895000019</v>
      </c>
      <c r="L39" s="11">
        <f t="shared" si="20"/>
        <v>899.86642929000027</v>
      </c>
      <c r="M39" s="11">
        <f t="shared" si="20"/>
        <v>757.10663977000002</v>
      </c>
      <c r="N39" s="11">
        <f t="shared" ref="N39:N43" si="23">SUM(K39:M39)</f>
        <v>2449.4270480100004</v>
      </c>
      <c r="O39" s="11">
        <f t="shared" si="20"/>
        <v>767.16215631000023</v>
      </c>
      <c r="P39" s="11">
        <f t="shared" si="20"/>
        <v>926.20357125000021</v>
      </c>
      <c r="Q39" s="11">
        <f t="shared" si="20"/>
        <v>847.02120851999985</v>
      </c>
      <c r="R39" s="11">
        <f t="shared" ref="R39:R43" si="24">SUM(O39:Q39)</f>
        <v>2540.3869360799999</v>
      </c>
      <c r="S39" s="11">
        <f t="shared" si="6"/>
        <v>4989.8139840900003</v>
      </c>
      <c r="T39" s="11">
        <f t="shared" ref="T39:T43" si="25">+J39+S39</f>
        <v>9958.7467751000004</v>
      </c>
      <c r="U39" s="11"/>
      <c r="V39" s="11"/>
    </row>
    <row r="40" spans="1:22" ht="15" customHeight="1" x14ac:dyDescent="0.3">
      <c r="A40" s="12" t="s">
        <v>52</v>
      </c>
      <c r="B40" s="8">
        <v>388.81322680000005</v>
      </c>
      <c r="C40" s="8">
        <v>327.53233629000022</v>
      </c>
      <c r="D40" s="8">
        <v>353.87326388999998</v>
      </c>
      <c r="E40" s="8">
        <f t="shared" si="21"/>
        <v>1070.2188269800004</v>
      </c>
      <c r="F40" s="8">
        <v>634.97112273999994</v>
      </c>
      <c r="G40" s="8">
        <v>444.55870642999997</v>
      </c>
      <c r="H40" s="8">
        <v>400.47901137999997</v>
      </c>
      <c r="I40" s="8">
        <f t="shared" si="22"/>
        <v>1480.0088405499998</v>
      </c>
      <c r="J40" s="8">
        <f t="shared" si="3"/>
        <v>2550.22766753</v>
      </c>
      <c r="K40" s="8">
        <v>415.17963951000002</v>
      </c>
      <c r="L40" s="8">
        <v>442.90405032000007</v>
      </c>
      <c r="M40" s="8">
        <v>384.45360579000004</v>
      </c>
      <c r="N40" s="8">
        <f t="shared" si="23"/>
        <v>1242.5372956200001</v>
      </c>
      <c r="O40" s="8">
        <v>383.46421499000002</v>
      </c>
      <c r="P40" s="8">
        <v>441.8522216500001</v>
      </c>
      <c r="Q40" s="8">
        <v>426.74666260999999</v>
      </c>
      <c r="R40" s="8">
        <f t="shared" si="24"/>
        <v>1252.0630992500001</v>
      </c>
      <c r="S40" s="8">
        <f t="shared" si="6"/>
        <v>2494.6003948699999</v>
      </c>
      <c r="T40" s="8">
        <f t="shared" si="25"/>
        <v>5044.8280623999999</v>
      </c>
      <c r="U40" s="8"/>
      <c r="V40" s="8"/>
    </row>
    <row r="41" spans="1:22" ht="15" customHeight="1" x14ac:dyDescent="0.3">
      <c r="A41" s="12" t="s">
        <v>53</v>
      </c>
      <c r="B41" s="8">
        <v>337.81375364999997</v>
      </c>
      <c r="C41" s="8">
        <v>204.80970880000004</v>
      </c>
      <c r="D41" s="8">
        <v>258.43557757000002</v>
      </c>
      <c r="E41" s="8">
        <f t="shared" si="21"/>
        <v>801.05904002000011</v>
      </c>
      <c r="F41" s="8">
        <v>404.89179235</v>
      </c>
      <c r="G41" s="8">
        <v>252.73976633999996</v>
      </c>
      <c r="H41" s="8">
        <v>225.49547289000012</v>
      </c>
      <c r="I41" s="8">
        <f t="shared" si="22"/>
        <v>883.12703158000011</v>
      </c>
      <c r="J41" s="8">
        <f t="shared" si="3"/>
        <v>1684.1860716000001</v>
      </c>
      <c r="K41" s="8">
        <v>264.53657334000013</v>
      </c>
      <c r="L41" s="8">
        <v>319.75987583000006</v>
      </c>
      <c r="M41" s="8">
        <v>256.74982219999998</v>
      </c>
      <c r="N41" s="8">
        <f t="shared" si="23"/>
        <v>841.04627137000011</v>
      </c>
      <c r="O41" s="8">
        <v>269.11432613000011</v>
      </c>
      <c r="P41" s="8">
        <v>324.98691114000013</v>
      </c>
      <c r="Q41" s="8">
        <v>298.03204765999999</v>
      </c>
      <c r="R41" s="8">
        <f t="shared" si="24"/>
        <v>892.13328493000017</v>
      </c>
      <c r="S41" s="8">
        <f t="shared" si="6"/>
        <v>1733.1795563000003</v>
      </c>
      <c r="T41" s="8">
        <f t="shared" si="25"/>
        <v>3417.3656279000006</v>
      </c>
      <c r="U41" s="8"/>
      <c r="V41" s="8"/>
    </row>
    <row r="42" spans="1:22" ht="15" customHeight="1" x14ac:dyDescent="0.3">
      <c r="A42" s="12" t="s">
        <v>54</v>
      </c>
      <c r="B42" s="8">
        <v>91.367790360000001</v>
      </c>
      <c r="C42" s="8">
        <v>69.34623458999998</v>
      </c>
      <c r="D42" s="8">
        <v>83.251433059999954</v>
      </c>
      <c r="E42" s="8">
        <f t="shared" si="21"/>
        <v>243.96545800999994</v>
      </c>
      <c r="F42" s="8">
        <v>118.11410172999996</v>
      </c>
      <c r="G42" s="8">
        <v>86.13298356</v>
      </c>
      <c r="H42" s="8">
        <v>81.147991240000039</v>
      </c>
      <c r="I42" s="8">
        <f t="shared" si="22"/>
        <v>285.39507652999998</v>
      </c>
      <c r="J42" s="8">
        <f t="shared" si="3"/>
        <v>529.36053453999989</v>
      </c>
      <c r="K42" s="8">
        <v>85.226970580000014</v>
      </c>
      <c r="L42" s="8">
        <v>108.62395732000002</v>
      </c>
      <c r="M42" s="8">
        <v>85.325459229999993</v>
      </c>
      <c r="N42" s="8">
        <f t="shared" si="23"/>
        <v>279.17638713000002</v>
      </c>
      <c r="O42" s="8">
        <v>83.256696949999977</v>
      </c>
      <c r="P42" s="8">
        <v>117.28191549999997</v>
      </c>
      <c r="Q42" s="8">
        <v>91.537239379999988</v>
      </c>
      <c r="R42" s="8">
        <f t="shared" si="24"/>
        <v>292.07585182999992</v>
      </c>
      <c r="S42" s="8">
        <f t="shared" si="6"/>
        <v>571.25223895999989</v>
      </c>
      <c r="T42" s="8">
        <f t="shared" si="25"/>
        <v>1100.6127734999998</v>
      </c>
      <c r="U42" s="8"/>
      <c r="V42" s="8"/>
    </row>
    <row r="43" spans="1:22" ht="15" customHeight="1" x14ac:dyDescent="0.3">
      <c r="A43" s="12" t="s">
        <v>55</v>
      </c>
      <c r="B43" s="8">
        <v>28.546647669999988</v>
      </c>
      <c r="C43" s="8">
        <v>29.05793495</v>
      </c>
      <c r="D43" s="8">
        <v>25.221223930000001</v>
      </c>
      <c r="E43" s="8">
        <f t="shared" si="21"/>
        <v>82.825806549999982</v>
      </c>
      <c r="F43" s="8">
        <v>53.433730839999996</v>
      </c>
      <c r="G43" s="8">
        <v>30.419806270000002</v>
      </c>
      <c r="H43" s="8">
        <v>38.479173679999995</v>
      </c>
      <c r="I43" s="8">
        <f t="shared" si="22"/>
        <v>122.33271078999999</v>
      </c>
      <c r="J43" s="8">
        <f t="shared" si="3"/>
        <v>205.15851733999997</v>
      </c>
      <c r="K43" s="8">
        <v>27.510795519999999</v>
      </c>
      <c r="L43" s="8">
        <v>28.578545819999999</v>
      </c>
      <c r="M43" s="8">
        <v>30.577752550000003</v>
      </c>
      <c r="N43" s="8">
        <f t="shared" si="23"/>
        <v>86.667093890000004</v>
      </c>
      <c r="O43" s="8">
        <v>31.326918240000001</v>
      </c>
      <c r="P43" s="8">
        <v>42.082522959999999</v>
      </c>
      <c r="Q43" s="8">
        <v>30.705258870000002</v>
      </c>
      <c r="R43" s="8">
        <f t="shared" si="24"/>
        <v>104.11470007</v>
      </c>
      <c r="S43" s="8">
        <f t="shared" si="6"/>
        <v>190.78179396000002</v>
      </c>
      <c r="T43" s="8">
        <f t="shared" si="25"/>
        <v>395.94031129999996</v>
      </c>
      <c r="U43" s="8"/>
      <c r="V43" s="8"/>
    </row>
    <row r="44" spans="1:22" s="10" customFormat="1" ht="15" customHeight="1" x14ac:dyDescent="0.3">
      <c r="A44" s="3"/>
      <c r="B44" s="11"/>
      <c r="C44" s="11"/>
      <c r="D44" s="11"/>
      <c r="E44" s="11"/>
      <c r="F44" s="11"/>
      <c r="G44" s="11"/>
      <c r="H44" s="11"/>
      <c r="I44" s="11"/>
      <c r="J44" s="11"/>
      <c r="K44" s="11"/>
      <c r="L44" s="11"/>
      <c r="M44" s="11"/>
      <c r="N44" s="11"/>
      <c r="O44" s="11"/>
      <c r="P44" s="11"/>
      <c r="Q44" s="11"/>
      <c r="R44" s="11"/>
      <c r="S44" s="11"/>
      <c r="T44" s="11"/>
      <c r="U44" s="11"/>
      <c r="V44" s="11"/>
    </row>
    <row r="45" spans="1:22" s="10" customFormat="1" ht="15" customHeight="1" x14ac:dyDescent="0.25">
      <c r="A45" s="10" t="s">
        <v>56</v>
      </c>
      <c r="B45" s="11">
        <f>SUM(B46:B54)</f>
        <v>5072.5376823699999</v>
      </c>
      <c r="C45" s="11">
        <f t="shared" ref="C45:Q45" si="26">SUM(C46:C54)</f>
        <v>2593.9206280499993</v>
      </c>
      <c r="D45" s="11">
        <f t="shared" si="26"/>
        <v>3030.1160206199993</v>
      </c>
      <c r="E45" s="11">
        <f t="shared" ref="E45:E54" si="27">SUM(B45:D45)</f>
        <v>10696.574331039999</v>
      </c>
      <c r="F45" s="11">
        <f t="shared" si="26"/>
        <v>4504.8639810599998</v>
      </c>
      <c r="G45" s="11">
        <f t="shared" si="26"/>
        <v>3549.2173048100003</v>
      </c>
      <c r="H45" s="11">
        <f t="shared" si="26"/>
        <v>3120.8750245199994</v>
      </c>
      <c r="I45" s="11">
        <f t="shared" ref="I45:I54" si="28">SUM(F45:H45)</f>
        <v>11174.95631039</v>
      </c>
      <c r="J45" s="11">
        <f t="shared" si="3"/>
        <v>21871.530641429999</v>
      </c>
      <c r="K45" s="11">
        <f t="shared" si="26"/>
        <v>3456.825261720001</v>
      </c>
      <c r="L45" s="11">
        <f t="shared" si="26"/>
        <v>3816.1261090000003</v>
      </c>
      <c r="M45" s="11">
        <f t="shared" si="26"/>
        <v>3105.3293161899996</v>
      </c>
      <c r="N45" s="11">
        <f t="shared" ref="N45:N54" si="29">SUM(K45:M45)</f>
        <v>10378.28068691</v>
      </c>
      <c r="O45" s="11">
        <f t="shared" si="26"/>
        <v>3151.9835647999989</v>
      </c>
      <c r="P45" s="11">
        <f t="shared" si="26"/>
        <v>3992.190664499999</v>
      </c>
      <c r="Q45" s="11">
        <f t="shared" si="26"/>
        <v>3929.6778286399999</v>
      </c>
      <c r="R45" s="11">
        <f t="shared" ref="R45:R54" si="30">SUM(O45:Q45)</f>
        <v>11073.852057939997</v>
      </c>
      <c r="S45" s="11">
        <f t="shared" si="6"/>
        <v>21452.132744849998</v>
      </c>
      <c r="T45" s="11">
        <f t="shared" ref="T45:T54" si="31">+J45+S45</f>
        <v>43323.663386279994</v>
      </c>
      <c r="U45" s="11"/>
      <c r="V45" s="11"/>
    </row>
    <row r="46" spans="1:22" ht="15" customHeight="1" x14ac:dyDescent="0.3">
      <c r="A46" s="12" t="s">
        <v>57</v>
      </c>
      <c r="B46" s="8">
        <v>36.616177499999999</v>
      </c>
      <c r="C46" s="8">
        <v>21.121491929999998</v>
      </c>
      <c r="D46" s="8">
        <v>29.741692799999996</v>
      </c>
      <c r="E46" s="8">
        <f t="shared" si="27"/>
        <v>87.479362229999992</v>
      </c>
      <c r="F46" s="8">
        <v>43.62323069</v>
      </c>
      <c r="G46" s="8">
        <v>31.953074109999999</v>
      </c>
      <c r="H46" s="8">
        <v>34.075192180000002</v>
      </c>
      <c r="I46" s="8">
        <f t="shared" si="28"/>
        <v>109.65149698</v>
      </c>
      <c r="J46" s="8">
        <f t="shared" si="3"/>
        <v>197.13085920999998</v>
      </c>
      <c r="K46" s="8">
        <v>40.977247230000003</v>
      </c>
      <c r="L46" s="8">
        <v>32.397815690000002</v>
      </c>
      <c r="M46" s="8">
        <v>36.987507530000009</v>
      </c>
      <c r="N46" s="8">
        <f t="shared" si="29"/>
        <v>110.36257045000002</v>
      </c>
      <c r="O46" s="8">
        <v>30.226713430000007</v>
      </c>
      <c r="P46" s="8">
        <v>39.657702159999999</v>
      </c>
      <c r="Q46" s="8">
        <v>36.094897279999998</v>
      </c>
      <c r="R46" s="8">
        <f t="shared" si="30"/>
        <v>105.97931287</v>
      </c>
      <c r="S46" s="8">
        <f t="shared" si="6"/>
        <v>216.34188332000002</v>
      </c>
      <c r="T46" s="8">
        <f t="shared" si="31"/>
        <v>413.47274253</v>
      </c>
      <c r="U46" s="8"/>
      <c r="V46" s="8"/>
    </row>
    <row r="47" spans="1:22" ht="15" customHeight="1" x14ac:dyDescent="0.3">
      <c r="A47" s="12" t="s">
        <v>58</v>
      </c>
      <c r="B47" s="8">
        <v>1549.2285366199992</v>
      </c>
      <c r="C47" s="8">
        <v>205.88422512999981</v>
      </c>
      <c r="D47" s="8">
        <v>222.30454185999997</v>
      </c>
      <c r="E47" s="8">
        <f t="shared" si="27"/>
        <v>1977.417303609999</v>
      </c>
      <c r="F47" s="8">
        <v>270.44315114000005</v>
      </c>
      <c r="G47" s="8">
        <v>228.69100956999989</v>
      </c>
      <c r="H47" s="8">
        <v>248.38631088000002</v>
      </c>
      <c r="I47" s="8">
        <f t="shared" si="28"/>
        <v>747.52047158999994</v>
      </c>
      <c r="J47" s="8">
        <f t="shared" si="3"/>
        <v>2724.9377751999991</v>
      </c>
      <c r="K47" s="8">
        <v>597.31141585999978</v>
      </c>
      <c r="L47" s="8">
        <v>280.69578721000011</v>
      </c>
      <c r="M47" s="8">
        <v>252.05455897999991</v>
      </c>
      <c r="N47" s="8">
        <f t="shared" si="29"/>
        <v>1130.0617620499997</v>
      </c>
      <c r="O47" s="8">
        <v>242.34472767000003</v>
      </c>
      <c r="P47" s="8">
        <v>298.01940647000015</v>
      </c>
      <c r="Q47" s="8">
        <v>296.70147550999997</v>
      </c>
      <c r="R47" s="8">
        <f t="shared" si="30"/>
        <v>837.06560965000017</v>
      </c>
      <c r="S47" s="8">
        <f t="shared" si="6"/>
        <v>1967.1273716999999</v>
      </c>
      <c r="T47" s="8">
        <f t="shared" si="31"/>
        <v>4692.0651468999986</v>
      </c>
      <c r="U47" s="8"/>
      <c r="V47" s="8"/>
    </row>
    <row r="48" spans="1:22" ht="15" customHeight="1" x14ac:dyDescent="0.3">
      <c r="A48" s="12" t="s">
        <v>59</v>
      </c>
      <c r="B48" s="8">
        <v>990.62768054000026</v>
      </c>
      <c r="C48" s="8">
        <v>744.43114691999972</v>
      </c>
      <c r="D48" s="8">
        <v>849.66114351000033</v>
      </c>
      <c r="E48" s="8">
        <f t="shared" si="27"/>
        <v>2584.7199709700003</v>
      </c>
      <c r="F48" s="8">
        <v>1297.8195476099995</v>
      </c>
      <c r="G48" s="8">
        <v>987.75472908999905</v>
      </c>
      <c r="H48" s="8">
        <v>859.06842701999949</v>
      </c>
      <c r="I48" s="8">
        <f t="shared" si="28"/>
        <v>3144.6427037199978</v>
      </c>
      <c r="J48" s="8">
        <f t="shared" si="3"/>
        <v>5729.3626746899981</v>
      </c>
      <c r="K48" s="8">
        <v>863.65935731000116</v>
      </c>
      <c r="L48" s="8">
        <v>1170.2317258599996</v>
      </c>
      <c r="M48" s="8">
        <v>870.40513652000027</v>
      </c>
      <c r="N48" s="8">
        <f t="shared" si="29"/>
        <v>2904.2962196900012</v>
      </c>
      <c r="O48" s="8">
        <v>875.22010163999971</v>
      </c>
      <c r="P48" s="8">
        <v>1111.048679459999</v>
      </c>
      <c r="Q48" s="8">
        <v>1251.47987773</v>
      </c>
      <c r="R48" s="8">
        <f t="shared" si="30"/>
        <v>3237.7486588299989</v>
      </c>
      <c r="S48" s="8">
        <f t="shared" si="6"/>
        <v>6142.0448785200006</v>
      </c>
      <c r="T48" s="8">
        <f t="shared" si="31"/>
        <v>11871.40755321</v>
      </c>
      <c r="U48" s="8"/>
      <c r="V48" s="8"/>
    </row>
    <row r="49" spans="1:22" ht="15" customHeight="1" x14ac:dyDescent="0.3">
      <c r="A49" s="12" t="s">
        <v>60</v>
      </c>
      <c r="B49" s="8">
        <v>375.41488756999996</v>
      </c>
      <c r="C49" s="8">
        <v>312.88523617000004</v>
      </c>
      <c r="D49" s="8">
        <v>300.09229785000002</v>
      </c>
      <c r="E49" s="8">
        <f t="shared" si="27"/>
        <v>988.39242159000003</v>
      </c>
      <c r="F49" s="8">
        <v>528.82001099999968</v>
      </c>
      <c r="G49" s="8">
        <v>393.13797390999997</v>
      </c>
      <c r="H49" s="8">
        <v>345.93785946000003</v>
      </c>
      <c r="I49" s="8">
        <f t="shared" si="28"/>
        <v>1267.8958443699996</v>
      </c>
      <c r="J49" s="8">
        <f t="shared" si="3"/>
        <v>2256.2882659599995</v>
      </c>
      <c r="K49" s="8">
        <v>343.70579656000007</v>
      </c>
      <c r="L49" s="8">
        <v>419.29610186000002</v>
      </c>
      <c r="M49" s="8">
        <v>381.3703110900002</v>
      </c>
      <c r="N49" s="8">
        <f t="shared" si="29"/>
        <v>1144.3722095100002</v>
      </c>
      <c r="O49" s="8">
        <v>349.36936373999993</v>
      </c>
      <c r="P49" s="8">
        <v>439.64798857000011</v>
      </c>
      <c r="Q49" s="8">
        <v>397.21105169999998</v>
      </c>
      <c r="R49" s="8">
        <f t="shared" si="30"/>
        <v>1186.2284040099998</v>
      </c>
      <c r="S49" s="8">
        <f t="shared" si="6"/>
        <v>2330.60061352</v>
      </c>
      <c r="T49" s="8">
        <f t="shared" si="31"/>
        <v>4586.8888794799996</v>
      </c>
      <c r="U49" s="8"/>
      <c r="V49" s="8"/>
    </row>
    <row r="50" spans="1:22" ht="18" customHeight="1" x14ac:dyDescent="0.3">
      <c r="A50" s="12" t="s">
        <v>61</v>
      </c>
      <c r="B50" s="8">
        <v>639.63554898999996</v>
      </c>
      <c r="C50" s="8">
        <v>438.54261598999994</v>
      </c>
      <c r="D50" s="8">
        <v>507.86893237999999</v>
      </c>
      <c r="E50" s="8">
        <f t="shared" si="27"/>
        <v>1586.04709736</v>
      </c>
      <c r="F50" s="8">
        <v>716.08912058999999</v>
      </c>
      <c r="G50" s="8">
        <v>579.67152150000106</v>
      </c>
      <c r="H50" s="8">
        <v>555.06331516</v>
      </c>
      <c r="I50" s="8">
        <f t="shared" si="28"/>
        <v>1850.8239572500011</v>
      </c>
      <c r="J50" s="8">
        <f t="shared" si="3"/>
        <v>3436.871054610001</v>
      </c>
      <c r="K50" s="8">
        <v>506.90716837000048</v>
      </c>
      <c r="L50" s="8">
        <v>598.76137177999988</v>
      </c>
      <c r="M50" s="8">
        <v>497.39896145999933</v>
      </c>
      <c r="N50" s="8">
        <f t="shared" si="29"/>
        <v>1603.0675016099997</v>
      </c>
      <c r="O50" s="8">
        <v>522.37328726999965</v>
      </c>
      <c r="P50" s="8">
        <v>571.95666560000006</v>
      </c>
      <c r="Q50" s="8">
        <v>619.80189291000011</v>
      </c>
      <c r="R50" s="8">
        <f t="shared" si="30"/>
        <v>1714.1318457799998</v>
      </c>
      <c r="S50" s="8">
        <f t="shared" si="6"/>
        <v>3317.1993473899993</v>
      </c>
      <c r="T50" s="8">
        <f t="shared" si="31"/>
        <v>6754.0704020000003</v>
      </c>
      <c r="U50" s="8"/>
      <c r="V50" s="8"/>
    </row>
    <row r="51" spans="1:22" ht="15" customHeight="1" x14ac:dyDescent="0.3">
      <c r="A51" s="12" t="s">
        <v>62</v>
      </c>
      <c r="B51" s="8">
        <v>252.90417875999998</v>
      </c>
      <c r="C51" s="8">
        <v>208.30436349000001</v>
      </c>
      <c r="D51" s="8">
        <v>269.06263151999997</v>
      </c>
      <c r="E51" s="8">
        <f t="shared" si="27"/>
        <v>730.2711737699999</v>
      </c>
      <c r="F51" s="8">
        <v>321.64580807999999</v>
      </c>
      <c r="G51" s="8">
        <v>312.08328738</v>
      </c>
      <c r="H51" s="8">
        <v>266.93302301</v>
      </c>
      <c r="I51" s="8">
        <f t="shared" si="28"/>
        <v>900.66211847</v>
      </c>
      <c r="J51" s="8">
        <f t="shared" si="3"/>
        <v>1630.9332922399999</v>
      </c>
      <c r="K51" s="8">
        <v>259.65908355999989</v>
      </c>
      <c r="L51" s="8">
        <v>320.18181842000024</v>
      </c>
      <c r="M51" s="8">
        <v>256.38854861999999</v>
      </c>
      <c r="N51" s="8">
        <f t="shared" si="29"/>
        <v>836.22945060000006</v>
      </c>
      <c r="O51" s="8">
        <v>242.17027411999999</v>
      </c>
      <c r="P51" s="8">
        <v>316.82645349000006</v>
      </c>
      <c r="Q51" s="8">
        <v>387.93366976999999</v>
      </c>
      <c r="R51" s="8">
        <f t="shared" si="30"/>
        <v>946.93039738000016</v>
      </c>
      <c r="S51" s="8">
        <f t="shared" si="6"/>
        <v>1783.1598479800002</v>
      </c>
      <c r="T51" s="8">
        <f t="shared" si="31"/>
        <v>3414.0931402200004</v>
      </c>
      <c r="U51" s="8"/>
      <c r="V51" s="8"/>
    </row>
    <row r="52" spans="1:22" ht="18" customHeight="1" x14ac:dyDescent="0.3">
      <c r="A52" s="12" t="s">
        <v>63</v>
      </c>
      <c r="B52" s="8">
        <v>331.00219738000004</v>
      </c>
      <c r="C52" s="8">
        <v>128.04016055000002</v>
      </c>
      <c r="D52" s="8">
        <v>183.23808811000001</v>
      </c>
      <c r="E52" s="8">
        <f t="shared" si="27"/>
        <v>642.28044604000013</v>
      </c>
      <c r="F52" s="8">
        <v>261.4194276799999</v>
      </c>
      <c r="G52" s="8">
        <v>219.42176032000006</v>
      </c>
      <c r="H52" s="8">
        <v>117.63763718000003</v>
      </c>
      <c r="I52" s="8">
        <f t="shared" si="28"/>
        <v>598.47882518000006</v>
      </c>
      <c r="J52" s="8">
        <f t="shared" si="3"/>
        <v>1240.7592712200003</v>
      </c>
      <c r="K52" s="8">
        <v>155.69969859999998</v>
      </c>
      <c r="L52" s="8">
        <v>181.54210695999981</v>
      </c>
      <c r="M52" s="8">
        <v>130.83170300999996</v>
      </c>
      <c r="N52" s="8">
        <f t="shared" si="29"/>
        <v>468.07350856999972</v>
      </c>
      <c r="O52" s="8">
        <v>166.87457793999988</v>
      </c>
      <c r="P52" s="8">
        <v>185.40932830999989</v>
      </c>
      <c r="Q52" s="8">
        <v>138.27770749999999</v>
      </c>
      <c r="R52" s="8">
        <f t="shared" si="30"/>
        <v>490.56161374999976</v>
      </c>
      <c r="S52" s="8">
        <f t="shared" si="6"/>
        <v>958.63512231999948</v>
      </c>
      <c r="T52" s="8">
        <f t="shared" si="31"/>
        <v>2199.3943935399998</v>
      </c>
      <c r="U52" s="8"/>
      <c r="V52" s="8"/>
    </row>
    <row r="53" spans="1:22" ht="15" customHeight="1" x14ac:dyDescent="0.3">
      <c r="A53" s="12" t="s">
        <v>64</v>
      </c>
      <c r="B53" s="8">
        <v>617.78628423999976</v>
      </c>
      <c r="C53" s="8">
        <v>431.64458222999997</v>
      </c>
      <c r="D53" s="8">
        <v>527.75383742999986</v>
      </c>
      <c r="E53" s="8">
        <f t="shared" si="27"/>
        <v>1577.1847038999995</v>
      </c>
      <c r="F53" s="8">
        <v>900.06173749000038</v>
      </c>
      <c r="G53" s="8">
        <v>655.45497550999994</v>
      </c>
      <c r="H53" s="8">
        <v>542.62175035999974</v>
      </c>
      <c r="I53" s="8">
        <f t="shared" si="28"/>
        <v>2098.1384633600001</v>
      </c>
      <c r="J53" s="8">
        <f t="shared" si="3"/>
        <v>3675.3231672599995</v>
      </c>
      <c r="K53" s="8">
        <v>545.95496415999969</v>
      </c>
      <c r="L53" s="8">
        <v>658.27266146000045</v>
      </c>
      <c r="M53" s="8">
        <v>545.11907754999993</v>
      </c>
      <c r="N53" s="8">
        <f t="shared" si="29"/>
        <v>1749.3467031700002</v>
      </c>
      <c r="O53" s="8">
        <v>584.90895911999985</v>
      </c>
      <c r="P53" s="8">
        <v>874.80770306999977</v>
      </c>
      <c r="Q53" s="8">
        <v>640.87383111999998</v>
      </c>
      <c r="R53" s="8">
        <f t="shared" si="30"/>
        <v>2100.5904933099996</v>
      </c>
      <c r="S53" s="8">
        <f t="shared" si="6"/>
        <v>3849.9371964799998</v>
      </c>
      <c r="T53" s="8">
        <f t="shared" si="31"/>
        <v>7525.2603637399989</v>
      </c>
      <c r="U53" s="8"/>
      <c r="V53" s="8"/>
    </row>
    <row r="54" spans="1:22" ht="15" customHeight="1" x14ac:dyDescent="0.3">
      <c r="A54" s="12" t="s">
        <v>65</v>
      </c>
      <c r="B54" s="8">
        <v>279.32219076999996</v>
      </c>
      <c r="C54" s="8">
        <v>103.06680563999993</v>
      </c>
      <c r="D54" s="8">
        <v>140.3928551599999</v>
      </c>
      <c r="E54" s="8">
        <f t="shared" si="27"/>
        <v>522.78185156999984</v>
      </c>
      <c r="F54" s="8">
        <v>164.94194678000008</v>
      </c>
      <c r="G54" s="8">
        <v>141.04897342000001</v>
      </c>
      <c r="H54" s="8">
        <v>151.15150926999999</v>
      </c>
      <c r="I54" s="8">
        <f t="shared" si="28"/>
        <v>457.14242947000014</v>
      </c>
      <c r="J54" s="8">
        <f t="shared" si="3"/>
        <v>979.92428103999998</v>
      </c>
      <c r="K54" s="8">
        <v>142.95053006999996</v>
      </c>
      <c r="L54" s="8">
        <v>154.7467197600001</v>
      </c>
      <c r="M54" s="8">
        <v>134.77351143000007</v>
      </c>
      <c r="N54" s="8">
        <f t="shared" si="29"/>
        <v>432.47076126000013</v>
      </c>
      <c r="O54" s="8">
        <v>138.49555986999999</v>
      </c>
      <c r="P54" s="8">
        <v>154.81673737000006</v>
      </c>
      <c r="Q54" s="8">
        <v>161.30342512000001</v>
      </c>
      <c r="R54" s="8">
        <f t="shared" si="30"/>
        <v>454.61572236000006</v>
      </c>
      <c r="S54" s="8">
        <f t="shared" si="6"/>
        <v>887.08648362000019</v>
      </c>
      <c r="T54" s="8">
        <f t="shared" si="31"/>
        <v>1867.0107646600002</v>
      </c>
      <c r="U54" s="8"/>
      <c r="V54" s="8"/>
    </row>
    <row r="55" spans="1:22" s="10" customFormat="1" ht="15" customHeight="1" x14ac:dyDescent="0.3">
      <c r="A55" s="3"/>
      <c r="B55" s="11"/>
      <c r="C55" s="11"/>
      <c r="D55" s="11"/>
      <c r="E55" s="11"/>
      <c r="F55" s="11"/>
      <c r="G55" s="11"/>
      <c r="H55" s="11"/>
      <c r="I55" s="11"/>
      <c r="J55" s="11"/>
      <c r="K55" s="11"/>
      <c r="L55" s="11"/>
      <c r="M55" s="11"/>
      <c r="N55" s="11"/>
      <c r="O55" s="11"/>
      <c r="P55" s="11"/>
      <c r="Q55" s="11"/>
      <c r="R55" s="11"/>
      <c r="S55" s="11"/>
      <c r="T55" s="11"/>
      <c r="U55" s="11"/>
      <c r="V55" s="11"/>
    </row>
    <row r="56" spans="1:22" s="10" customFormat="1" ht="15" customHeight="1" x14ac:dyDescent="0.25">
      <c r="A56" s="10" t="s">
        <v>66</v>
      </c>
      <c r="B56" s="11">
        <f>SUM(B57:B62)</f>
        <v>5206.5400999700032</v>
      </c>
      <c r="C56" s="11">
        <f t="shared" ref="C56:Q56" si="32">SUM(C57:C62)</f>
        <v>3798.8870992100001</v>
      </c>
      <c r="D56" s="11">
        <f t="shared" si="32"/>
        <v>4361.43316435</v>
      </c>
      <c r="E56" s="11">
        <f t="shared" ref="E56:E62" si="33">SUM(B56:D56)</f>
        <v>13366.860363530002</v>
      </c>
      <c r="F56" s="11">
        <f t="shared" si="32"/>
        <v>7115.6391302300008</v>
      </c>
      <c r="G56" s="11">
        <f t="shared" si="32"/>
        <v>5017.82788291</v>
      </c>
      <c r="H56" s="11">
        <f t="shared" si="32"/>
        <v>4464.1087296800015</v>
      </c>
      <c r="I56" s="11">
        <f t="shared" ref="I56:I62" si="34">SUM(F56:H56)</f>
        <v>16597.575742820001</v>
      </c>
      <c r="J56" s="11">
        <f t="shared" si="3"/>
        <v>29964.436106350004</v>
      </c>
      <c r="K56" s="11">
        <f t="shared" si="32"/>
        <v>5012.0838084400002</v>
      </c>
      <c r="L56" s="11">
        <f t="shared" si="32"/>
        <v>5942.6662117500018</v>
      </c>
      <c r="M56" s="11">
        <f t="shared" si="32"/>
        <v>4825.4912348800026</v>
      </c>
      <c r="N56" s="11">
        <f t="shared" ref="N56:N62" si="35">SUM(K56:M56)</f>
        <v>15780.241255070005</v>
      </c>
      <c r="O56" s="11">
        <f t="shared" si="32"/>
        <v>5184.30594604</v>
      </c>
      <c r="P56" s="11">
        <f t="shared" si="32"/>
        <v>6231.9587317500054</v>
      </c>
      <c r="Q56" s="11">
        <f t="shared" si="32"/>
        <v>7752.6457075400003</v>
      </c>
      <c r="R56" s="11">
        <f t="shared" ref="R56:R62" si="36">SUM(O56:Q56)</f>
        <v>19168.910385330004</v>
      </c>
      <c r="S56" s="11">
        <f t="shared" si="6"/>
        <v>34949.151640400007</v>
      </c>
      <c r="T56" s="11">
        <f t="shared" ref="T56:T62" si="37">+J56+S56</f>
        <v>64913.58774675001</v>
      </c>
      <c r="U56" s="11"/>
      <c r="V56" s="11"/>
    </row>
    <row r="57" spans="1:22" ht="15" customHeight="1" x14ac:dyDescent="0.3">
      <c r="A57" s="12" t="s">
        <v>67</v>
      </c>
      <c r="B57" s="8">
        <v>995.37361418000103</v>
      </c>
      <c r="C57" s="8">
        <v>720.04231383999991</v>
      </c>
      <c r="D57" s="8">
        <v>831.05144766999979</v>
      </c>
      <c r="E57" s="8">
        <f t="shared" si="33"/>
        <v>2546.4673756900011</v>
      </c>
      <c r="F57" s="8">
        <v>1578.7265491199992</v>
      </c>
      <c r="G57" s="8">
        <v>1005.6799535699994</v>
      </c>
      <c r="H57" s="8">
        <v>898.46293877999983</v>
      </c>
      <c r="I57" s="8">
        <f t="shared" si="34"/>
        <v>3482.8694414699985</v>
      </c>
      <c r="J57" s="8">
        <f t="shared" si="3"/>
        <v>6029.3368171599996</v>
      </c>
      <c r="K57" s="8">
        <v>924.84947700000021</v>
      </c>
      <c r="L57" s="8">
        <v>1160.7147973100007</v>
      </c>
      <c r="M57" s="8">
        <v>911.8650197500001</v>
      </c>
      <c r="N57" s="8">
        <f t="shared" si="35"/>
        <v>2997.4292940600008</v>
      </c>
      <c r="O57" s="8">
        <v>987.51549135000096</v>
      </c>
      <c r="P57" s="8">
        <v>1286.4427584800014</v>
      </c>
      <c r="Q57" s="8">
        <v>1354.51042229</v>
      </c>
      <c r="R57" s="8">
        <f t="shared" si="36"/>
        <v>3628.4686721200023</v>
      </c>
      <c r="S57" s="8">
        <f t="shared" si="6"/>
        <v>6625.8979661800031</v>
      </c>
      <c r="T57" s="8">
        <f t="shared" si="37"/>
        <v>12655.234783340002</v>
      </c>
      <c r="U57" s="8"/>
      <c r="V57" s="8"/>
    </row>
    <row r="58" spans="1:22" ht="15" customHeight="1" x14ac:dyDescent="0.3">
      <c r="A58" s="12" t="s">
        <v>68</v>
      </c>
      <c r="B58" s="8">
        <v>1691.0396211100003</v>
      </c>
      <c r="C58" s="8">
        <v>1147.1019231099999</v>
      </c>
      <c r="D58" s="8">
        <v>1348.4839586600001</v>
      </c>
      <c r="E58" s="8">
        <f t="shared" si="33"/>
        <v>4186.6255028800006</v>
      </c>
      <c r="F58" s="8">
        <v>1950.4029589000011</v>
      </c>
      <c r="G58" s="8">
        <v>1450.03796848</v>
      </c>
      <c r="H58" s="8">
        <v>1362.8493098399999</v>
      </c>
      <c r="I58" s="8">
        <f t="shared" si="34"/>
        <v>4763.2902372200006</v>
      </c>
      <c r="J58" s="8">
        <f t="shared" si="3"/>
        <v>8949.9157401000011</v>
      </c>
      <c r="K58" s="8">
        <v>1548.1965570699995</v>
      </c>
      <c r="L58" s="8">
        <v>1723.0901330900001</v>
      </c>
      <c r="M58" s="8">
        <v>1520.8308202400008</v>
      </c>
      <c r="N58" s="8">
        <f t="shared" si="35"/>
        <v>4792.1175104000004</v>
      </c>
      <c r="O58" s="8">
        <v>1662.3943763999994</v>
      </c>
      <c r="P58" s="8">
        <v>1782.7533991300029</v>
      </c>
      <c r="Q58" s="8">
        <v>3029.6637018000001</v>
      </c>
      <c r="R58" s="8">
        <f t="shared" si="36"/>
        <v>6474.8114773300022</v>
      </c>
      <c r="S58" s="8">
        <f t="shared" si="6"/>
        <v>11266.928987730003</v>
      </c>
      <c r="T58" s="8">
        <f t="shared" si="37"/>
        <v>20216.844727830005</v>
      </c>
      <c r="U58" s="8"/>
      <c r="V58" s="8"/>
    </row>
    <row r="59" spans="1:22" ht="15" customHeight="1" x14ac:dyDescent="0.3">
      <c r="A59" s="12" t="s">
        <v>69</v>
      </c>
      <c r="B59" s="8">
        <v>1782.0576337500013</v>
      </c>
      <c r="C59" s="8">
        <v>1389.6924453600002</v>
      </c>
      <c r="D59" s="8">
        <v>1552.0925507299999</v>
      </c>
      <c r="E59" s="8">
        <f t="shared" si="33"/>
        <v>4723.8426298400009</v>
      </c>
      <c r="F59" s="8">
        <v>2671.3576748700011</v>
      </c>
      <c r="G59" s="8">
        <v>1871.8559771400007</v>
      </c>
      <c r="H59" s="8">
        <v>1530.5111713400006</v>
      </c>
      <c r="I59" s="8">
        <f t="shared" si="34"/>
        <v>6073.7248233500031</v>
      </c>
      <c r="J59" s="8">
        <f t="shared" si="3"/>
        <v>10797.567453190004</v>
      </c>
      <c r="K59" s="8">
        <v>1795.9502036000003</v>
      </c>
      <c r="L59" s="8">
        <v>2253.8211462400013</v>
      </c>
      <c r="M59" s="8">
        <v>1707.3095672100008</v>
      </c>
      <c r="N59" s="8">
        <f t="shared" si="35"/>
        <v>5757.0809170500024</v>
      </c>
      <c r="O59" s="8">
        <v>1830.2002328500002</v>
      </c>
      <c r="P59" s="8">
        <v>2352.924365750001</v>
      </c>
      <c r="Q59" s="8">
        <v>2218.6945497200004</v>
      </c>
      <c r="R59" s="8">
        <f t="shared" si="36"/>
        <v>6401.8191483200017</v>
      </c>
      <c r="S59" s="8">
        <f t="shared" si="6"/>
        <v>12158.900065370004</v>
      </c>
      <c r="T59" s="8">
        <f t="shared" si="37"/>
        <v>22956.467518560006</v>
      </c>
      <c r="U59" s="8"/>
      <c r="V59" s="8"/>
    </row>
    <row r="60" spans="1:22" ht="15" customHeight="1" x14ac:dyDescent="0.3">
      <c r="A60" s="12" t="s">
        <v>70</v>
      </c>
      <c r="B60" s="8">
        <v>54.248417009999997</v>
      </c>
      <c r="C60" s="8">
        <v>36.708323579999991</v>
      </c>
      <c r="D60" s="8">
        <v>39.897717930000013</v>
      </c>
      <c r="E60" s="8">
        <f t="shared" si="33"/>
        <v>130.85445851999998</v>
      </c>
      <c r="F60" s="8">
        <v>64.903512620000043</v>
      </c>
      <c r="G60" s="8">
        <v>40.717372570000002</v>
      </c>
      <c r="H60" s="8">
        <v>50.80130016999999</v>
      </c>
      <c r="I60" s="8">
        <f t="shared" si="34"/>
        <v>156.42218536000004</v>
      </c>
      <c r="J60" s="8">
        <f t="shared" si="3"/>
        <v>287.27664388000005</v>
      </c>
      <c r="K60" s="8">
        <v>52.684116240000016</v>
      </c>
      <c r="L60" s="8">
        <v>50.471496120000005</v>
      </c>
      <c r="M60" s="8">
        <v>51.288749360000004</v>
      </c>
      <c r="N60" s="8">
        <f t="shared" si="35"/>
        <v>154.44436172000002</v>
      </c>
      <c r="O60" s="8">
        <v>48.765913210000008</v>
      </c>
      <c r="P60" s="8">
        <v>55.293543380000003</v>
      </c>
      <c r="Q60" s="8">
        <v>47.45832411</v>
      </c>
      <c r="R60" s="8">
        <f t="shared" si="36"/>
        <v>151.5177807</v>
      </c>
      <c r="S60" s="8">
        <f t="shared" si="6"/>
        <v>305.96214242000002</v>
      </c>
      <c r="T60" s="8">
        <f t="shared" si="37"/>
        <v>593.23878630000013</v>
      </c>
      <c r="U60" s="8"/>
      <c r="V60" s="8"/>
    </row>
    <row r="61" spans="1:22" ht="18" customHeight="1" x14ac:dyDescent="0.3">
      <c r="A61" s="12" t="s">
        <v>71</v>
      </c>
      <c r="B61" s="8">
        <v>378.54146636999991</v>
      </c>
      <c r="C61" s="8">
        <v>299.13908257999992</v>
      </c>
      <c r="D61" s="8">
        <v>336.13823097999995</v>
      </c>
      <c r="E61" s="8">
        <f t="shared" si="33"/>
        <v>1013.8187799299997</v>
      </c>
      <c r="F61" s="8">
        <v>508.13471382000023</v>
      </c>
      <c r="G61" s="8">
        <v>369.44923051000006</v>
      </c>
      <c r="H61" s="8">
        <v>361.94433691000012</v>
      </c>
      <c r="I61" s="8">
        <f t="shared" si="34"/>
        <v>1239.5282812400005</v>
      </c>
      <c r="J61" s="8">
        <f t="shared" si="3"/>
        <v>2253.3470611700004</v>
      </c>
      <c r="K61" s="8">
        <v>386.38336250999993</v>
      </c>
      <c r="L61" s="8">
        <v>441.77577778</v>
      </c>
      <c r="M61" s="8">
        <v>355.03235979000033</v>
      </c>
      <c r="N61" s="8">
        <f t="shared" si="35"/>
        <v>1183.1915000800002</v>
      </c>
      <c r="O61" s="8">
        <v>372.12884667999981</v>
      </c>
      <c r="P61" s="8">
        <v>431.34742706000031</v>
      </c>
      <c r="Q61" s="8">
        <v>794.29099986999995</v>
      </c>
      <c r="R61" s="8">
        <f t="shared" si="36"/>
        <v>1597.7672736100001</v>
      </c>
      <c r="S61" s="8">
        <f t="shared" si="6"/>
        <v>2780.9587736900003</v>
      </c>
      <c r="T61" s="8">
        <f t="shared" si="37"/>
        <v>5034.3058348600007</v>
      </c>
      <c r="U61" s="8"/>
      <c r="V61" s="8"/>
    </row>
    <row r="62" spans="1:22" ht="18" customHeight="1" x14ac:dyDescent="0.3">
      <c r="A62" s="12" t="s">
        <v>72</v>
      </c>
      <c r="B62" s="8">
        <v>305.27934755000001</v>
      </c>
      <c r="C62" s="8">
        <v>206.20301073999988</v>
      </c>
      <c r="D62" s="8">
        <v>253.76925838000002</v>
      </c>
      <c r="E62" s="8">
        <f t="shared" si="33"/>
        <v>765.25161666999986</v>
      </c>
      <c r="F62" s="8">
        <v>342.11372089999981</v>
      </c>
      <c r="G62" s="8">
        <v>280.08738063999994</v>
      </c>
      <c r="H62" s="8">
        <v>259.53967264000011</v>
      </c>
      <c r="I62" s="8">
        <f t="shared" si="34"/>
        <v>881.74077417999979</v>
      </c>
      <c r="J62" s="8">
        <f t="shared" si="3"/>
        <v>1646.9923908499995</v>
      </c>
      <c r="K62" s="8">
        <v>304.02009202000028</v>
      </c>
      <c r="L62" s="8">
        <v>312.79286120999996</v>
      </c>
      <c r="M62" s="8">
        <v>279.16471852999996</v>
      </c>
      <c r="N62" s="8">
        <f t="shared" si="35"/>
        <v>895.97767176000013</v>
      </c>
      <c r="O62" s="8">
        <v>283.3010855499997</v>
      </c>
      <c r="P62" s="8">
        <v>323.19723794999993</v>
      </c>
      <c r="Q62" s="8">
        <v>308.02770974999999</v>
      </c>
      <c r="R62" s="8">
        <f t="shared" si="36"/>
        <v>914.52603324999961</v>
      </c>
      <c r="S62" s="8">
        <f t="shared" si="6"/>
        <v>1810.5037050099997</v>
      </c>
      <c r="T62" s="8">
        <f t="shared" si="37"/>
        <v>3457.4960958599995</v>
      </c>
      <c r="U62" s="8"/>
      <c r="V62" s="8"/>
    </row>
    <row r="63" spans="1:22" s="10" customFormat="1" ht="15" customHeight="1" x14ac:dyDescent="0.3">
      <c r="A63" s="3"/>
      <c r="B63" s="11"/>
      <c r="C63" s="11"/>
      <c r="D63" s="11"/>
      <c r="E63" s="11"/>
      <c r="F63" s="11"/>
      <c r="G63" s="11"/>
      <c r="H63" s="11"/>
      <c r="I63" s="11"/>
      <c r="J63" s="11"/>
      <c r="K63" s="11"/>
      <c r="L63" s="11"/>
      <c r="M63" s="11"/>
      <c r="N63" s="11"/>
      <c r="O63" s="11"/>
      <c r="P63" s="11"/>
      <c r="Q63" s="11"/>
      <c r="R63" s="11"/>
      <c r="S63" s="11"/>
      <c r="T63" s="11"/>
      <c r="U63" s="11"/>
      <c r="V63" s="11"/>
    </row>
    <row r="64" spans="1:22" s="10" customFormat="1" ht="15" customHeight="1" x14ac:dyDescent="0.25">
      <c r="A64" s="10" t="s">
        <v>73</v>
      </c>
      <c r="B64" s="11">
        <f>SUM(B65:B69)</f>
        <v>593.80649862999985</v>
      </c>
      <c r="C64" s="11">
        <f t="shared" ref="C64:Q64" si="38">SUM(C65:C69)</f>
        <v>381.27686240000003</v>
      </c>
      <c r="D64" s="11">
        <f t="shared" si="38"/>
        <v>417.02294642999993</v>
      </c>
      <c r="E64" s="11">
        <f t="shared" ref="E64:E69" si="39">SUM(B64:D64)</f>
        <v>1392.1063074599997</v>
      </c>
      <c r="F64" s="11">
        <f t="shared" si="38"/>
        <v>642.80016695000018</v>
      </c>
      <c r="G64" s="11">
        <f t="shared" si="38"/>
        <v>449.60600316999989</v>
      </c>
      <c r="H64" s="11">
        <f t="shared" si="38"/>
        <v>494.75659455999988</v>
      </c>
      <c r="I64" s="11">
        <f t="shared" ref="I64:I69" si="40">SUM(F64:H64)</f>
        <v>1587.16276468</v>
      </c>
      <c r="J64" s="11">
        <f t="shared" si="3"/>
        <v>2979.2690721399995</v>
      </c>
      <c r="K64" s="11">
        <f t="shared" si="38"/>
        <v>542.80837179000002</v>
      </c>
      <c r="L64" s="11">
        <f t="shared" si="38"/>
        <v>574.9512990500001</v>
      </c>
      <c r="M64" s="11">
        <f t="shared" si="38"/>
        <v>475.69923418000013</v>
      </c>
      <c r="N64" s="11">
        <f t="shared" ref="N64:N69" si="41">SUM(K64:M64)</f>
        <v>1593.4589050200002</v>
      </c>
      <c r="O64" s="11">
        <f t="shared" si="38"/>
        <v>527.59500225999989</v>
      </c>
      <c r="P64" s="11">
        <f t="shared" si="38"/>
        <v>533.17388854000001</v>
      </c>
      <c r="Q64" s="11">
        <f t="shared" si="38"/>
        <v>587.88623347999999</v>
      </c>
      <c r="R64" s="11">
        <f t="shared" ref="R64:R69" si="42">SUM(O64:Q64)</f>
        <v>1648.6551242800001</v>
      </c>
      <c r="S64" s="11">
        <f t="shared" si="6"/>
        <v>3242.1140293000003</v>
      </c>
      <c r="T64" s="11">
        <f t="shared" ref="T64:T69" si="43">+J64+S64</f>
        <v>6221.3831014400002</v>
      </c>
      <c r="U64" s="11"/>
      <c r="V64" s="11"/>
    </row>
    <row r="65" spans="1:22" ht="15" customHeight="1" x14ac:dyDescent="0.3">
      <c r="A65" s="12" t="s">
        <v>74</v>
      </c>
      <c r="B65" s="8">
        <v>39.851946840000011</v>
      </c>
      <c r="C65" s="8">
        <v>18.375228679999999</v>
      </c>
      <c r="D65" s="8">
        <v>21.26931815999999</v>
      </c>
      <c r="E65" s="8">
        <f t="shared" si="39"/>
        <v>79.49649368</v>
      </c>
      <c r="F65" s="8">
        <v>35.438284430000003</v>
      </c>
      <c r="G65" s="8">
        <v>23.154523870000006</v>
      </c>
      <c r="H65" s="8">
        <v>29.195059130000004</v>
      </c>
      <c r="I65" s="8">
        <f t="shared" si="40"/>
        <v>87.787867430000006</v>
      </c>
      <c r="J65" s="8">
        <f t="shared" si="3"/>
        <v>167.28436111000002</v>
      </c>
      <c r="K65" s="8">
        <v>28.943952320000008</v>
      </c>
      <c r="L65" s="8">
        <v>33.122945669999993</v>
      </c>
      <c r="M65" s="8">
        <v>25.346381209999993</v>
      </c>
      <c r="N65" s="8">
        <f t="shared" si="41"/>
        <v>87.413279199999991</v>
      </c>
      <c r="O65" s="8">
        <v>29.190518119999997</v>
      </c>
      <c r="P65" s="8">
        <v>28.839598950000003</v>
      </c>
      <c r="Q65" s="8">
        <v>32.220588120000002</v>
      </c>
      <c r="R65" s="8">
        <f t="shared" si="42"/>
        <v>90.250705190000005</v>
      </c>
      <c r="S65" s="8">
        <f t="shared" si="6"/>
        <v>177.66398439</v>
      </c>
      <c r="T65" s="8">
        <f t="shared" si="43"/>
        <v>344.94834550000002</v>
      </c>
      <c r="U65" s="8"/>
      <c r="V65" s="8"/>
    </row>
    <row r="66" spans="1:22" ht="15" customHeight="1" x14ac:dyDescent="0.3">
      <c r="A66" s="12" t="s">
        <v>75</v>
      </c>
      <c r="B66" s="8">
        <v>51.709499920000006</v>
      </c>
      <c r="C66" s="8">
        <v>46.865201929999991</v>
      </c>
      <c r="D66" s="8">
        <v>46.955436899999988</v>
      </c>
      <c r="E66" s="8">
        <f t="shared" si="39"/>
        <v>145.53013874999999</v>
      </c>
      <c r="F66" s="8">
        <v>80.524717480000021</v>
      </c>
      <c r="G66" s="8">
        <v>45.313587349999999</v>
      </c>
      <c r="H66" s="8">
        <v>62.443922110000017</v>
      </c>
      <c r="I66" s="8">
        <f t="shared" si="40"/>
        <v>188.28222694000004</v>
      </c>
      <c r="J66" s="8">
        <f t="shared" si="3"/>
        <v>333.81236569000004</v>
      </c>
      <c r="K66" s="8">
        <v>57.545453849999994</v>
      </c>
      <c r="L66" s="8">
        <v>73.904116480000013</v>
      </c>
      <c r="M66" s="8">
        <v>50.630214759999987</v>
      </c>
      <c r="N66" s="8">
        <f t="shared" si="41"/>
        <v>182.07978508999997</v>
      </c>
      <c r="O66" s="8">
        <v>70.665810960000002</v>
      </c>
      <c r="P66" s="8">
        <v>62.101912139999989</v>
      </c>
      <c r="Q66" s="8">
        <v>85.089387489999993</v>
      </c>
      <c r="R66" s="8">
        <f t="shared" si="42"/>
        <v>217.85711058999999</v>
      </c>
      <c r="S66" s="8">
        <f t="shared" si="6"/>
        <v>399.93689567999996</v>
      </c>
      <c r="T66" s="8">
        <f t="shared" si="43"/>
        <v>733.74926137</v>
      </c>
      <c r="U66" s="8"/>
      <c r="V66" s="8"/>
    </row>
    <row r="67" spans="1:22" ht="15" customHeight="1" x14ac:dyDescent="0.3">
      <c r="A67" s="12" t="s">
        <v>76</v>
      </c>
      <c r="B67" s="8">
        <v>152.47976686999999</v>
      </c>
      <c r="C67" s="8">
        <v>91.177594150000004</v>
      </c>
      <c r="D67" s="8">
        <v>110.00159103999995</v>
      </c>
      <c r="E67" s="8">
        <f t="shared" si="39"/>
        <v>353.65895205999993</v>
      </c>
      <c r="F67" s="8">
        <v>168.82532971000003</v>
      </c>
      <c r="G67" s="8">
        <v>112.25975362999996</v>
      </c>
      <c r="H67" s="8">
        <v>119.56012769</v>
      </c>
      <c r="I67" s="8">
        <f t="shared" si="40"/>
        <v>400.64521102999998</v>
      </c>
      <c r="J67" s="8">
        <f t="shared" si="3"/>
        <v>754.30416308999997</v>
      </c>
      <c r="K67" s="8">
        <v>131.81658185999999</v>
      </c>
      <c r="L67" s="8">
        <v>144.51217493999999</v>
      </c>
      <c r="M67" s="8">
        <v>134.90176305</v>
      </c>
      <c r="N67" s="8">
        <f t="shared" si="41"/>
        <v>411.23051984999995</v>
      </c>
      <c r="O67" s="8">
        <v>131.87778839999996</v>
      </c>
      <c r="P67" s="8">
        <v>148.5387517800001</v>
      </c>
      <c r="Q67" s="8">
        <v>146.65185119999998</v>
      </c>
      <c r="R67" s="8">
        <f t="shared" si="42"/>
        <v>427.06839138000009</v>
      </c>
      <c r="S67" s="8">
        <f t="shared" si="6"/>
        <v>838.29891123000004</v>
      </c>
      <c r="T67" s="8">
        <f t="shared" si="43"/>
        <v>1592.6030743199999</v>
      </c>
      <c r="U67" s="8"/>
      <c r="V67" s="8"/>
    </row>
    <row r="68" spans="1:22" ht="15" customHeight="1" x14ac:dyDescent="0.3">
      <c r="A68" s="12" t="s">
        <v>77</v>
      </c>
      <c r="B68" s="8">
        <v>308.81346718999993</v>
      </c>
      <c r="C68" s="8">
        <v>197.18598702000003</v>
      </c>
      <c r="D68" s="8">
        <v>209.18062295000001</v>
      </c>
      <c r="E68" s="8">
        <f t="shared" si="39"/>
        <v>715.18007716</v>
      </c>
      <c r="F68" s="8">
        <v>319.51449345000009</v>
      </c>
      <c r="G68" s="8">
        <v>237.35652989999997</v>
      </c>
      <c r="H68" s="8">
        <v>245.35961148999988</v>
      </c>
      <c r="I68" s="8">
        <f t="shared" si="40"/>
        <v>802.23063483999999</v>
      </c>
      <c r="J68" s="8">
        <f t="shared" si="3"/>
        <v>1517.4107119999999</v>
      </c>
      <c r="K68" s="8">
        <v>275.79947229999999</v>
      </c>
      <c r="L68" s="8">
        <v>279.53289037000013</v>
      </c>
      <c r="M68" s="8">
        <v>235.90039547000018</v>
      </c>
      <c r="N68" s="8">
        <f t="shared" si="41"/>
        <v>791.23275814000021</v>
      </c>
      <c r="O68" s="8">
        <v>255.89566717999998</v>
      </c>
      <c r="P68" s="8">
        <v>256.44033313999995</v>
      </c>
      <c r="Q68" s="8">
        <v>271.11542307999997</v>
      </c>
      <c r="R68" s="8">
        <f t="shared" si="42"/>
        <v>783.45142339999984</v>
      </c>
      <c r="S68" s="8">
        <f t="shared" si="6"/>
        <v>1574.6841815400001</v>
      </c>
      <c r="T68" s="8">
        <f t="shared" si="43"/>
        <v>3092.0948935400002</v>
      </c>
      <c r="U68" s="8"/>
      <c r="V68" s="8"/>
    </row>
    <row r="69" spans="1:22" ht="15" customHeight="1" x14ac:dyDescent="0.3">
      <c r="A69" s="12" t="s">
        <v>78</v>
      </c>
      <c r="B69" s="8">
        <v>40.951817810000001</v>
      </c>
      <c r="C69" s="8">
        <v>27.672850620000006</v>
      </c>
      <c r="D69" s="8">
        <v>29.615977379999997</v>
      </c>
      <c r="E69" s="8">
        <f t="shared" si="39"/>
        <v>98.240645810000018</v>
      </c>
      <c r="F69" s="8">
        <v>38.49734188</v>
      </c>
      <c r="G69" s="8">
        <v>31.52160842</v>
      </c>
      <c r="H69" s="8">
        <v>38.197874140000003</v>
      </c>
      <c r="I69" s="8">
        <f t="shared" si="40"/>
        <v>108.21682444000001</v>
      </c>
      <c r="J69" s="8">
        <f t="shared" si="3"/>
        <v>206.45747025000003</v>
      </c>
      <c r="K69" s="8">
        <v>48.702911460000003</v>
      </c>
      <c r="L69" s="8">
        <v>43.879171589999991</v>
      </c>
      <c r="M69" s="8">
        <v>28.920479689999997</v>
      </c>
      <c r="N69" s="8">
        <f t="shared" si="41"/>
        <v>121.50256273999999</v>
      </c>
      <c r="O69" s="8">
        <v>39.96521760000001</v>
      </c>
      <c r="P69" s="8">
        <v>37.253292529999996</v>
      </c>
      <c r="Q69" s="8">
        <v>52.808983590000004</v>
      </c>
      <c r="R69" s="8">
        <f t="shared" si="42"/>
        <v>130.02749372</v>
      </c>
      <c r="S69" s="8">
        <f t="shared" si="6"/>
        <v>251.53005645999997</v>
      </c>
      <c r="T69" s="8">
        <f t="shared" si="43"/>
        <v>457.98752671</v>
      </c>
      <c r="U69" s="8"/>
      <c r="V69" s="8"/>
    </row>
    <row r="70" spans="1:22" s="10" customFormat="1" ht="15" customHeight="1" x14ac:dyDescent="0.3">
      <c r="A70" s="3"/>
      <c r="B70" s="11"/>
      <c r="C70" s="11"/>
      <c r="D70" s="11"/>
      <c r="E70" s="11"/>
      <c r="F70" s="11"/>
      <c r="G70" s="11"/>
      <c r="H70" s="11"/>
      <c r="I70" s="11"/>
      <c r="J70" s="11"/>
      <c r="K70" s="11"/>
      <c r="L70" s="11"/>
      <c r="M70" s="11"/>
      <c r="N70" s="11"/>
      <c r="O70" s="11"/>
      <c r="P70" s="11"/>
      <c r="Q70" s="11"/>
      <c r="R70" s="11"/>
      <c r="S70" s="11"/>
      <c r="T70" s="11"/>
      <c r="U70" s="11"/>
      <c r="V70" s="11"/>
    </row>
    <row r="71" spans="1:22" s="10" customFormat="1" ht="15" customHeight="1" x14ac:dyDescent="0.25">
      <c r="A71" s="10" t="s">
        <v>79</v>
      </c>
      <c r="B71" s="11">
        <f>SUM(B72:B77)</f>
        <v>1019.3933132</v>
      </c>
      <c r="C71" s="11">
        <f t="shared" ref="C71:Q71" si="44">SUM(C72:C77)</f>
        <v>645.16656142000011</v>
      </c>
      <c r="D71" s="11">
        <f t="shared" si="44"/>
        <v>748.06990195999981</v>
      </c>
      <c r="E71" s="11">
        <f t="shared" ref="E71:E77" si="45">SUM(B71:D71)</f>
        <v>2412.62977658</v>
      </c>
      <c r="F71" s="11">
        <f t="shared" si="44"/>
        <v>1061.6340459</v>
      </c>
      <c r="G71" s="11">
        <f t="shared" si="44"/>
        <v>821.39962289000016</v>
      </c>
      <c r="H71" s="11">
        <f t="shared" si="44"/>
        <v>847.37206298000012</v>
      </c>
      <c r="I71" s="11">
        <f t="shared" ref="I71:I77" si="46">SUM(F71:H71)</f>
        <v>2730.4057317700003</v>
      </c>
      <c r="J71" s="11">
        <f t="shared" si="3"/>
        <v>5143.0355083499999</v>
      </c>
      <c r="K71" s="11">
        <f t="shared" si="44"/>
        <v>905.82611379000002</v>
      </c>
      <c r="L71" s="11">
        <f t="shared" si="44"/>
        <v>876.27969915999995</v>
      </c>
      <c r="M71" s="11">
        <f t="shared" si="44"/>
        <v>885.83597849</v>
      </c>
      <c r="N71" s="11">
        <f t="shared" ref="N71:N77" si="47">SUM(K71:M71)</f>
        <v>2667.9417914400001</v>
      </c>
      <c r="O71" s="11">
        <f t="shared" si="44"/>
        <v>931.10550160000003</v>
      </c>
      <c r="P71" s="11">
        <f t="shared" si="44"/>
        <v>1009.0359201399997</v>
      </c>
      <c r="Q71" s="11">
        <f t="shared" si="44"/>
        <v>1050.1815439700001</v>
      </c>
      <c r="R71" s="11">
        <f t="shared" ref="R71:R77" si="48">SUM(O71:Q71)</f>
        <v>2990.3229657100001</v>
      </c>
      <c r="S71" s="11">
        <f t="shared" si="6"/>
        <v>5658.2647571500002</v>
      </c>
      <c r="T71" s="11">
        <f t="shared" ref="T71:T77" si="49">+J71+S71</f>
        <v>10801.3002655</v>
      </c>
      <c r="U71" s="11"/>
      <c r="V71" s="11"/>
    </row>
    <row r="72" spans="1:22" ht="15" customHeight="1" x14ac:dyDescent="0.3">
      <c r="A72" s="12" t="s">
        <v>80</v>
      </c>
      <c r="B72" s="8">
        <v>404.73058304999995</v>
      </c>
      <c r="C72" s="8">
        <v>209.06774346000009</v>
      </c>
      <c r="D72" s="8">
        <v>244.45773139000002</v>
      </c>
      <c r="E72" s="8">
        <f t="shared" si="45"/>
        <v>858.25605790000009</v>
      </c>
      <c r="F72" s="8">
        <v>390.35906915999999</v>
      </c>
      <c r="G72" s="8">
        <v>252.98202403999997</v>
      </c>
      <c r="H72" s="8">
        <v>310.93549547000015</v>
      </c>
      <c r="I72" s="8">
        <f t="shared" si="46"/>
        <v>954.27658867000014</v>
      </c>
      <c r="J72" s="8">
        <f t="shared" ref="J72:J77" si="50">+E72+I72</f>
        <v>1812.5326465700002</v>
      </c>
      <c r="K72" s="8">
        <v>319.92495531999992</v>
      </c>
      <c r="L72" s="8">
        <v>295.40891152999995</v>
      </c>
      <c r="M72" s="8">
        <v>319.50869749999987</v>
      </c>
      <c r="N72" s="8">
        <f t="shared" si="47"/>
        <v>934.84256434999975</v>
      </c>
      <c r="O72" s="8">
        <v>316.62084731999994</v>
      </c>
      <c r="P72" s="8">
        <v>332.44095173999983</v>
      </c>
      <c r="Q72" s="8">
        <v>347.71525245000004</v>
      </c>
      <c r="R72" s="8">
        <f t="shared" si="48"/>
        <v>996.77705150999986</v>
      </c>
      <c r="S72" s="8">
        <f t="shared" ref="S72:S77" si="51">+N72+R72</f>
        <v>1931.6196158599996</v>
      </c>
      <c r="T72" s="8">
        <f t="shared" si="49"/>
        <v>3744.1522624299996</v>
      </c>
      <c r="U72" s="8"/>
      <c r="V72" s="8"/>
    </row>
    <row r="73" spans="1:22" ht="15" customHeight="1" x14ac:dyDescent="0.3">
      <c r="A73" s="12" t="s">
        <v>81</v>
      </c>
      <c r="B73" s="8">
        <v>53.399502170000005</v>
      </c>
      <c r="C73" s="8">
        <v>58.969898310000005</v>
      </c>
      <c r="D73" s="8">
        <v>71.110110800000001</v>
      </c>
      <c r="E73" s="8">
        <f t="shared" si="45"/>
        <v>183.47951128</v>
      </c>
      <c r="F73" s="8">
        <v>84.397678880000015</v>
      </c>
      <c r="G73" s="8">
        <v>69.884846910000022</v>
      </c>
      <c r="H73" s="8">
        <v>64.225358619999994</v>
      </c>
      <c r="I73" s="8">
        <f t="shared" si="46"/>
        <v>218.50788441000003</v>
      </c>
      <c r="J73" s="8">
        <f t="shared" si="50"/>
        <v>401.98739569000003</v>
      </c>
      <c r="K73" s="8">
        <v>76.684723020000007</v>
      </c>
      <c r="L73" s="8">
        <v>75.117938900000013</v>
      </c>
      <c r="M73" s="8">
        <v>72.518928970000019</v>
      </c>
      <c r="N73" s="8">
        <f t="shared" si="47"/>
        <v>224.32159089000004</v>
      </c>
      <c r="O73" s="8">
        <v>65.357067859999972</v>
      </c>
      <c r="P73" s="8">
        <v>97.023883619999978</v>
      </c>
      <c r="Q73" s="8">
        <v>92.449807270000008</v>
      </c>
      <c r="R73" s="8">
        <f t="shared" si="48"/>
        <v>254.83075874999997</v>
      </c>
      <c r="S73" s="8">
        <f t="shared" si="51"/>
        <v>479.15234964000001</v>
      </c>
      <c r="T73" s="8">
        <f t="shared" si="49"/>
        <v>881.1397453300001</v>
      </c>
      <c r="U73" s="8"/>
      <c r="V73" s="8"/>
    </row>
    <row r="74" spans="1:22" ht="15" customHeight="1" x14ac:dyDescent="0.3">
      <c r="A74" s="12" t="s">
        <v>82</v>
      </c>
      <c r="B74" s="8">
        <v>312.85987274000001</v>
      </c>
      <c r="C74" s="8">
        <v>230.33856876999997</v>
      </c>
      <c r="D74" s="8">
        <v>261.86195215999987</v>
      </c>
      <c r="E74" s="8">
        <f t="shared" si="45"/>
        <v>805.06039366999983</v>
      </c>
      <c r="F74" s="8">
        <v>341.42189436000001</v>
      </c>
      <c r="G74" s="8">
        <v>313.08031989</v>
      </c>
      <c r="H74" s="8">
        <v>271.83310605999998</v>
      </c>
      <c r="I74" s="8">
        <f t="shared" si="46"/>
        <v>926.33532030999993</v>
      </c>
      <c r="J74" s="8">
        <f t="shared" si="50"/>
        <v>1731.3957139799998</v>
      </c>
      <c r="K74" s="8">
        <v>297.58863767000003</v>
      </c>
      <c r="L74" s="8">
        <v>293.59878282999995</v>
      </c>
      <c r="M74" s="8">
        <v>275.64682801000015</v>
      </c>
      <c r="N74" s="8">
        <f t="shared" si="47"/>
        <v>866.83424851000007</v>
      </c>
      <c r="O74" s="8">
        <v>316.22587947000017</v>
      </c>
      <c r="P74" s="8">
        <v>343.22763197999996</v>
      </c>
      <c r="Q74" s="8">
        <v>337.27721441</v>
      </c>
      <c r="R74" s="8">
        <f t="shared" si="48"/>
        <v>996.73072586000012</v>
      </c>
      <c r="S74" s="8">
        <f t="shared" si="51"/>
        <v>1863.5649743700001</v>
      </c>
      <c r="T74" s="8">
        <f t="shared" si="49"/>
        <v>3594.9606883500001</v>
      </c>
      <c r="U74" s="8"/>
      <c r="V74" s="8"/>
    </row>
    <row r="75" spans="1:22" ht="15" customHeight="1" x14ac:dyDescent="0.3">
      <c r="A75" s="12" t="s">
        <v>83</v>
      </c>
      <c r="B75" s="8">
        <v>48.947568679999989</v>
      </c>
      <c r="C75" s="8">
        <v>32.456061560000002</v>
      </c>
      <c r="D75" s="8">
        <v>37.617660530000002</v>
      </c>
      <c r="E75" s="8">
        <f t="shared" si="45"/>
        <v>119.02129076999998</v>
      </c>
      <c r="F75" s="8">
        <v>57.320097879999999</v>
      </c>
      <c r="G75" s="8">
        <v>40.341255839999995</v>
      </c>
      <c r="H75" s="8">
        <v>39.098742849999994</v>
      </c>
      <c r="I75" s="8">
        <f t="shared" si="46"/>
        <v>136.76009656999997</v>
      </c>
      <c r="J75" s="8">
        <f t="shared" si="50"/>
        <v>255.78138733999995</v>
      </c>
      <c r="K75" s="8">
        <v>47.493506750000002</v>
      </c>
      <c r="L75" s="8">
        <v>48.604028500000005</v>
      </c>
      <c r="M75" s="8">
        <v>46.322878129999992</v>
      </c>
      <c r="N75" s="8">
        <f t="shared" si="47"/>
        <v>142.42041338000001</v>
      </c>
      <c r="O75" s="8">
        <v>48.128918980000002</v>
      </c>
      <c r="P75" s="8">
        <v>59.561125799999992</v>
      </c>
      <c r="Q75" s="8">
        <v>60.504805159999997</v>
      </c>
      <c r="R75" s="8">
        <f t="shared" si="48"/>
        <v>168.19484993999998</v>
      </c>
      <c r="S75" s="8">
        <f t="shared" si="51"/>
        <v>310.61526332</v>
      </c>
      <c r="T75" s="8">
        <f t="shared" si="49"/>
        <v>566.39665065999998</v>
      </c>
      <c r="U75" s="8"/>
      <c r="V75" s="8"/>
    </row>
    <row r="76" spans="1:22" ht="15" customHeight="1" x14ac:dyDescent="0.3">
      <c r="A76" s="12" t="s">
        <v>84</v>
      </c>
      <c r="B76" s="8">
        <v>95.416956960000007</v>
      </c>
      <c r="C76" s="8">
        <v>53.070971739999997</v>
      </c>
      <c r="D76" s="8">
        <v>64.193893929999987</v>
      </c>
      <c r="E76" s="8">
        <f t="shared" si="45"/>
        <v>212.68182263</v>
      </c>
      <c r="F76" s="8">
        <v>87.002652170000005</v>
      </c>
      <c r="G76" s="8">
        <v>64.910832880000015</v>
      </c>
      <c r="H76" s="8">
        <v>65.256272620000004</v>
      </c>
      <c r="I76" s="8">
        <f t="shared" si="46"/>
        <v>217.16975767000002</v>
      </c>
      <c r="J76" s="8">
        <f t="shared" si="50"/>
        <v>429.85158030000002</v>
      </c>
      <c r="K76" s="8">
        <v>78.58472550999997</v>
      </c>
      <c r="L76" s="8">
        <v>69.209987639999994</v>
      </c>
      <c r="M76" s="8">
        <v>64.754348190000002</v>
      </c>
      <c r="N76" s="8">
        <f t="shared" si="47"/>
        <v>212.54906133999995</v>
      </c>
      <c r="O76" s="8">
        <v>76.152944649999981</v>
      </c>
      <c r="P76" s="8">
        <v>72.410233870000013</v>
      </c>
      <c r="Q76" s="8">
        <v>89.28215637000001</v>
      </c>
      <c r="R76" s="8">
        <f t="shared" si="48"/>
        <v>237.84533489</v>
      </c>
      <c r="S76" s="8">
        <f t="shared" si="51"/>
        <v>450.39439622999998</v>
      </c>
      <c r="T76" s="8">
        <f t="shared" si="49"/>
        <v>880.24597653000001</v>
      </c>
      <c r="U76" s="8"/>
      <c r="V76" s="8"/>
    </row>
    <row r="77" spans="1:22" ht="15" customHeight="1" x14ac:dyDescent="0.3">
      <c r="A77" s="12" t="s">
        <v>85</v>
      </c>
      <c r="B77" s="8">
        <v>104.03882959999997</v>
      </c>
      <c r="C77" s="8">
        <v>61.263317579999999</v>
      </c>
      <c r="D77" s="8">
        <v>68.828553150000033</v>
      </c>
      <c r="E77" s="8">
        <f t="shared" si="45"/>
        <v>234.13070033</v>
      </c>
      <c r="F77" s="8">
        <v>101.13265345000003</v>
      </c>
      <c r="G77" s="8">
        <v>80.20034333000001</v>
      </c>
      <c r="H77" s="8">
        <v>96.023087360000005</v>
      </c>
      <c r="I77" s="8">
        <f t="shared" si="46"/>
        <v>277.35608414000001</v>
      </c>
      <c r="J77" s="8">
        <f t="shared" si="50"/>
        <v>511.48678446999998</v>
      </c>
      <c r="K77" s="8">
        <v>85.549565519999945</v>
      </c>
      <c r="L77" s="8">
        <v>94.340049760000014</v>
      </c>
      <c r="M77" s="8">
        <v>107.08429769</v>
      </c>
      <c r="N77" s="8">
        <f t="shared" si="47"/>
        <v>286.97391296999996</v>
      </c>
      <c r="O77" s="8">
        <v>108.61984332000003</v>
      </c>
      <c r="P77" s="8">
        <v>104.37209312999997</v>
      </c>
      <c r="Q77" s="8">
        <v>122.95230830999999</v>
      </c>
      <c r="R77" s="8">
        <f t="shared" si="48"/>
        <v>335.94424476</v>
      </c>
      <c r="S77" s="8">
        <f t="shared" si="51"/>
        <v>622.91815772999996</v>
      </c>
      <c r="T77" s="8">
        <f t="shared" si="49"/>
        <v>1134.4049421999998</v>
      </c>
      <c r="U77" s="8"/>
      <c r="V77" s="8"/>
    </row>
    <row r="78" spans="1:22" s="10" customFormat="1" ht="15" customHeight="1" x14ac:dyDescent="0.3">
      <c r="A78" s="3"/>
      <c r="B78" s="11"/>
      <c r="C78" s="11"/>
      <c r="D78" s="11"/>
      <c r="E78" s="11"/>
      <c r="F78" s="11"/>
      <c r="G78" s="11"/>
      <c r="H78" s="11"/>
      <c r="I78" s="11"/>
      <c r="J78" s="11"/>
      <c r="K78" s="11"/>
      <c r="L78" s="11"/>
      <c r="M78" s="11"/>
      <c r="N78" s="11"/>
      <c r="O78" s="11"/>
      <c r="P78" s="11"/>
      <c r="Q78" s="11"/>
      <c r="R78" s="11"/>
      <c r="S78" s="11"/>
      <c r="T78" s="11"/>
      <c r="U78" s="11"/>
      <c r="V78" s="11"/>
    </row>
    <row r="79" spans="1:22" s="10" customFormat="1" ht="15" customHeight="1" x14ac:dyDescent="0.25">
      <c r="A79" s="10" t="s">
        <v>86</v>
      </c>
      <c r="B79" s="11">
        <f>SUM(B80:B84)</f>
        <v>1149.1112412599998</v>
      </c>
      <c r="C79" s="11">
        <f t="shared" ref="C79:Q79" si="52">SUM(C80:C84)</f>
        <v>870.35575670000026</v>
      </c>
      <c r="D79" s="11">
        <f t="shared" si="52"/>
        <v>864.37304968000024</v>
      </c>
      <c r="E79" s="11">
        <f t="shared" ref="E79:E84" si="53">SUM(B79:D79)</f>
        <v>2883.8400476400002</v>
      </c>
      <c r="F79" s="11">
        <f t="shared" si="52"/>
        <v>1173.5918458200001</v>
      </c>
      <c r="G79" s="11">
        <f t="shared" si="52"/>
        <v>964.20333504000018</v>
      </c>
      <c r="H79" s="11">
        <f t="shared" si="52"/>
        <v>1050.67592891</v>
      </c>
      <c r="I79" s="11">
        <f t="shared" ref="I79:I84" si="54">SUM(F79:H79)</f>
        <v>3188.4711097700001</v>
      </c>
      <c r="J79" s="11">
        <f t="shared" ref="J79:J84" si="55">+E79+I79</f>
        <v>6072.3111574100003</v>
      </c>
      <c r="K79" s="11">
        <f t="shared" si="52"/>
        <v>984.74155058999986</v>
      </c>
      <c r="L79" s="11">
        <f t="shared" si="52"/>
        <v>951.00379225000029</v>
      </c>
      <c r="M79" s="11">
        <f t="shared" si="52"/>
        <v>872.99216113999978</v>
      </c>
      <c r="N79" s="11">
        <f t="shared" ref="N79:N84" si="56">SUM(K79:M79)</f>
        <v>2808.7375039799999</v>
      </c>
      <c r="O79" s="11">
        <f t="shared" si="52"/>
        <v>985.21098053000037</v>
      </c>
      <c r="P79" s="11">
        <f t="shared" si="52"/>
        <v>1070.1546613499995</v>
      </c>
      <c r="Q79" s="11">
        <f t="shared" si="52"/>
        <v>1367.4131303899999</v>
      </c>
      <c r="R79" s="11">
        <f t="shared" ref="R79:R84" si="57">SUM(O79:Q79)</f>
        <v>3422.77877227</v>
      </c>
      <c r="S79" s="11">
        <f t="shared" ref="S79:S84" si="58">+N79+R79</f>
        <v>6231.5162762500004</v>
      </c>
      <c r="T79" s="11">
        <f t="shared" ref="T79:T84" si="59">+J79+S79</f>
        <v>12303.827433660001</v>
      </c>
      <c r="U79" s="11"/>
      <c r="V79" s="11"/>
    </row>
    <row r="80" spans="1:22" ht="15" customHeight="1" x14ac:dyDescent="0.3">
      <c r="A80" s="12" t="s">
        <v>87</v>
      </c>
      <c r="B80" s="8">
        <v>159.16507713999999</v>
      </c>
      <c r="C80" s="8">
        <v>134.91431506999999</v>
      </c>
      <c r="D80" s="8">
        <v>137.26684836000001</v>
      </c>
      <c r="E80" s="8">
        <f t="shared" si="53"/>
        <v>431.34624056999996</v>
      </c>
      <c r="F80" s="8">
        <v>194.5199789699999</v>
      </c>
      <c r="G80" s="8">
        <v>145.15797798000006</v>
      </c>
      <c r="H80" s="8">
        <v>254.30057348000003</v>
      </c>
      <c r="I80" s="8">
        <f t="shared" si="54"/>
        <v>593.97853042999998</v>
      </c>
      <c r="J80" s="8">
        <f t="shared" si="55"/>
        <v>1025.3247710000001</v>
      </c>
      <c r="K80" s="8">
        <v>187.50527252000003</v>
      </c>
      <c r="L80" s="8">
        <v>163.72527062000003</v>
      </c>
      <c r="M80" s="8">
        <v>125.59935789999994</v>
      </c>
      <c r="N80" s="8">
        <f t="shared" si="56"/>
        <v>476.82990103999998</v>
      </c>
      <c r="O80" s="8">
        <v>143.44313317000001</v>
      </c>
      <c r="P80" s="8">
        <v>184.43065831999988</v>
      </c>
      <c r="Q80" s="8">
        <v>441.87609080999994</v>
      </c>
      <c r="R80" s="8">
        <f t="shared" si="57"/>
        <v>769.74988229999985</v>
      </c>
      <c r="S80" s="8">
        <f t="shared" si="58"/>
        <v>1246.5797833399997</v>
      </c>
      <c r="T80" s="8">
        <f t="shared" si="59"/>
        <v>2271.9045543399998</v>
      </c>
      <c r="U80" s="8"/>
      <c r="V80" s="8"/>
    </row>
    <row r="81" spans="1:22" ht="15" customHeight="1" x14ac:dyDescent="0.3">
      <c r="A81" s="12" t="s">
        <v>88</v>
      </c>
      <c r="B81" s="8">
        <v>67.657552679999981</v>
      </c>
      <c r="C81" s="8">
        <v>51.378890699999999</v>
      </c>
      <c r="D81" s="8">
        <v>58.64459986</v>
      </c>
      <c r="E81" s="8">
        <f t="shared" si="53"/>
        <v>177.68104323999998</v>
      </c>
      <c r="F81" s="8">
        <v>67.36031810999998</v>
      </c>
      <c r="G81" s="8">
        <v>54.90448279000001</v>
      </c>
      <c r="H81" s="8">
        <v>76.179527540000024</v>
      </c>
      <c r="I81" s="8">
        <f t="shared" si="54"/>
        <v>198.44432843999999</v>
      </c>
      <c r="J81" s="8">
        <f t="shared" si="55"/>
        <v>376.12537167999994</v>
      </c>
      <c r="K81" s="8">
        <v>55.858844039999994</v>
      </c>
      <c r="L81" s="8">
        <v>58.63298215999999</v>
      </c>
      <c r="M81" s="8">
        <v>57.278610890000017</v>
      </c>
      <c r="N81" s="8">
        <f t="shared" si="56"/>
        <v>171.77043709</v>
      </c>
      <c r="O81" s="8">
        <v>62.652696649999996</v>
      </c>
      <c r="P81" s="8">
        <v>50.562463460000011</v>
      </c>
      <c r="Q81" s="8">
        <v>67.415915560000002</v>
      </c>
      <c r="R81" s="8">
        <f t="shared" si="57"/>
        <v>180.63107567</v>
      </c>
      <c r="S81" s="8">
        <f t="shared" si="58"/>
        <v>352.40151276</v>
      </c>
      <c r="T81" s="8">
        <f t="shared" si="59"/>
        <v>728.52688444</v>
      </c>
      <c r="U81" s="8"/>
      <c r="V81" s="8"/>
    </row>
    <row r="82" spans="1:22" ht="15" customHeight="1" x14ac:dyDescent="0.3">
      <c r="A82" s="12" t="s">
        <v>89</v>
      </c>
      <c r="B82" s="8">
        <v>86.966871470000015</v>
      </c>
      <c r="C82" s="8">
        <v>79.958986399999972</v>
      </c>
      <c r="D82" s="8">
        <v>112.30024419999999</v>
      </c>
      <c r="E82" s="8">
        <f t="shared" si="53"/>
        <v>279.22610206999997</v>
      </c>
      <c r="F82" s="8">
        <v>129.70406934000005</v>
      </c>
      <c r="G82" s="8">
        <v>96.553454689999995</v>
      </c>
      <c r="H82" s="8">
        <v>107.30691520000002</v>
      </c>
      <c r="I82" s="8">
        <f t="shared" si="54"/>
        <v>333.56443923000006</v>
      </c>
      <c r="J82" s="8">
        <f t="shared" si="55"/>
        <v>612.79054130000009</v>
      </c>
      <c r="K82" s="8">
        <v>95.910568299999994</v>
      </c>
      <c r="L82" s="8">
        <v>112.47665608000004</v>
      </c>
      <c r="M82" s="8">
        <v>98.840127120000034</v>
      </c>
      <c r="N82" s="8">
        <f t="shared" si="56"/>
        <v>307.22735150000005</v>
      </c>
      <c r="O82" s="8">
        <v>102.83205282999998</v>
      </c>
      <c r="P82" s="8">
        <v>125.96869341999999</v>
      </c>
      <c r="Q82" s="8">
        <v>151.24785865999999</v>
      </c>
      <c r="R82" s="8">
        <f t="shared" si="57"/>
        <v>380.04860490999999</v>
      </c>
      <c r="S82" s="8">
        <f t="shared" si="58"/>
        <v>687.27595641000005</v>
      </c>
      <c r="T82" s="8">
        <f t="shared" si="59"/>
        <v>1300.06649771</v>
      </c>
      <c r="U82" s="8"/>
      <c r="V82" s="8"/>
    </row>
    <row r="83" spans="1:22" ht="15" customHeight="1" x14ac:dyDescent="0.3">
      <c r="A83" s="12" t="s">
        <v>90</v>
      </c>
      <c r="B83" s="8">
        <v>118.46929821000001</v>
      </c>
      <c r="C83" s="8">
        <v>125.04800941000002</v>
      </c>
      <c r="D83" s="8">
        <v>72.591453830000006</v>
      </c>
      <c r="E83" s="8">
        <f t="shared" si="53"/>
        <v>316.10876145000003</v>
      </c>
      <c r="F83" s="8">
        <v>109.96562084999999</v>
      </c>
      <c r="G83" s="8">
        <v>79.264215850000014</v>
      </c>
      <c r="H83" s="8">
        <v>82.144287679999991</v>
      </c>
      <c r="I83" s="8">
        <f t="shared" si="54"/>
        <v>271.37412438000001</v>
      </c>
      <c r="J83" s="8">
        <f t="shared" si="55"/>
        <v>587.48288582999999</v>
      </c>
      <c r="K83" s="8">
        <v>85.18777673999999</v>
      </c>
      <c r="L83" s="8">
        <v>87.334908339999998</v>
      </c>
      <c r="M83" s="8">
        <v>111.84199915999999</v>
      </c>
      <c r="N83" s="8">
        <f t="shared" si="56"/>
        <v>284.36468423999997</v>
      </c>
      <c r="O83" s="8">
        <v>114.17968354000003</v>
      </c>
      <c r="P83" s="8">
        <v>94.157577000000003</v>
      </c>
      <c r="Q83" s="8">
        <v>111.72766713</v>
      </c>
      <c r="R83" s="8">
        <f t="shared" si="57"/>
        <v>320.06492767000003</v>
      </c>
      <c r="S83" s="8">
        <f t="shared" si="58"/>
        <v>604.42961190999995</v>
      </c>
      <c r="T83" s="8">
        <f t="shared" si="59"/>
        <v>1191.9124977399999</v>
      </c>
      <c r="U83" s="8"/>
      <c r="V83" s="8"/>
    </row>
    <row r="84" spans="1:22" ht="18" customHeight="1" x14ac:dyDescent="0.3">
      <c r="A84" s="12" t="s">
        <v>91</v>
      </c>
      <c r="B84" s="8">
        <v>716.85244175999981</v>
      </c>
      <c r="C84" s="8">
        <v>479.05555512000029</v>
      </c>
      <c r="D84" s="8">
        <v>483.56990343000018</v>
      </c>
      <c r="E84" s="8">
        <f t="shared" si="53"/>
        <v>1679.4779003100002</v>
      </c>
      <c r="F84" s="8">
        <v>672.04185855000014</v>
      </c>
      <c r="G84" s="8">
        <v>588.32320373000005</v>
      </c>
      <c r="H84" s="8">
        <v>530.74462500999994</v>
      </c>
      <c r="I84" s="8">
        <f t="shared" si="54"/>
        <v>1791.10968729</v>
      </c>
      <c r="J84" s="8">
        <f t="shared" si="55"/>
        <v>3470.5875876</v>
      </c>
      <c r="K84" s="8">
        <v>560.27908898999988</v>
      </c>
      <c r="L84" s="8">
        <v>528.83397505000028</v>
      </c>
      <c r="M84" s="8">
        <v>479.43206606999979</v>
      </c>
      <c r="N84" s="8">
        <f t="shared" si="56"/>
        <v>1568.5451301099999</v>
      </c>
      <c r="O84" s="8">
        <v>562.10341434000031</v>
      </c>
      <c r="P84" s="8">
        <v>615.03526914999975</v>
      </c>
      <c r="Q84" s="8">
        <v>595.14559823000002</v>
      </c>
      <c r="R84" s="8">
        <f t="shared" si="57"/>
        <v>1772.2842817199999</v>
      </c>
      <c r="S84" s="8">
        <f t="shared" si="58"/>
        <v>3340.82941183</v>
      </c>
      <c r="T84" s="8">
        <f t="shared" si="59"/>
        <v>6811.41699943</v>
      </c>
      <c r="U84" s="8"/>
      <c r="V84" s="8"/>
    </row>
    <row r="85" spans="1:22" s="10" customFormat="1" ht="15" customHeight="1" x14ac:dyDescent="0.3">
      <c r="A85" s="3"/>
      <c r="B85" s="11"/>
      <c r="C85" s="11"/>
      <c r="D85" s="11"/>
      <c r="E85" s="11"/>
      <c r="F85" s="11"/>
      <c r="G85" s="11"/>
      <c r="H85" s="11"/>
      <c r="I85" s="11"/>
      <c r="J85" s="11"/>
      <c r="K85" s="11"/>
      <c r="L85" s="11"/>
      <c r="M85" s="11"/>
      <c r="N85" s="11"/>
      <c r="O85" s="11"/>
      <c r="P85" s="11"/>
      <c r="Q85" s="11"/>
      <c r="R85" s="11"/>
      <c r="S85" s="11"/>
      <c r="T85" s="11"/>
      <c r="U85" s="11"/>
      <c r="V85" s="11"/>
    </row>
    <row r="86" spans="1:22" s="10" customFormat="1" ht="15" customHeight="1" x14ac:dyDescent="0.25">
      <c r="A86" s="10" t="s">
        <v>92</v>
      </c>
      <c r="B86" s="11">
        <f>SUM(B87:B88)</f>
        <v>970.50829162000002</v>
      </c>
      <c r="C86" s="11">
        <f t="shared" ref="C86:Q86" si="60">SUM(C87:C88)</f>
        <v>715.05092011999977</v>
      </c>
      <c r="D86" s="11">
        <f t="shared" si="60"/>
        <v>837.01914017000013</v>
      </c>
      <c r="E86" s="11">
        <f t="shared" ref="E86:E88" si="61">SUM(B86:D86)</f>
        <v>2522.5783519099996</v>
      </c>
      <c r="F86" s="11">
        <f t="shared" si="60"/>
        <v>1272.7732835700001</v>
      </c>
      <c r="G86" s="11">
        <f t="shared" si="60"/>
        <v>882.41504326000029</v>
      </c>
      <c r="H86" s="11">
        <f t="shared" si="60"/>
        <v>807.61201118000008</v>
      </c>
      <c r="I86" s="11">
        <f t="shared" ref="I86:I88" si="62">SUM(F86:H86)</f>
        <v>2962.8003380100004</v>
      </c>
      <c r="J86" s="11">
        <f t="shared" ref="J86:J88" si="63">+E86+I86</f>
        <v>5485.3786899200004</v>
      </c>
      <c r="K86" s="11">
        <f t="shared" si="60"/>
        <v>898.72871129999999</v>
      </c>
      <c r="L86" s="11">
        <f t="shared" si="60"/>
        <v>909.05221665999932</v>
      </c>
      <c r="M86" s="11">
        <f t="shared" si="60"/>
        <v>894.86701307999942</v>
      </c>
      <c r="N86" s="11">
        <f t="shared" ref="N86:N88" si="64">SUM(K86:M86)</f>
        <v>2702.6479410399988</v>
      </c>
      <c r="O86" s="11">
        <f t="shared" si="60"/>
        <v>1023.2791664600002</v>
      </c>
      <c r="P86" s="11">
        <f t="shared" si="60"/>
        <v>1001.86290975</v>
      </c>
      <c r="Q86" s="11">
        <f t="shared" si="60"/>
        <v>983.87750814999993</v>
      </c>
      <c r="R86" s="11">
        <f t="shared" ref="R86:R88" si="65">SUM(O86:Q86)</f>
        <v>3009.01958436</v>
      </c>
      <c r="S86" s="11">
        <f t="shared" ref="S86:S88" si="66">+N86+R86</f>
        <v>5711.6675253999983</v>
      </c>
      <c r="T86" s="11">
        <f t="shared" ref="T86:T88" si="67">+J86+S86</f>
        <v>11197.046215319999</v>
      </c>
      <c r="U86" s="11"/>
      <c r="V86" s="11"/>
    </row>
    <row r="87" spans="1:22" ht="15" customHeight="1" x14ac:dyDescent="0.3">
      <c r="A87" s="12" t="s">
        <v>93</v>
      </c>
      <c r="B87" s="8">
        <v>733.43324072999997</v>
      </c>
      <c r="C87" s="8">
        <v>531.75793095999984</v>
      </c>
      <c r="D87" s="8">
        <v>626.87794690000021</v>
      </c>
      <c r="E87" s="8">
        <f t="shared" si="61"/>
        <v>1892.06911859</v>
      </c>
      <c r="F87" s="8">
        <v>989.70816940999998</v>
      </c>
      <c r="G87" s="8">
        <v>679.43262958000025</v>
      </c>
      <c r="H87" s="8">
        <v>605.48475013000007</v>
      </c>
      <c r="I87" s="8">
        <f t="shared" si="62"/>
        <v>2274.6255491200004</v>
      </c>
      <c r="J87" s="8">
        <f t="shared" si="63"/>
        <v>4166.6946677100004</v>
      </c>
      <c r="K87" s="8">
        <v>674.54375514999992</v>
      </c>
      <c r="L87" s="8">
        <v>687.15021158999934</v>
      </c>
      <c r="M87" s="8">
        <v>709.01952592999942</v>
      </c>
      <c r="N87" s="8">
        <f t="shared" si="64"/>
        <v>2070.7134926699987</v>
      </c>
      <c r="O87" s="8">
        <v>778.01154533000033</v>
      </c>
      <c r="P87" s="8">
        <v>780.55382364000002</v>
      </c>
      <c r="Q87" s="8">
        <v>748.27954050999995</v>
      </c>
      <c r="R87" s="8">
        <f t="shared" si="65"/>
        <v>2306.8449094800003</v>
      </c>
      <c r="S87" s="8">
        <f t="shared" si="66"/>
        <v>4377.558402149999</v>
      </c>
      <c r="T87" s="8">
        <f t="shared" si="67"/>
        <v>8544.2530698599985</v>
      </c>
      <c r="U87" s="8"/>
      <c r="V87" s="8"/>
    </row>
    <row r="88" spans="1:22" ht="15" customHeight="1" x14ac:dyDescent="0.3">
      <c r="A88" s="12" t="s">
        <v>94</v>
      </c>
      <c r="B88" s="8">
        <v>237.07505089000003</v>
      </c>
      <c r="C88" s="8">
        <v>183.29298915999996</v>
      </c>
      <c r="D88" s="8">
        <v>210.14119326999992</v>
      </c>
      <c r="E88" s="8">
        <f t="shared" si="61"/>
        <v>630.50923331999991</v>
      </c>
      <c r="F88" s="8">
        <v>283.06511416000012</v>
      </c>
      <c r="G88" s="8">
        <v>202.98241368000006</v>
      </c>
      <c r="H88" s="8">
        <v>202.12726105000004</v>
      </c>
      <c r="I88" s="8">
        <f t="shared" si="62"/>
        <v>688.17478889000017</v>
      </c>
      <c r="J88" s="8">
        <f t="shared" si="63"/>
        <v>1318.68402221</v>
      </c>
      <c r="K88" s="8">
        <v>224.18495615000003</v>
      </c>
      <c r="L88" s="8">
        <v>221.90200507</v>
      </c>
      <c r="M88" s="8">
        <v>185.84748714999998</v>
      </c>
      <c r="N88" s="8">
        <f t="shared" si="64"/>
        <v>631.93444837000004</v>
      </c>
      <c r="O88" s="8">
        <v>245.26762112999987</v>
      </c>
      <c r="P88" s="8">
        <v>221.30908610999995</v>
      </c>
      <c r="Q88" s="8">
        <v>235.59796763999998</v>
      </c>
      <c r="R88" s="8">
        <f t="shared" si="65"/>
        <v>702.17467487999977</v>
      </c>
      <c r="S88" s="8">
        <f t="shared" si="66"/>
        <v>1334.1091232499998</v>
      </c>
      <c r="T88" s="8">
        <f t="shared" si="67"/>
        <v>2652.7931454599998</v>
      </c>
      <c r="U88" s="8"/>
      <c r="V88" s="8"/>
    </row>
    <row r="89" spans="1:22" s="10" customFormat="1" ht="15" customHeight="1" x14ac:dyDescent="0.3">
      <c r="A89" s="3"/>
      <c r="B89" s="11"/>
      <c r="C89" s="11"/>
      <c r="D89" s="11"/>
      <c r="E89" s="11"/>
      <c r="F89" s="11"/>
      <c r="G89" s="11"/>
      <c r="H89" s="11"/>
      <c r="I89" s="11"/>
      <c r="J89" s="11"/>
      <c r="K89" s="11"/>
      <c r="L89" s="11"/>
      <c r="M89" s="11"/>
      <c r="N89" s="11"/>
      <c r="O89" s="11"/>
      <c r="P89" s="11"/>
      <c r="Q89" s="11"/>
      <c r="R89" s="11"/>
      <c r="S89" s="11"/>
      <c r="T89" s="11"/>
      <c r="U89" s="11"/>
      <c r="V89" s="11"/>
    </row>
    <row r="90" spans="1:22" s="10" customFormat="1" ht="15" customHeight="1" x14ac:dyDescent="0.25">
      <c r="A90" s="10" t="s">
        <v>95</v>
      </c>
      <c r="B90" s="11">
        <f>SUM(B91:B94)</f>
        <v>5066.8786908100019</v>
      </c>
      <c r="C90" s="11">
        <f t="shared" ref="C90:Q90" si="68">SUM(C91:C94)</f>
        <v>3800.7557064099997</v>
      </c>
      <c r="D90" s="11">
        <f t="shared" si="68"/>
        <v>4962.5403886500008</v>
      </c>
      <c r="E90" s="11">
        <f t="shared" ref="E90:E94" si="69">SUM(B90:D90)</f>
        <v>13830.174785870002</v>
      </c>
      <c r="F90" s="11">
        <f t="shared" si="68"/>
        <v>7244.8388951399975</v>
      </c>
      <c r="G90" s="11">
        <f t="shared" si="68"/>
        <v>6028.8935527800013</v>
      </c>
      <c r="H90" s="11">
        <f t="shared" si="68"/>
        <v>4197.5086840700014</v>
      </c>
      <c r="I90" s="11">
        <f t="shared" ref="I90:I94" si="70">SUM(F90:H90)</f>
        <v>17471.241131990002</v>
      </c>
      <c r="J90" s="11">
        <f t="shared" ref="J90:J94" si="71">+E90+I90</f>
        <v>31301.415917860002</v>
      </c>
      <c r="K90" s="11">
        <f t="shared" si="68"/>
        <v>4225.7688486400002</v>
      </c>
      <c r="L90" s="11">
        <f t="shared" si="68"/>
        <v>6433.5442924700019</v>
      </c>
      <c r="M90" s="11">
        <f t="shared" si="68"/>
        <v>3825.248677210001</v>
      </c>
      <c r="N90" s="11">
        <f t="shared" ref="N90:N94" si="72">SUM(K90:M90)</f>
        <v>14484.561818320002</v>
      </c>
      <c r="O90" s="11">
        <f t="shared" si="68"/>
        <v>4212.1685263999989</v>
      </c>
      <c r="P90" s="11">
        <f t="shared" si="68"/>
        <v>6929.4686691899997</v>
      </c>
      <c r="Q90" s="11">
        <f t="shared" si="68"/>
        <v>5080.8404076799998</v>
      </c>
      <c r="R90" s="11">
        <f t="shared" ref="R90:R94" si="73">SUM(O90:Q90)</f>
        <v>16222.477603269999</v>
      </c>
      <c r="S90" s="11">
        <f t="shared" ref="S90:S94" si="74">+N90+R90</f>
        <v>30707.039421590001</v>
      </c>
      <c r="T90" s="11">
        <f t="shared" ref="T90:T94" si="75">+J90+S90</f>
        <v>62008.455339450004</v>
      </c>
      <c r="U90" s="11"/>
      <c r="V90" s="11"/>
    </row>
    <row r="91" spans="1:22" ht="15" customHeight="1" x14ac:dyDescent="0.3">
      <c r="A91" s="12" t="s">
        <v>96</v>
      </c>
      <c r="B91" s="8">
        <v>228.88546011000003</v>
      </c>
      <c r="C91" s="8">
        <v>147.51114232</v>
      </c>
      <c r="D91" s="8">
        <v>220.05837071999997</v>
      </c>
      <c r="E91" s="8">
        <f t="shared" si="69"/>
        <v>596.45497315</v>
      </c>
      <c r="F91" s="8">
        <v>233.71414388000011</v>
      </c>
      <c r="G91" s="8">
        <v>191.39087333999998</v>
      </c>
      <c r="H91" s="8">
        <v>179.08741369999993</v>
      </c>
      <c r="I91" s="8">
        <f t="shared" si="70"/>
        <v>604.19243091999999</v>
      </c>
      <c r="J91" s="8">
        <f t="shared" si="71"/>
        <v>1200.64740407</v>
      </c>
      <c r="K91" s="8">
        <v>184.01367833000006</v>
      </c>
      <c r="L91" s="8">
        <v>216.90099868000001</v>
      </c>
      <c r="M91" s="8">
        <v>199.31328042999996</v>
      </c>
      <c r="N91" s="8">
        <f t="shared" si="72"/>
        <v>600.22795744000007</v>
      </c>
      <c r="O91" s="8">
        <v>248.67999222999995</v>
      </c>
      <c r="P91" s="8">
        <v>227.71171708000017</v>
      </c>
      <c r="Q91" s="8">
        <v>211.57655977000002</v>
      </c>
      <c r="R91" s="8">
        <f t="shared" si="73"/>
        <v>687.96826908000014</v>
      </c>
      <c r="S91" s="8">
        <f t="shared" si="74"/>
        <v>1288.1962265200002</v>
      </c>
      <c r="T91" s="8">
        <f t="shared" si="75"/>
        <v>2488.8436305900004</v>
      </c>
      <c r="U91" s="8"/>
      <c r="V91" s="8"/>
    </row>
    <row r="92" spans="1:22" ht="15" customHeight="1" x14ac:dyDescent="0.3">
      <c r="A92" s="12" t="s">
        <v>97</v>
      </c>
      <c r="B92" s="8">
        <v>1002.2434074299997</v>
      </c>
      <c r="C92" s="8">
        <v>713.99076154999989</v>
      </c>
      <c r="D92" s="8">
        <v>856.98628560999998</v>
      </c>
      <c r="E92" s="8">
        <f t="shared" si="69"/>
        <v>2573.2204545899995</v>
      </c>
      <c r="F92" s="8">
        <v>1341.9223157699994</v>
      </c>
      <c r="G92" s="8">
        <v>881.51176089000137</v>
      </c>
      <c r="H92" s="8">
        <v>866.14567021000028</v>
      </c>
      <c r="I92" s="8">
        <f t="shared" si="70"/>
        <v>3089.5797468700011</v>
      </c>
      <c r="J92" s="8">
        <f t="shared" si="71"/>
        <v>5662.8002014600006</v>
      </c>
      <c r="K92" s="8">
        <v>915.51504938000051</v>
      </c>
      <c r="L92" s="8">
        <v>1007.1362876999998</v>
      </c>
      <c r="M92" s="8">
        <v>861.67128681000065</v>
      </c>
      <c r="N92" s="8">
        <f t="shared" si="72"/>
        <v>2784.3226238900011</v>
      </c>
      <c r="O92" s="8">
        <v>1032.6994421700001</v>
      </c>
      <c r="P92" s="8">
        <v>1093.9738320699992</v>
      </c>
      <c r="Q92" s="8">
        <v>1044.4658943200002</v>
      </c>
      <c r="R92" s="8">
        <f t="shared" si="73"/>
        <v>3171.1391685599992</v>
      </c>
      <c r="S92" s="8">
        <f t="shared" si="74"/>
        <v>5955.4617924499998</v>
      </c>
      <c r="T92" s="8">
        <f t="shared" si="75"/>
        <v>11618.26199391</v>
      </c>
      <c r="U92" s="8"/>
      <c r="V92" s="8"/>
    </row>
    <row r="93" spans="1:22" ht="15" customHeight="1" x14ac:dyDescent="0.3">
      <c r="A93" s="12" t="s">
        <v>98</v>
      </c>
      <c r="B93" s="8">
        <v>1160.048030620002</v>
      </c>
      <c r="C93" s="8">
        <v>878.36010621999992</v>
      </c>
      <c r="D93" s="8">
        <v>1126.6254334800005</v>
      </c>
      <c r="E93" s="8">
        <f t="shared" si="69"/>
        <v>3165.0335703200026</v>
      </c>
      <c r="F93" s="8">
        <v>1495.2344055999997</v>
      </c>
      <c r="G93" s="8">
        <v>1277.3534093399999</v>
      </c>
      <c r="H93" s="8">
        <v>973.57663544999969</v>
      </c>
      <c r="I93" s="8">
        <f t="shared" si="70"/>
        <v>3746.1644503899993</v>
      </c>
      <c r="J93" s="8">
        <f t="shared" si="71"/>
        <v>6911.1980207100023</v>
      </c>
      <c r="K93" s="8">
        <v>996.31782900999906</v>
      </c>
      <c r="L93" s="8">
        <v>1200.44951511</v>
      </c>
      <c r="M93" s="8">
        <v>982.19175068000038</v>
      </c>
      <c r="N93" s="8">
        <f t="shared" si="72"/>
        <v>3178.9590947999995</v>
      </c>
      <c r="O93" s="8">
        <v>1044.0135223799996</v>
      </c>
      <c r="P93" s="8">
        <v>1279.5624705600017</v>
      </c>
      <c r="Q93" s="8">
        <v>1083.8149130699999</v>
      </c>
      <c r="R93" s="8">
        <f t="shared" si="73"/>
        <v>3407.3909060100009</v>
      </c>
      <c r="S93" s="8">
        <f t="shared" si="74"/>
        <v>6586.35000081</v>
      </c>
      <c r="T93" s="8">
        <f t="shared" si="75"/>
        <v>13497.548021520002</v>
      </c>
      <c r="U93" s="8"/>
      <c r="V93" s="8"/>
    </row>
    <row r="94" spans="1:22" ht="18" customHeight="1" x14ac:dyDescent="0.3">
      <c r="A94" s="12" t="s">
        <v>99</v>
      </c>
      <c r="B94" s="8">
        <v>2675.7017926500002</v>
      </c>
      <c r="C94" s="8">
        <v>2060.8936963199999</v>
      </c>
      <c r="D94" s="8">
        <v>2758.87029884</v>
      </c>
      <c r="E94" s="8">
        <f t="shared" si="69"/>
        <v>7495.4657878100006</v>
      </c>
      <c r="F94" s="8">
        <v>4173.9680298899984</v>
      </c>
      <c r="G94" s="8">
        <v>3678.6375092100002</v>
      </c>
      <c r="H94" s="8">
        <v>2178.6989647100017</v>
      </c>
      <c r="I94" s="8">
        <f t="shared" si="70"/>
        <v>10031.304503810001</v>
      </c>
      <c r="J94" s="8">
        <f t="shared" si="71"/>
        <v>17526.77029162</v>
      </c>
      <c r="K94" s="8">
        <v>2129.9222919200006</v>
      </c>
      <c r="L94" s="8">
        <v>4009.0574909800016</v>
      </c>
      <c r="M94" s="8">
        <v>1782.0723592900001</v>
      </c>
      <c r="N94" s="8">
        <f t="shared" si="72"/>
        <v>7921.0521421900021</v>
      </c>
      <c r="O94" s="8">
        <v>1886.7755696199993</v>
      </c>
      <c r="P94" s="8">
        <v>4328.2206494799984</v>
      </c>
      <c r="Q94" s="8">
        <v>2740.98304052</v>
      </c>
      <c r="R94" s="8">
        <f t="shared" si="73"/>
        <v>8955.9792596199986</v>
      </c>
      <c r="S94" s="8">
        <f t="shared" si="74"/>
        <v>16877.03140181</v>
      </c>
      <c r="T94" s="8">
        <f t="shared" si="75"/>
        <v>34403.801693429996</v>
      </c>
      <c r="U94" s="8"/>
      <c r="V94" s="8"/>
    </row>
    <row r="95" spans="1:22" ht="15" customHeight="1" x14ac:dyDescent="0.3">
      <c r="A95" s="12"/>
      <c r="B95" s="8"/>
      <c r="C95" s="8"/>
      <c r="D95" s="8"/>
      <c r="E95" s="8"/>
      <c r="F95" s="8"/>
      <c r="G95" s="8"/>
      <c r="H95" s="8"/>
      <c r="I95" s="8"/>
      <c r="J95" s="8"/>
      <c r="K95" s="8"/>
      <c r="L95" s="8"/>
      <c r="M95" s="8"/>
      <c r="N95" s="8"/>
      <c r="O95" s="8"/>
      <c r="P95" s="8"/>
      <c r="Q95" s="8"/>
      <c r="R95" s="8"/>
      <c r="S95" s="8"/>
      <c r="T95" s="8"/>
      <c r="U95" s="8"/>
      <c r="V95" s="8"/>
    </row>
    <row r="96" spans="1:22" s="10" customFormat="1" ht="15" customHeight="1" x14ac:dyDescent="0.25">
      <c r="A96" s="13" t="s">
        <v>100</v>
      </c>
      <c r="B96" s="11">
        <f>SUM(B97:B102)</f>
        <v>791.65889300999982</v>
      </c>
      <c r="C96" s="11">
        <f t="shared" ref="C96:Q96" si="76">SUM(C97:C102)</f>
        <v>624.56712994999998</v>
      </c>
      <c r="D96" s="11">
        <f t="shared" si="76"/>
        <v>658.8636525500001</v>
      </c>
      <c r="E96" s="11">
        <f t="shared" ref="E96:E102" si="77">SUM(B96:D96)</f>
        <v>2075.0896755099998</v>
      </c>
      <c r="F96" s="11">
        <f t="shared" si="76"/>
        <v>847.05935583000007</v>
      </c>
      <c r="G96" s="11">
        <f t="shared" si="76"/>
        <v>741.72535346000006</v>
      </c>
      <c r="H96" s="11">
        <f t="shared" si="76"/>
        <v>694.44612411000003</v>
      </c>
      <c r="I96" s="11">
        <f t="shared" ref="I96:I102" si="78">SUM(F96:H96)</f>
        <v>2283.2308333999999</v>
      </c>
      <c r="J96" s="11">
        <f t="shared" ref="J96:J102" si="79">+E96+I96</f>
        <v>4358.3205089099993</v>
      </c>
      <c r="K96" s="11">
        <f t="shared" si="76"/>
        <v>710.25654572000008</v>
      </c>
      <c r="L96" s="11">
        <f t="shared" si="76"/>
        <v>797.49972218000028</v>
      </c>
      <c r="M96" s="11">
        <f t="shared" si="76"/>
        <v>733.47040344000015</v>
      </c>
      <c r="N96" s="11">
        <f t="shared" ref="N96:N102" si="80">SUM(K96:M96)</f>
        <v>2241.2266713400004</v>
      </c>
      <c r="O96" s="11">
        <f t="shared" si="76"/>
        <v>780.37297781000007</v>
      </c>
      <c r="P96" s="11">
        <f t="shared" si="76"/>
        <v>844.84949499000004</v>
      </c>
      <c r="Q96" s="11">
        <f t="shared" si="76"/>
        <v>842.64468502</v>
      </c>
      <c r="R96" s="11">
        <f t="shared" ref="R96:R102" si="81">SUM(O96:Q96)</f>
        <v>2467.8671578200001</v>
      </c>
      <c r="S96" s="11">
        <f t="shared" ref="S96:S102" si="82">+N96+R96</f>
        <v>4709.0938291600005</v>
      </c>
      <c r="T96" s="11">
        <f t="shared" ref="T96:T102" si="83">+J96+S96</f>
        <v>9067.4143380700007</v>
      </c>
      <c r="U96" s="11"/>
      <c r="V96" s="11"/>
    </row>
    <row r="97" spans="1:22" ht="15" customHeight="1" x14ac:dyDescent="0.3">
      <c r="A97" s="12" t="s">
        <v>101</v>
      </c>
      <c r="B97" s="8">
        <v>43.12750290000001</v>
      </c>
      <c r="C97" s="8">
        <v>62.759213299999999</v>
      </c>
      <c r="D97" s="8">
        <v>60.197178650000005</v>
      </c>
      <c r="E97" s="8">
        <f t="shared" si="77"/>
        <v>166.08389485000001</v>
      </c>
      <c r="F97" s="8">
        <v>46.672129260000013</v>
      </c>
      <c r="G97" s="8">
        <v>80.427698629999995</v>
      </c>
      <c r="H97" s="8">
        <v>64.719092129999993</v>
      </c>
      <c r="I97" s="8">
        <f t="shared" si="78"/>
        <v>191.81892002000001</v>
      </c>
      <c r="J97" s="8">
        <f t="shared" si="79"/>
        <v>357.90281487000004</v>
      </c>
      <c r="K97" s="8">
        <v>52.505064019999999</v>
      </c>
      <c r="L97" s="8">
        <v>73.070914160000001</v>
      </c>
      <c r="M97" s="8">
        <v>62.911302519999992</v>
      </c>
      <c r="N97" s="8">
        <f t="shared" si="80"/>
        <v>188.48728069999999</v>
      </c>
      <c r="O97" s="8">
        <v>64.756923</v>
      </c>
      <c r="P97" s="8">
        <v>66.981815089999998</v>
      </c>
      <c r="Q97" s="8">
        <v>103.06838271000001</v>
      </c>
      <c r="R97" s="8">
        <f t="shared" si="81"/>
        <v>234.80712080000001</v>
      </c>
      <c r="S97" s="8">
        <f t="shared" si="82"/>
        <v>423.29440149999999</v>
      </c>
      <c r="T97" s="8">
        <f t="shared" si="83"/>
        <v>781.19721636999998</v>
      </c>
      <c r="U97" s="8"/>
      <c r="V97" s="8"/>
    </row>
    <row r="98" spans="1:22" ht="15" customHeight="1" x14ac:dyDescent="0.3">
      <c r="A98" s="12" t="s">
        <v>102</v>
      </c>
      <c r="B98" s="8">
        <v>135.16976058999998</v>
      </c>
      <c r="C98" s="8">
        <v>110.39909678999997</v>
      </c>
      <c r="D98" s="8">
        <v>110.21376270000002</v>
      </c>
      <c r="E98" s="8">
        <f t="shared" si="77"/>
        <v>355.78262007999996</v>
      </c>
      <c r="F98" s="8">
        <v>196.9568701800001</v>
      </c>
      <c r="G98" s="8">
        <v>152.79548973999999</v>
      </c>
      <c r="H98" s="8">
        <v>123.22615570999997</v>
      </c>
      <c r="I98" s="8">
        <f t="shared" si="78"/>
        <v>472.97851563000006</v>
      </c>
      <c r="J98" s="8">
        <f t="shared" si="79"/>
        <v>828.76113570999996</v>
      </c>
      <c r="K98" s="8">
        <v>131.99453762999994</v>
      </c>
      <c r="L98" s="8">
        <v>148.90368277000002</v>
      </c>
      <c r="M98" s="8">
        <v>132.98673523999994</v>
      </c>
      <c r="N98" s="8">
        <f t="shared" si="80"/>
        <v>413.88495563999993</v>
      </c>
      <c r="O98" s="8">
        <v>133.60643320999998</v>
      </c>
      <c r="P98" s="8">
        <v>158.80283317000007</v>
      </c>
      <c r="Q98" s="8">
        <v>138.60410901</v>
      </c>
      <c r="R98" s="8">
        <f t="shared" si="81"/>
        <v>431.01337539000008</v>
      </c>
      <c r="S98" s="8">
        <f t="shared" si="82"/>
        <v>844.89833103000001</v>
      </c>
      <c r="T98" s="8">
        <f t="shared" si="83"/>
        <v>1673.65946674</v>
      </c>
      <c r="U98" s="8"/>
      <c r="V98" s="8"/>
    </row>
    <row r="99" spans="1:22" ht="15" customHeight="1" x14ac:dyDescent="0.3">
      <c r="A99" s="12" t="s">
        <v>103</v>
      </c>
      <c r="B99" s="8">
        <v>56.353614950000008</v>
      </c>
      <c r="C99" s="8">
        <v>62.327045629999994</v>
      </c>
      <c r="D99" s="8">
        <v>71.065290729999987</v>
      </c>
      <c r="E99" s="8">
        <f t="shared" si="77"/>
        <v>189.74595130999998</v>
      </c>
      <c r="F99" s="8">
        <v>65.794922909999997</v>
      </c>
      <c r="G99" s="8">
        <v>50.55533861</v>
      </c>
      <c r="H99" s="8">
        <v>66.625415149999995</v>
      </c>
      <c r="I99" s="8">
        <f t="shared" si="78"/>
        <v>182.97567666999998</v>
      </c>
      <c r="J99" s="8">
        <f t="shared" si="79"/>
        <v>372.72162797999999</v>
      </c>
      <c r="K99" s="8">
        <v>57.802504409999997</v>
      </c>
      <c r="L99" s="8">
        <v>71.255726239999973</v>
      </c>
      <c r="M99" s="8">
        <v>86.054403050000019</v>
      </c>
      <c r="N99" s="8">
        <f t="shared" si="80"/>
        <v>215.1126337</v>
      </c>
      <c r="O99" s="8">
        <v>74.839792360000004</v>
      </c>
      <c r="P99" s="8">
        <v>82.362012830000026</v>
      </c>
      <c r="Q99" s="8">
        <v>68.818263200000004</v>
      </c>
      <c r="R99" s="8">
        <f t="shared" si="81"/>
        <v>226.02006839000001</v>
      </c>
      <c r="S99" s="8">
        <f t="shared" si="82"/>
        <v>441.13270209000001</v>
      </c>
      <c r="T99" s="8">
        <f t="shared" si="83"/>
        <v>813.85433007000006</v>
      </c>
      <c r="U99" s="8"/>
      <c r="V99" s="8"/>
    </row>
    <row r="100" spans="1:22" ht="15" customHeight="1" x14ac:dyDescent="0.3">
      <c r="A100" s="12" t="s">
        <v>104</v>
      </c>
      <c r="B100" s="8">
        <v>80.002810389999979</v>
      </c>
      <c r="C100" s="8">
        <v>97.151920779999998</v>
      </c>
      <c r="D100" s="8">
        <v>77.658347740000011</v>
      </c>
      <c r="E100" s="8">
        <f t="shared" si="77"/>
        <v>254.81307891</v>
      </c>
      <c r="F100" s="8">
        <v>103.82092340999998</v>
      </c>
      <c r="G100" s="8">
        <v>123.01084061999998</v>
      </c>
      <c r="H100" s="8">
        <v>87.197863279999964</v>
      </c>
      <c r="I100" s="8">
        <f t="shared" si="78"/>
        <v>314.02962730999991</v>
      </c>
      <c r="J100" s="8">
        <f t="shared" si="79"/>
        <v>568.84270621999985</v>
      </c>
      <c r="K100" s="8">
        <v>93.908889709999968</v>
      </c>
      <c r="L100" s="8">
        <v>127.50375404999998</v>
      </c>
      <c r="M100" s="8">
        <v>87.57085862000001</v>
      </c>
      <c r="N100" s="8">
        <f t="shared" si="80"/>
        <v>308.98350237999995</v>
      </c>
      <c r="O100" s="8">
        <v>101.80197487000001</v>
      </c>
      <c r="P100" s="8">
        <v>106.45975231999999</v>
      </c>
      <c r="Q100" s="8">
        <v>126.86474444</v>
      </c>
      <c r="R100" s="8">
        <f t="shared" si="81"/>
        <v>335.12647162999997</v>
      </c>
      <c r="S100" s="8">
        <f t="shared" si="82"/>
        <v>644.10997400999986</v>
      </c>
      <c r="T100" s="8">
        <f t="shared" si="83"/>
        <v>1212.9526802299997</v>
      </c>
      <c r="U100" s="8"/>
      <c r="V100" s="8"/>
    </row>
    <row r="101" spans="1:22" ht="15" customHeight="1" x14ac:dyDescent="0.3">
      <c r="A101" s="12" t="s">
        <v>105</v>
      </c>
      <c r="B101" s="8">
        <v>50.667930150000004</v>
      </c>
      <c r="C101" s="8">
        <v>44.47584942000001</v>
      </c>
      <c r="D101" s="8">
        <v>49.882007989999991</v>
      </c>
      <c r="E101" s="8">
        <f t="shared" si="77"/>
        <v>145.02578756000003</v>
      </c>
      <c r="F101" s="8">
        <v>71.71552677999999</v>
      </c>
      <c r="G101" s="8">
        <v>53.027457590000004</v>
      </c>
      <c r="H101" s="8">
        <v>46.661683100000005</v>
      </c>
      <c r="I101" s="8">
        <f t="shared" si="78"/>
        <v>171.40466746999999</v>
      </c>
      <c r="J101" s="8">
        <f t="shared" si="79"/>
        <v>316.43045503000002</v>
      </c>
      <c r="K101" s="8">
        <v>53.489833279999999</v>
      </c>
      <c r="L101" s="8">
        <v>63.361599070000011</v>
      </c>
      <c r="M101" s="8">
        <v>60.779332699999998</v>
      </c>
      <c r="N101" s="8">
        <f t="shared" si="80"/>
        <v>177.63076505000001</v>
      </c>
      <c r="O101" s="8">
        <v>55.329183330000028</v>
      </c>
      <c r="P101" s="8">
        <v>80.955818919999984</v>
      </c>
      <c r="Q101" s="8">
        <v>68.865676450000009</v>
      </c>
      <c r="R101" s="8">
        <f t="shared" si="81"/>
        <v>205.15067870000001</v>
      </c>
      <c r="S101" s="8">
        <f t="shared" si="82"/>
        <v>382.78144374999999</v>
      </c>
      <c r="T101" s="8">
        <f t="shared" si="83"/>
        <v>699.21189877999996</v>
      </c>
      <c r="U101" s="8"/>
      <c r="V101" s="8"/>
    </row>
    <row r="102" spans="1:22" ht="18" customHeight="1" x14ac:dyDescent="0.3">
      <c r="A102" s="12" t="s">
        <v>106</v>
      </c>
      <c r="B102" s="8">
        <v>426.33727402999983</v>
      </c>
      <c r="C102" s="8">
        <v>247.45400402999994</v>
      </c>
      <c r="D102" s="8">
        <v>289.84706474000012</v>
      </c>
      <c r="E102" s="8">
        <f t="shared" si="77"/>
        <v>963.63834279999992</v>
      </c>
      <c r="F102" s="8">
        <v>362.09898328999998</v>
      </c>
      <c r="G102" s="8">
        <v>281.90852827000009</v>
      </c>
      <c r="H102" s="8">
        <v>306.01591474000003</v>
      </c>
      <c r="I102" s="8">
        <f t="shared" si="78"/>
        <v>950.02342629999998</v>
      </c>
      <c r="J102" s="8">
        <f t="shared" si="79"/>
        <v>1913.6617690999999</v>
      </c>
      <c r="K102" s="8">
        <v>320.55571667000015</v>
      </c>
      <c r="L102" s="8">
        <v>313.40404589000025</v>
      </c>
      <c r="M102" s="8">
        <v>303.16777131000015</v>
      </c>
      <c r="N102" s="8">
        <f t="shared" si="80"/>
        <v>937.12753387000055</v>
      </c>
      <c r="O102" s="8">
        <v>350.03867104000005</v>
      </c>
      <c r="P102" s="8">
        <v>349.28726265999995</v>
      </c>
      <c r="Q102" s="8">
        <v>336.42350921000002</v>
      </c>
      <c r="R102" s="8">
        <f t="shared" si="81"/>
        <v>1035.74944291</v>
      </c>
      <c r="S102" s="8">
        <f t="shared" si="82"/>
        <v>1972.8769767800004</v>
      </c>
      <c r="T102" s="8">
        <f t="shared" si="83"/>
        <v>3886.5387458800005</v>
      </c>
      <c r="U102" s="8"/>
      <c r="V102" s="8"/>
    </row>
    <row r="103" spans="1:22" s="10" customFormat="1" ht="15" customHeight="1" x14ac:dyDescent="0.3">
      <c r="A103" s="12"/>
      <c r="B103" s="11"/>
      <c r="C103" s="11"/>
      <c r="D103" s="11"/>
      <c r="E103" s="11"/>
      <c r="F103" s="11"/>
      <c r="G103" s="11"/>
      <c r="H103" s="11"/>
      <c r="I103" s="11"/>
      <c r="J103" s="11"/>
      <c r="K103" s="11"/>
      <c r="L103" s="11"/>
      <c r="M103" s="11"/>
      <c r="N103" s="11"/>
      <c r="O103" s="11"/>
      <c r="P103" s="11"/>
      <c r="Q103" s="11"/>
      <c r="R103" s="11"/>
      <c r="S103" s="11"/>
      <c r="T103" s="11"/>
      <c r="U103" s="11"/>
      <c r="V103" s="11"/>
    </row>
    <row r="104" spans="1:22" s="10" customFormat="1" ht="15" customHeight="1" x14ac:dyDescent="0.25">
      <c r="A104" s="13" t="s">
        <v>107</v>
      </c>
      <c r="B104" s="11">
        <f>SUM(B105:B109)</f>
        <v>708.23275423000018</v>
      </c>
      <c r="C104" s="11">
        <f t="shared" ref="C104:Q104" si="84">SUM(C105:C109)</f>
        <v>420.52981327999998</v>
      </c>
      <c r="D104" s="11">
        <f t="shared" si="84"/>
        <v>469.48148695999998</v>
      </c>
      <c r="E104" s="11">
        <f t="shared" ref="E104:E107" si="85">SUM(B104:D104)</f>
        <v>1598.2440544700003</v>
      </c>
      <c r="F104" s="11">
        <f t="shared" si="84"/>
        <v>644.12414224000008</v>
      </c>
      <c r="G104" s="11">
        <f t="shared" si="84"/>
        <v>397.23079996999996</v>
      </c>
      <c r="H104" s="11">
        <f t="shared" si="84"/>
        <v>518.10042389</v>
      </c>
      <c r="I104" s="11">
        <f t="shared" ref="I104:I107" si="86">SUM(F104:H104)</f>
        <v>1559.4553661</v>
      </c>
      <c r="J104" s="11">
        <f t="shared" ref="J104:J107" si="87">+E104+I104</f>
        <v>3157.6994205700003</v>
      </c>
      <c r="K104" s="11">
        <f t="shared" si="84"/>
        <v>561.60217742000009</v>
      </c>
      <c r="L104" s="11">
        <f t="shared" si="84"/>
        <v>523.83462122000014</v>
      </c>
      <c r="M104" s="11">
        <f t="shared" si="84"/>
        <v>534.73556591999989</v>
      </c>
      <c r="N104" s="11">
        <f t="shared" ref="N104:N107" si="88">SUM(K104:M104)</f>
        <v>1620.17236456</v>
      </c>
      <c r="O104" s="11">
        <f t="shared" si="84"/>
        <v>534.53441586000008</v>
      </c>
      <c r="P104" s="11">
        <f t="shared" si="84"/>
        <v>521.8243872999999</v>
      </c>
      <c r="Q104" s="11">
        <f t="shared" si="84"/>
        <v>652.31155623999996</v>
      </c>
      <c r="R104" s="11">
        <f t="shared" ref="R104:R107" si="89">SUM(O104:Q104)</f>
        <v>1708.6703594000001</v>
      </c>
      <c r="S104" s="11">
        <f t="shared" ref="S104:S107" si="90">+N104+R104</f>
        <v>3328.8427239600001</v>
      </c>
      <c r="T104" s="11">
        <f t="shared" ref="T104:T107" si="91">+J104+S104</f>
        <v>6486.5421445299999</v>
      </c>
      <c r="U104" s="11"/>
      <c r="V104" s="11"/>
    </row>
    <row r="105" spans="1:22" ht="15" customHeight="1" x14ac:dyDescent="0.3">
      <c r="A105" s="12" t="s">
        <v>108</v>
      </c>
      <c r="B105" s="8">
        <v>215.63297717000006</v>
      </c>
      <c r="C105" s="8">
        <v>104.38291122</v>
      </c>
      <c r="D105" s="8">
        <v>109.43439095000004</v>
      </c>
      <c r="E105" s="8">
        <f t="shared" si="85"/>
        <v>429.45027934000007</v>
      </c>
      <c r="F105" s="8">
        <v>170.08089754999997</v>
      </c>
      <c r="G105" s="8">
        <v>46.367614349999961</v>
      </c>
      <c r="H105" s="8">
        <v>111.05425144999998</v>
      </c>
      <c r="I105" s="8">
        <f t="shared" si="86"/>
        <v>327.5027633499999</v>
      </c>
      <c r="J105" s="8">
        <f t="shared" si="87"/>
        <v>756.95304268999996</v>
      </c>
      <c r="K105" s="8">
        <v>167.17793952999997</v>
      </c>
      <c r="L105" s="8">
        <v>133.33804949000003</v>
      </c>
      <c r="M105" s="8">
        <v>125.50502058999997</v>
      </c>
      <c r="N105" s="8">
        <f t="shared" si="88"/>
        <v>426.02100960999996</v>
      </c>
      <c r="O105" s="8">
        <v>133.74404484999997</v>
      </c>
      <c r="P105" s="8">
        <v>102.32636762999998</v>
      </c>
      <c r="Q105" s="8">
        <v>138.99077370999998</v>
      </c>
      <c r="R105" s="8">
        <f t="shared" si="89"/>
        <v>375.06118618999994</v>
      </c>
      <c r="S105" s="8">
        <f t="shared" si="90"/>
        <v>801.08219579999991</v>
      </c>
      <c r="T105" s="8">
        <f t="shared" si="91"/>
        <v>1558.0352384899998</v>
      </c>
      <c r="U105" s="8"/>
      <c r="V105" s="8"/>
    </row>
    <row r="106" spans="1:22" ht="15" customHeight="1" x14ac:dyDescent="0.3">
      <c r="A106" s="12" t="s">
        <v>109</v>
      </c>
      <c r="B106" s="8">
        <v>128.96315966</v>
      </c>
      <c r="C106" s="8">
        <v>81.856207860000012</v>
      </c>
      <c r="D106" s="8">
        <v>87.719464329999965</v>
      </c>
      <c r="E106" s="8">
        <f t="shared" si="85"/>
        <v>298.53883184999995</v>
      </c>
      <c r="F106" s="8">
        <v>117.40783644</v>
      </c>
      <c r="G106" s="8">
        <v>87.845395769999982</v>
      </c>
      <c r="H106" s="8">
        <v>95.465635349999985</v>
      </c>
      <c r="I106" s="8">
        <f t="shared" si="86"/>
        <v>300.71886755999992</v>
      </c>
      <c r="J106" s="8">
        <f t="shared" si="87"/>
        <v>599.25769940999987</v>
      </c>
      <c r="K106" s="8">
        <v>100.51416209999999</v>
      </c>
      <c r="L106" s="8">
        <v>120.93880978000001</v>
      </c>
      <c r="M106" s="8">
        <v>107.37242757999998</v>
      </c>
      <c r="N106" s="8">
        <f t="shared" si="88"/>
        <v>328.82539945999997</v>
      </c>
      <c r="O106" s="8">
        <v>110.17140969</v>
      </c>
      <c r="P106" s="8">
        <v>103.18832444</v>
      </c>
      <c r="Q106" s="8">
        <v>154.10506420999997</v>
      </c>
      <c r="R106" s="8">
        <f t="shared" si="89"/>
        <v>367.46479833999996</v>
      </c>
      <c r="S106" s="8">
        <f t="shared" si="90"/>
        <v>696.29019779999999</v>
      </c>
      <c r="T106" s="8">
        <f t="shared" si="91"/>
        <v>1295.54789721</v>
      </c>
      <c r="U106" s="8"/>
      <c r="V106" s="8"/>
    </row>
    <row r="107" spans="1:22" ht="15" customHeight="1" x14ac:dyDescent="0.3">
      <c r="A107" s="12" t="s">
        <v>110</v>
      </c>
      <c r="B107" s="8">
        <v>51.923307629999996</v>
      </c>
      <c r="C107" s="8">
        <v>54.263257200000005</v>
      </c>
      <c r="D107" s="8">
        <v>44.972581289999994</v>
      </c>
      <c r="E107" s="8">
        <f t="shared" si="85"/>
        <v>151.15914612</v>
      </c>
      <c r="F107" s="8">
        <v>69.759644299999977</v>
      </c>
      <c r="G107" s="8">
        <v>44.147345410000007</v>
      </c>
      <c r="H107" s="8">
        <v>54.479605970000001</v>
      </c>
      <c r="I107" s="8">
        <f t="shared" si="86"/>
        <v>168.38659567999997</v>
      </c>
      <c r="J107" s="8">
        <f t="shared" si="87"/>
        <v>319.54574179999997</v>
      </c>
      <c r="K107" s="8">
        <v>58.308348500000001</v>
      </c>
      <c r="L107" s="8">
        <v>41.179601900000009</v>
      </c>
      <c r="M107" s="8">
        <v>49.441141780000002</v>
      </c>
      <c r="N107" s="8">
        <f t="shared" si="88"/>
        <v>148.92909218000003</v>
      </c>
      <c r="O107" s="8">
        <v>55.805981710000012</v>
      </c>
      <c r="P107" s="8">
        <v>47.214157379999996</v>
      </c>
      <c r="Q107" s="8">
        <v>69.952859439999997</v>
      </c>
      <c r="R107" s="8">
        <f t="shared" si="89"/>
        <v>172.97299853000001</v>
      </c>
      <c r="S107" s="8">
        <f t="shared" si="90"/>
        <v>321.90209071000004</v>
      </c>
      <c r="T107" s="8">
        <f t="shared" si="91"/>
        <v>641.44783251000001</v>
      </c>
      <c r="U107" s="8"/>
      <c r="V107" s="8"/>
    </row>
    <row r="108" spans="1:22" ht="18" customHeight="1" x14ac:dyDescent="0.3">
      <c r="A108" s="12" t="s">
        <v>111</v>
      </c>
      <c r="B108" s="8"/>
      <c r="C108" s="8"/>
      <c r="D108" s="8"/>
      <c r="E108" s="8"/>
      <c r="F108" s="8"/>
      <c r="G108" s="8"/>
      <c r="H108" s="8"/>
      <c r="I108" s="8"/>
      <c r="J108" s="8"/>
      <c r="K108" s="8"/>
      <c r="L108" s="8"/>
      <c r="M108" s="8"/>
      <c r="N108" s="8"/>
      <c r="O108" s="8"/>
      <c r="P108" s="8"/>
      <c r="Q108" s="8"/>
      <c r="R108" s="8"/>
      <c r="S108" s="8"/>
      <c r="T108" s="8"/>
      <c r="U108" s="8"/>
      <c r="V108" s="8"/>
    </row>
    <row r="109" spans="1:22" ht="15" customHeight="1" x14ac:dyDescent="0.3">
      <c r="A109" s="12" t="s">
        <v>112</v>
      </c>
      <c r="B109" s="8">
        <v>311.71330977000002</v>
      </c>
      <c r="C109" s="8">
        <v>180.02743699999999</v>
      </c>
      <c r="D109" s="8">
        <v>227.35505038999997</v>
      </c>
      <c r="E109" s="8">
        <f>SUM(B109:D109)</f>
        <v>719.09579715999996</v>
      </c>
      <c r="F109" s="8">
        <v>286.87576395000013</v>
      </c>
      <c r="G109" s="8">
        <v>218.87044444</v>
      </c>
      <c r="H109" s="8">
        <v>257.10093111999998</v>
      </c>
      <c r="I109" s="8">
        <f>SUM(F109:H109)</f>
        <v>762.84713951000003</v>
      </c>
      <c r="J109" s="8">
        <f t="shared" ref="J109" si="92">+E109+I109</f>
        <v>1481.9429366700001</v>
      </c>
      <c r="K109" s="8">
        <v>235.60172729000013</v>
      </c>
      <c r="L109" s="8">
        <v>228.37816005000008</v>
      </c>
      <c r="M109" s="8">
        <v>252.41697596999998</v>
      </c>
      <c r="N109" s="8">
        <f>SUM(K109:M109)</f>
        <v>716.39686331000019</v>
      </c>
      <c r="O109" s="8">
        <v>234.81297961000004</v>
      </c>
      <c r="P109" s="8">
        <v>269.09553784999997</v>
      </c>
      <c r="Q109" s="8">
        <v>289.26285888000001</v>
      </c>
      <c r="R109" s="8">
        <f>SUM(O109:Q109)</f>
        <v>793.17137634000005</v>
      </c>
      <c r="S109" s="8">
        <f t="shared" ref="S109" si="93">+N109+R109</f>
        <v>1509.5682396500001</v>
      </c>
      <c r="T109" s="8">
        <f>+J109+S109</f>
        <v>2991.5111763200002</v>
      </c>
      <c r="U109" s="8"/>
      <c r="V109" s="8"/>
    </row>
    <row r="110" spans="1:22" s="10" customFormat="1" ht="15" customHeight="1" x14ac:dyDescent="0.3">
      <c r="A110" s="12"/>
      <c r="B110" s="11"/>
      <c r="C110" s="11"/>
      <c r="D110" s="11"/>
      <c r="E110" s="11"/>
      <c r="F110" s="11"/>
      <c r="G110" s="11"/>
      <c r="H110" s="11"/>
      <c r="I110" s="11"/>
      <c r="J110" s="11"/>
      <c r="K110" s="11"/>
      <c r="L110" s="11"/>
      <c r="M110" s="11"/>
      <c r="N110" s="11"/>
      <c r="O110" s="11"/>
      <c r="P110" s="11"/>
      <c r="Q110" s="11"/>
      <c r="R110" s="11"/>
      <c r="S110" s="11"/>
      <c r="T110" s="11"/>
      <c r="U110" s="11"/>
      <c r="V110" s="11"/>
    </row>
    <row r="111" spans="1:22" s="10" customFormat="1" ht="15" customHeight="1" x14ac:dyDescent="0.25">
      <c r="A111" s="13" t="s">
        <v>113</v>
      </c>
      <c r="B111" s="11">
        <f>SUM(B112:B116)</f>
        <v>1318.9493738399992</v>
      </c>
      <c r="C111" s="11">
        <f t="shared" ref="C111:Q111" si="94">SUM(C112:C116)</f>
        <v>832.99181601999999</v>
      </c>
      <c r="D111" s="11">
        <f t="shared" si="94"/>
        <v>947.12572512999986</v>
      </c>
      <c r="E111" s="11">
        <f t="shared" ref="E111:E116" si="95">SUM(B111:D111)</f>
        <v>3099.0669149899991</v>
      </c>
      <c r="F111" s="11">
        <f t="shared" si="94"/>
        <v>1235.3190963200004</v>
      </c>
      <c r="G111" s="11">
        <f t="shared" si="94"/>
        <v>866.90962690000015</v>
      </c>
      <c r="H111" s="11">
        <f t="shared" si="94"/>
        <v>898.93396506000033</v>
      </c>
      <c r="I111" s="11">
        <f t="shared" ref="I111:I116" si="96">SUM(F111:H111)</f>
        <v>3001.162688280001</v>
      </c>
      <c r="J111" s="11">
        <f t="shared" ref="J111:J116" si="97">+E111+I111</f>
        <v>6100.2296032699996</v>
      </c>
      <c r="K111" s="11">
        <f t="shared" si="94"/>
        <v>918.40155040000013</v>
      </c>
      <c r="L111" s="11">
        <f t="shared" si="94"/>
        <v>1168.9727136600004</v>
      </c>
      <c r="M111" s="11">
        <f t="shared" si="94"/>
        <v>985.56306355999982</v>
      </c>
      <c r="N111" s="11">
        <f t="shared" ref="N111:N116" si="98">SUM(K111:M111)</f>
        <v>3072.9373276200004</v>
      </c>
      <c r="O111" s="11">
        <f t="shared" si="94"/>
        <v>1048.1406585199998</v>
      </c>
      <c r="P111" s="11">
        <f t="shared" si="94"/>
        <v>1052.8984294500003</v>
      </c>
      <c r="Q111" s="11">
        <f t="shared" si="94"/>
        <v>1094.4007893999999</v>
      </c>
      <c r="R111" s="11">
        <f t="shared" ref="R111:R116" si="99">SUM(O111:Q111)</f>
        <v>3195.4398773699995</v>
      </c>
      <c r="S111" s="11">
        <f t="shared" ref="S111:S116" si="100">+N111+R111</f>
        <v>6268.3772049899999</v>
      </c>
      <c r="T111" s="11">
        <f t="shared" ref="T111:T116" si="101">+J111+S111</f>
        <v>12368.60680826</v>
      </c>
      <c r="U111" s="11"/>
      <c r="V111" s="11"/>
    </row>
    <row r="112" spans="1:22" ht="15" customHeight="1" x14ac:dyDescent="0.3">
      <c r="A112" s="12" t="s">
        <v>114</v>
      </c>
      <c r="B112" s="8">
        <v>188.89640619999994</v>
      </c>
      <c r="C112" s="8">
        <v>124.22571081</v>
      </c>
      <c r="D112" s="8">
        <v>135.57438773999996</v>
      </c>
      <c r="E112" s="8">
        <f t="shared" si="95"/>
        <v>448.69650474999992</v>
      </c>
      <c r="F112" s="8">
        <v>228.63995261000014</v>
      </c>
      <c r="G112" s="8">
        <v>134.24964596999999</v>
      </c>
      <c r="H112" s="8">
        <v>154.74252108999991</v>
      </c>
      <c r="I112" s="8">
        <f t="shared" si="96"/>
        <v>517.63211967000007</v>
      </c>
      <c r="J112" s="8">
        <f t="shared" si="97"/>
        <v>966.32862441999998</v>
      </c>
      <c r="K112" s="8">
        <v>157.44425985999999</v>
      </c>
      <c r="L112" s="8">
        <v>169.69065228999989</v>
      </c>
      <c r="M112" s="8">
        <v>212.52418299999999</v>
      </c>
      <c r="N112" s="8">
        <f t="shared" si="98"/>
        <v>539.65909514999987</v>
      </c>
      <c r="O112" s="8">
        <v>183.93045760000004</v>
      </c>
      <c r="P112" s="8">
        <v>147.88646087000004</v>
      </c>
      <c r="Q112" s="8">
        <v>148.56828856000001</v>
      </c>
      <c r="R112" s="8">
        <f t="shared" si="99"/>
        <v>480.38520703000006</v>
      </c>
      <c r="S112" s="8">
        <f t="shared" si="100"/>
        <v>1020.0443021799999</v>
      </c>
      <c r="T112" s="8">
        <f t="shared" si="101"/>
        <v>1986.3729266</v>
      </c>
      <c r="U112" s="8"/>
      <c r="V112" s="8"/>
    </row>
    <row r="113" spans="1:22" ht="15" customHeight="1" x14ac:dyDescent="0.3">
      <c r="A113" s="12" t="s">
        <v>115</v>
      </c>
      <c r="B113" s="8">
        <v>133.84977673000003</v>
      </c>
      <c r="C113" s="8">
        <v>122.09501448999991</v>
      </c>
      <c r="D113" s="8">
        <v>133.52687344999995</v>
      </c>
      <c r="E113" s="8">
        <f t="shared" si="95"/>
        <v>389.47166466999988</v>
      </c>
      <c r="F113" s="8">
        <v>168.43554548000006</v>
      </c>
      <c r="G113" s="8">
        <v>148.66101329000003</v>
      </c>
      <c r="H113" s="8">
        <v>144.90144304999998</v>
      </c>
      <c r="I113" s="8">
        <f t="shared" si="96"/>
        <v>461.99800182000013</v>
      </c>
      <c r="J113" s="8">
        <f t="shared" si="97"/>
        <v>851.46966649000001</v>
      </c>
      <c r="K113" s="8">
        <v>133.87015561000001</v>
      </c>
      <c r="L113" s="8">
        <v>168.81603142000009</v>
      </c>
      <c r="M113" s="8">
        <v>119.78703018</v>
      </c>
      <c r="N113" s="8">
        <f t="shared" si="98"/>
        <v>422.47321721000009</v>
      </c>
      <c r="O113" s="8">
        <v>141.89447045999998</v>
      </c>
      <c r="P113" s="8">
        <v>143.50424613999994</v>
      </c>
      <c r="Q113" s="8">
        <v>172.41985283000002</v>
      </c>
      <c r="R113" s="8">
        <f t="shared" si="99"/>
        <v>457.81856942999997</v>
      </c>
      <c r="S113" s="8">
        <f t="shared" si="100"/>
        <v>880.29178664000005</v>
      </c>
      <c r="T113" s="8">
        <f t="shared" si="101"/>
        <v>1731.7614531300001</v>
      </c>
      <c r="U113" s="8"/>
      <c r="V113" s="8"/>
    </row>
    <row r="114" spans="1:22" ht="15" customHeight="1" x14ac:dyDescent="0.3">
      <c r="A114" s="12" t="s">
        <v>116</v>
      </c>
      <c r="B114" s="8">
        <v>102.60748971000001</v>
      </c>
      <c r="C114" s="8">
        <v>78.260687469999965</v>
      </c>
      <c r="D114" s="8">
        <v>80.718823039999975</v>
      </c>
      <c r="E114" s="8">
        <f t="shared" si="95"/>
        <v>261.58700021999994</v>
      </c>
      <c r="F114" s="8">
        <v>113.39565029000001</v>
      </c>
      <c r="G114" s="8">
        <v>95.18707732999998</v>
      </c>
      <c r="H114" s="8">
        <v>84.830215569999993</v>
      </c>
      <c r="I114" s="8">
        <f t="shared" si="96"/>
        <v>293.41294318999996</v>
      </c>
      <c r="J114" s="8">
        <f t="shared" si="97"/>
        <v>554.9999434099999</v>
      </c>
      <c r="K114" s="8">
        <v>94.915247260000044</v>
      </c>
      <c r="L114" s="8">
        <v>114.11327949999998</v>
      </c>
      <c r="M114" s="8">
        <v>88.99322245999997</v>
      </c>
      <c r="N114" s="8">
        <f t="shared" si="98"/>
        <v>298.02174922</v>
      </c>
      <c r="O114" s="8">
        <v>87.825918270000017</v>
      </c>
      <c r="P114" s="8">
        <v>100.14534452000001</v>
      </c>
      <c r="Q114" s="8">
        <v>122.83264874000001</v>
      </c>
      <c r="R114" s="8">
        <f t="shared" si="99"/>
        <v>310.80391153000005</v>
      </c>
      <c r="S114" s="8">
        <f t="shared" si="100"/>
        <v>608.82566075</v>
      </c>
      <c r="T114" s="8">
        <f t="shared" si="101"/>
        <v>1163.8256041599998</v>
      </c>
      <c r="U114" s="8"/>
      <c r="V114" s="8"/>
    </row>
    <row r="115" spans="1:22" ht="18" customHeight="1" x14ac:dyDescent="0.3">
      <c r="A115" s="12" t="s">
        <v>117</v>
      </c>
      <c r="B115" s="8">
        <v>52.027320719999999</v>
      </c>
      <c r="C115" s="8">
        <v>38.586943550000008</v>
      </c>
      <c r="D115" s="8">
        <v>33.084348949999999</v>
      </c>
      <c r="E115" s="8">
        <f t="shared" si="95"/>
        <v>123.69861322</v>
      </c>
      <c r="F115" s="8">
        <v>64.324251250000003</v>
      </c>
      <c r="G115" s="8">
        <v>41.176750570000017</v>
      </c>
      <c r="H115" s="8">
        <v>41.925987209999995</v>
      </c>
      <c r="I115" s="8">
        <f t="shared" si="96"/>
        <v>147.42698903000002</v>
      </c>
      <c r="J115" s="8">
        <f t="shared" si="97"/>
        <v>271.12560225000004</v>
      </c>
      <c r="K115" s="8">
        <v>39.988545789999989</v>
      </c>
      <c r="L115" s="8">
        <v>40.022945370000002</v>
      </c>
      <c r="M115" s="8">
        <v>41.753218579999995</v>
      </c>
      <c r="N115" s="8">
        <f t="shared" si="98"/>
        <v>121.76470973999999</v>
      </c>
      <c r="O115" s="8">
        <v>37.530667039999997</v>
      </c>
      <c r="P115" s="8">
        <v>42.333152969999993</v>
      </c>
      <c r="Q115" s="8">
        <v>54.493089959999999</v>
      </c>
      <c r="R115" s="8">
        <f t="shared" si="99"/>
        <v>134.35690996999998</v>
      </c>
      <c r="S115" s="8">
        <f t="shared" si="100"/>
        <v>256.12161970999995</v>
      </c>
      <c r="T115" s="8">
        <f t="shared" si="101"/>
        <v>527.24722195999993</v>
      </c>
      <c r="U115" s="8"/>
      <c r="V115" s="8"/>
    </row>
    <row r="116" spans="1:22" ht="18" customHeight="1" x14ac:dyDescent="0.3">
      <c r="A116" s="12" t="s">
        <v>118</v>
      </c>
      <c r="B116" s="8">
        <v>841.56838047999929</v>
      </c>
      <c r="C116" s="8">
        <v>469.82345970000006</v>
      </c>
      <c r="D116" s="8">
        <v>564.22129195000002</v>
      </c>
      <c r="E116" s="8">
        <f t="shared" si="95"/>
        <v>1875.6131321299993</v>
      </c>
      <c r="F116" s="8">
        <v>660.52369669000007</v>
      </c>
      <c r="G116" s="8">
        <v>447.63513974000011</v>
      </c>
      <c r="H116" s="8">
        <v>472.53379814000044</v>
      </c>
      <c r="I116" s="8">
        <f t="shared" si="96"/>
        <v>1580.6926345700006</v>
      </c>
      <c r="J116" s="8">
        <f t="shared" si="97"/>
        <v>3456.3057666999998</v>
      </c>
      <c r="K116" s="8">
        <v>492.18334188000011</v>
      </c>
      <c r="L116" s="8">
        <v>676.3298050800006</v>
      </c>
      <c r="M116" s="8">
        <v>522.50540933999991</v>
      </c>
      <c r="N116" s="8">
        <f t="shared" si="98"/>
        <v>1691.0185563000007</v>
      </c>
      <c r="O116" s="8">
        <v>596.9591451499997</v>
      </c>
      <c r="P116" s="8">
        <v>619.0292249500003</v>
      </c>
      <c r="Q116" s="8">
        <v>596.0869093099999</v>
      </c>
      <c r="R116" s="8">
        <f t="shared" si="99"/>
        <v>1812.0752794099999</v>
      </c>
      <c r="S116" s="8">
        <f t="shared" si="100"/>
        <v>3503.0938357100003</v>
      </c>
      <c r="T116" s="8">
        <f t="shared" si="101"/>
        <v>6959.3996024099997</v>
      </c>
      <c r="U116" s="8"/>
      <c r="V116" s="8"/>
    </row>
    <row r="117" spans="1:22" s="10" customFormat="1" ht="15" customHeight="1" x14ac:dyDescent="0.3">
      <c r="A117" s="12"/>
      <c r="B117" s="11"/>
      <c r="C117" s="11"/>
      <c r="D117" s="11"/>
      <c r="E117" s="11"/>
      <c r="F117" s="11"/>
      <c r="G117" s="11"/>
      <c r="H117" s="11"/>
      <c r="I117" s="11"/>
      <c r="J117" s="11"/>
      <c r="K117" s="11"/>
      <c r="L117" s="11"/>
      <c r="M117" s="11"/>
      <c r="N117" s="11"/>
      <c r="O117" s="11"/>
      <c r="P117" s="11"/>
      <c r="Q117" s="11"/>
      <c r="R117" s="11"/>
      <c r="S117" s="11"/>
      <c r="T117" s="11"/>
      <c r="U117" s="11"/>
      <c r="V117" s="11"/>
    </row>
    <row r="118" spans="1:22" s="10" customFormat="1" ht="15" customHeight="1" x14ac:dyDescent="0.25">
      <c r="A118" s="13" t="s">
        <v>119</v>
      </c>
      <c r="B118" s="11">
        <f>SUM(B119:B123)</f>
        <v>1532.5383969700001</v>
      </c>
      <c r="C118" s="11">
        <f t="shared" ref="C118:Q118" si="102">SUM(C119:C123)</f>
        <v>1159.43123913</v>
      </c>
      <c r="D118" s="11">
        <f t="shared" si="102"/>
        <v>1470.4922482500001</v>
      </c>
      <c r="E118" s="11">
        <f t="shared" ref="E118:E123" si="103">SUM(B118:D118)</f>
        <v>4162.4618843500002</v>
      </c>
      <c r="F118" s="11">
        <f t="shared" si="102"/>
        <v>3567.8715780900002</v>
      </c>
      <c r="G118" s="11">
        <f t="shared" si="102"/>
        <v>3055.0914676899993</v>
      </c>
      <c r="H118" s="11">
        <f t="shared" si="102"/>
        <v>2518.0968225200004</v>
      </c>
      <c r="I118" s="11">
        <f t="shared" ref="I118:I123" si="104">SUM(F118:H118)</f>
        <v>9141.0598682999989</v>
      </c>
      <c r="J118" s="11">
        <f t="shared" ref="J118:J123" si="105">+E118+I118</f>
        <v>13303.521752649998</v>
      </c>
      <c r="K118" s="11">
        <f t="shared" si="102"/>
        <v>2500.3449146000012</v>
      </c>
      <c r="L118" s="11">
        <f t="shared" si="102"/>
        <v>3211.3533725199995</v>
      </c>
      <c r="M118" s="11">
        <f t="shared" si="102"/>
        <v>2419.9071595799987</v>
      </c>
      <c r="N118" s="11">
        <f t="shared" ref="N118:N123" si="106">SUM(K118:M118)</f>
        <v>8131.6054466999994</v>
      </c>
      <c r="O118" s="11">
        <f t="shared" si="102"/>
        <v>2693.5670144999985</v>
      </c>
      <c r="P118" s="11">
        <f t="shared" si="102"/>
        <v>3424.5240310200015</v>
      </c>
      <c r="Q118" s="11">
        <f t="shared" si="102"/>
        <v>3181.2528580399994</v>
      </c>
      <c r="R118" s="11">
        <f t="shared" ref="R118:R123" si="107">SUM(O118:Q118)</f>
        <v>9299.3439035599986</v>
      </c>
      <c r="S118" s="11">
        <f t="shared" ref="S118:S123" si="108">+N118+R118</f>
        <v>17430.949350259998</v>
      </c>
      <c r="T118" s="11">
        <f t="shared" ref="T118:T123" si="109">+J118+S118</f>
        <v>30734.471102909996</v>
      </c>
      <c r="U118" s="11"/>
      <c r="V118" s="11"/>
    </row>
    <row r="119" spans="1:22" ht="15" customHeight="1" x14ac:dyDescent="0.3">
      <c r="A119" s="12" t="s">
        <v>120</v>
      </c>
      <c r="B119" s="8">
        <v>271.89452796000012</v>
      </c>
      <c r="C119" s="8">
        <v>237.79650734000003</v>
      </c>
      <c r="D119" s="8">
        <v>254.82308878000018</v>
      </c>
      <c r="E119" s="8">
        <f t="shared" si="103"/>
        <v>764.51412408000033</v>
      </c>
      <c r="F119" s="8">
        <v>389.30268741000009</v>
      </c>
      <c r="G119" s="8">
        <v>276.55974409000004</v>
      </c>
      <c r="H119" s="8">
        <v>261.44468868000007</v>
      </c>
      <c r="I119" s="8">
        <f t="shared" si="104"/>
        <v>927.30712018000031</v>
      </c>
      <c r="J119" s="8">
        <f t="shared" si="105"/>
        <v>1691.8212442600006</v>
      </c>
      <c r="K119" s="8">
        <v>297.53715052000018</v>
      </c>
      <c r="L119" s="8">
        <v>345.3083407200001</v>
      </c>
      <c r="M119" s="8">
        <v>302.17308049999986</v>
      </c>
      <c r="N119" s="8">
        <f t="shared" si="106"/>
        <v>945.01857174000008</v>
      </c>
      <c r="O119" s="8">
        <v>301.4529139</v>
      </c>
      <c r="P119" s="8">
        <v>321.71193725999996</v>
      </c>
      <c r="Q119" s="8">
        <v>298.73493818999998</v>
      </c>
      <c r="R119" s="8">
        <f t="shared" si="107"/>
        <v>921.89978934999988</v>
      </c>
      <c r="S119" s="8">
        <f t="shared" si="108"/>
        <v>1866.91836109</v>
      </c>
      <c r="T119" s="8">
        <f t="shared" si="109"/>
        <v>3558.7396053500006</v>
      </c>
      <c r="U119" s="8"/>
      <c r="V119" s="8"/>
    </row>
    <row r="120" spans="1:22" ht="15" customHeight="1" x14ac:dyDescent="0.3">
      <c r="A120" s="12" t="s">
        <v>121</v>
      </c>
      <c r="B120" s="8">
        <v>101.70250440000002</v>
      </c>
      <c r="C120" s="8">
        <v>110.64365435000002</v>
      </c>
      <c r="D120" s="8">
        <v>103.17640294</v>
      </c>
      <c r="E120" s="8">
        <f t="shared" si="103"/>
        <v>315.52256169000003</v>
      </c>
      <c r="F120" s="8">
        <v>115.86362685999997</v>
      </c>
      <c r="G120" s="8">
        <v>87.950562980000001</v>
      </c>
      <c r="H120" s="8">
        <v>114.89402752000001</v>
      </c>
      <c r="I120" s="8">
        <f t="shared" si="104"/>
        <v>318.70821735999999</v>
      </c>
      <c r="J120" s="8">
        <f t="shared" si="105"/>
        <v>634.23077905000002</v>
      </c>
      <c r="K120" s="8">
        <v>81.951952040000023</v>
      </c>
      <c r="L120" s="8">
        <v>111.02238311000002</v>
      </c>
      <c r="M120" s="8">
        <v>85.190887599999954</v>
      </c>
      <c r="N120" s="8">
        <f t="shared" si="106"/>
        <v>278.16522275</v>
      </c>
      <c r="O120" s="8">
        <v>131.45340155000002</v>
      </c>
      <c r="P120" s="8">
        <v>102.68011871000002</v>
      </c>
      <c r="Q120" s="8">
        <v>134.27757106999999</v>
      </c>
      <c r="R120" s="8">
        <f t="shared" si="107"/>
        <v>368.41109133000003</v>
      </c>
      <c r="S120" s="8">
        <f t="shared" si="108"/>
        <v>646.57631407999997</v>
      </c>
      <c r="T120" s="8">
        <f t="shared" si="109"/>
        <v>1280.8070931299999</v>
      </c>
      <c r="U120" s="8"/>
      <c r="V120" s="8"/>
    </row>
    <row r="121" spans="1:22" ht="15" customHeight="1" x14ac:dyDescent="0.3">
      <c r="A121" s="12" t="s">
        <v>122</v>
      </c>
      <c r="B121" s="8">
        <v>41.555639559999996</v>
      </c>
      <c r="C121" s="8">
        <v>47.378957370000002</v>
      </c>
      <c r="D121" s="8">
        <v>55.21889951</v>
      </c>
      <c r="E121" s="8">
        <f t="shared" si="103"/>
        <v>144.15349644</v>
      </c>
      <c r="F121" s="8">
        <v>79.149715259999994</v>
      </c>
      <c r="G121" s="8">
        <v>60.976312449999988</v>
      </c>
      <c r="H121" s="8">
        <v>62.659450179999993</v>
      </c>
      <c r="I121" s="8">
        <f t="shared" si="104"/>
        <v>202.78547788999998</v>
      </c>
      <c r="J121" s="8">
        <f t="shared" si="105"/>
        <v>346.93897432999995</v>
      </c>
      <c r="K121" s="8">
        <v>59.660623709999996</v>
      </c>
      <c r="L121" s="8">
        <v>67.319695990000014</v>
      </c>
      <c r="M121" s="8">
        <v>46.341913149999975</v>
      </c>
      <c r="N121" s="8">
        <f t="shared" si="106"/>
        <v>173.32223284999998</v>
      </c>
      <c r="O121" s="8">
        <v>73.731638699999991</v>
      </c>
      <c r="P121" s="8">
        <v>67.765764629999993</v>
      </c>
      <c r="Q121" s="8">
        <v>59.501164260000003</v>
      </c>
      <c r="R121" s="8">
        <f t="shared" si="107"/>
        <v>200.99856758999999</v>
      </c>
      <c r="S121" s="8">
        <f t="shared" si="108"/>
        <v>374.32080043999997</v>
      </c>
      <c r="T121" s="8">
        <f t="shared" si="109"/>
        <v>721.25977476999992</v>
      </c>
      <c r="U121" s="8"/>
      <c r="V121" s="8"/>
    </row>
    <row r="122" spans="1:22" ht="15" customHeight="1" x14ac:dyDescent="0.3">
      <c r="A122" s="12" t="s">
        <v>123</v>
      </c>
      <c r="B122" s="8">
        <v>1117.38572505</v>
      </c>
      <c r="C122" s="8">
        <v>763.61212006999983</v>
      </c>
      <c r="D122" s="8">
        <v>1057.2738570199999</v>
      </c>
      <c r="E122" s="8">
        <f t="shared" si="103"/>
        <v>2938.2717021399999</v>
      </c>
      <c r="F122" s="8">
        <v>1363.0443455899995</v>
      </c>
      <c r="G122" s="8">
        <v>1028.6909903499991</v>
      </c>
      <c r="H122" s="8">
        <v>1041.1730728600005</v>
      </c>
      <c r="I122" s="8">
        <f t="shared" si="104"/>
        <v>3432.9084087999991</v>
      </c>
      <c r="J122" s="8">
        <f t="shared" si="105"/>
        <v>6371.1801109399985</v>
      </c>
      <c r="K122" s="8">
        <v>863.06217707000053</v>
      </c>
      <c r="L122" s="8">
        <v>1066.4064956699997</v>
      </c>
      <c r="M122" s="8">
        <v>1074.7515526799998</v>
      </c>
      <c r="N122" s="8">
        <f t="shared" si="106"/>
        <v>3004.2202254200001</v>
      </c>
      <c r="O122" s="8">
        <v>967.19416994999892</v>
      </c>
      <c r="P122" s="8">
        <v>1084.1516797400002</v>
      </c>
      <c r="Q122" s="8">
        <v>1228.1359760800001</v>
      </c>
      <c r="R122" s="8">
        <f t="shared" si="107"/>
        <v>3279.4818257699994</v>
      </c>
      <c r="S122" s="8">
        <f t="shared" si="108"/>
        <v>6283.7020511899991</v>
      </c>
      <c r="T122" s="8">
        <f t="shared" si="109"/>
        <v>12654.882162129998</v>
      </c>
      <c r="U122" s="8"/>
      <c r="V122" s="8"/>
    </row>
    <row r="123" spans="1:22" ht="18" customHeight="1" x14ac:dyDescent="0.3">
      <c r="A123" s="12" t="s">
        <v>124</v>
      </c>
      <c r="B123" s="8">
        <v>0</v>
      </c>
      <c r="C123" s="8">
        <v>0</v>
      </c>
      <c r="D123" s="8">
        <v>0</v>
      </c>
      <c r="E123" s="8">
        <f t="shared" si="103"/>
        <v>0</v>
      </c>
      <c r="F123" s="8">
        <v>1620.5112029700006</v>
      </c>
      <c r="G123" s="8">
        <v>1600.9138578200004</v>
      </c>
      <c r="H123" s="8">
        <v>1037.9255832799997</v>
      </c>
      <c r="I123" s="8">
        <f t="shared" si="104"/>
        <v>4259.3506440700012</v>
      </c>
      <c r="J123" s="8">
        <f t="shared" si="105"/>
        <v>4259.3506440700012</v>
      </c>
      <c r="K123" s="8">
        <v>1198.1330112600001</v>
      </c>
      <c r="L123" s="8">
        <v>1621.2964570299998</v>
      </c>
      <c r="M123" s="8">
        <v>911.44972564999921</v>
      </c>
      <c r="N123" s="8">
        <f t="shared" si="106"/>
        <v>3730.8791939399989</v>
      </c>
      <c r="O123" s="8">
        <v>1219.7348903999998</v>
      </c>
      <c r="P123" s="8">
        <v>1848.2145306800012</v>
      </c>
      <c r="Q123" s="8">
        <v>1460.6032084399994</v>
      </c>
      <c r="R123" s="8">
        <f t="shared" si="107"/>
        <v>4528.5526295200007</v>
      </c>
      <c r="S123" s="8">
        <f t="shared" si="108"/>
        <v>8259.4318234599996</v>
      </c>
      <c r="T123" s="8">
        <f t="shared" si="109"/>
        <v>12518.78246753</v>
      </c>
      <c r="U123" s="8"/>
      <c r="V123" s="8"/>
    </row>
    <row r="124" spans="1:22" s="10" customFormat="1" ht="15" customHeight="1" x14ac:dyDescent="0.3">
      <c r="A124" s="12"/>
      <c r="B124" s="11"/>
      <c r="C124" s="11"/>
      <c r="D124" s="11"/>
      <c r="E124" s="11"/>
      <c r="F124" s="11"/>
      <c r="G124" s="11"/>
      <c r="H124" s="11"/>
      <c r="I124" s="11"/>
      <c r="J124" s="11"/>
      <c r="K124" s="11"/>
      <c r="L124" s="11"/>
      <c r="M124" s="11"/>
      <c r="N124" s="11"/>
      <c r="O124" s="11"/>
      <c r="P124" s="11"/>
      <c r="Q124" s="11"/>
      <c r="R124" s="11"/>
      <c r="S124" s="11"/>
      <c r="T124" s="11"/>
      <c r="U124" s="11"/>
      <c r="V124" s="11"/>
    </row>
    <row r="125" spans="1:22" s="10" customFormat="1" ht="15" customHeight="1" x14ac:dyDescent="0.25">
      <c r="A125" s="13" t="s">
        <v>125</v>
      </c>
      <c r="B125" s="11">
        <f>SUM(B126:B129)</f>
        <v>726.02272337000011</v>
      </c>
      <c r="C125" s="11">
        <f t="shared" ref="C125:Q125" si="110">SUM(C126:C129)</f>
        <v>539.45072005999998</v>
      </c>
      <c r="D125" s="11">
        <f t="shared" si="110"/>
        <v>663.47706893000009</v>
      </c>
      <c r="E125" s="11">
        <f t="shared" ref="E125:E129" si="111">SUM(B125:D125)</f>
        <v>1928.9505123600002</v>
      </c>
      <c r="F125" s="11">
        <f t="shared" si="110"/>
        <v>835.67931275000001</v>
      </c>
      <c r="G125" s="11">
        <f t="shared" si="110"/>
        <v>577.02207128999999</v>
      </c>
      <c r="H125" s="11">
        <f t="shared" si="110"/>
        <v>661.04654847999996</v>
      </c>
      <c r="I125" s="11">
        <f t="shared" ref="I125:I129" si="112">SUM(F125:H125)</f>
        <v>2073.7479325200002</v>
      </c>
      <c r="J125" s="11">
        <f t="shared" ref="J125:J129" si="113">+E125+I125</f>
        <v>4002.6984448800004</v>
      </c>
      <c r="K125" s="11">
        <f t="shared" si="110"/>
        <v>630.29721522</v>
      </c>
      <c r="L125" s="11">
        <f t="shared" si="110"/>
        <v>584.36879609000005</v>
      </c>
      <c r="M125" s="11">
        <f t="shared" si="110"/>
        <v>552.77064818999997</v>
      </c>
      <c r="N125" s="11">
        <f t="shared" ref="N125:N129" si="114">SUM(K125:M125)</f>
        <v>1767.4366595000001</v>
      </c>
      <c r="O125" s="11">
        <f t="shared" si="110"/>
        <v>564.10847357</v>
      </c>
      <c r="P125" s="11">
        <f t="shared" si="110"/>
        <v>734.77475974999993</v>
      </c>
      <c r="Q125" s="11">
        <f t="shared" si="110"/>
        <v>711.02837409999995</v>
      </c>
      <c r="R125" s="11">
        <f t="shared" ref="R125:R129" si="115">SUM(O125:Q125)</f>
        <v>2009.9116074199997</v>
      </c>
      <c r="S125" s="11">
        <f t="shared" ref="S125:S129" si="116">+N125+R125</f>
        <v>3777.3482669199998</v>
      </c>
      <c r="T125" s="11">
        <f t="shared" ref="T125:T129" si="117">+J125+S125</f>
        <v>7780.0467117999997</v>
      </c>
      <c r="U125" s="11"/>
      <c r="V125" s="11"/>
    </row>
    <row r="126" spans="1:22" ht="15" customHeight="1" x14ac:dyDescent="0.3">
      <c r="A126" s="12" t="s">
        <v>126</v>
      </c>
      <c r="B126" s="8">
        <v>137.44872137000004</v>
      </c>
      <c r="C126" s="8">
        <v>117.70863645000001</v>
      </c>
      <c r="D126" s="8">
        <v>120.86608876</v>
      </c>
      <c r="E126" s="8">
        <f t="shared" si="111"/>
        <v>376.02344658000004</v>
      </c>
      <c r="F126" s="8">
        <v>161.92945169000001</v>
      </c>
      <c r="G126" s="8">
        <v>118.25018683999997</v>
      </c>
      <c r="H126" s="8">
        <v>106.93337205000005</v>
      </c>
      <c r="I126" s="8">
        <f t="shared" si="112"/>
        <v>387.11301058000004</v>
      </c>
      <c r="J126" s="8">
        <f t="shared" si="113"/>
        <v>763.13645716000008</v>
      </c>
      <c r="K126" s="8">
        <v>149.74037073000002</v>
      </c>
      <c r="L126" s="8">
        <v>129.83907916000004</v>
      </c>
      <c r="M126" s="8">
        <v>116.59471141000006</v>
      </c>
      <c r="N126" s="8">
        <f t="shared" si="114"/>
        <v>396.17416130000015</v>
      </c>
      <c r="O126" s="8">
        <v>111.34307833000007</v>
      </c>
      <c r="P126" s="8">
        <v>164.04781828000003</v>
      </c>
      <c r="Q126" s="8">
        <v>195.73546887000001</v>
      </c>
      <c r="R126" s="8">
        <f t="shared" si="115"/>
        <v>471.12636548000012</v>
      </c>
      <c r="S126" s="8">
        <f t="shared" si="116"/>
        <v>867.30052678000027</v>
      </c>
      <c r="T126" s="8">
        <f t="shared" si="117"/>
        <v>1630.4369839400003</v>
      </c>
      <c r="U126" s="8"/>
      <c r="V126" s="8"/>
    </row>
    <row r="127" spans="1:22" ht="15" customHeight="1" x14ac:dyDescent="0.3">
      <c r="A127" s="12" t="s">
        <v>127</v>
      </c>
      <c r="B127" s="8">
        <v>228.05598276999993</v>
      </c>
      <c r="C127" s="8">
        <v>181.32329307999998</v>
      </c>
      <c r="D127" s="8">
        <v>222.56661175000002</v>
      </c>
      <c r="E127" s="8">
        <f t="shared" si="111"/>
        <v>631.94588759999988</v>
      </c>
      <c r="F127" s="8">
        <v>312.92528056999993</v>
      </c>
      <c r="G127" s="8">
        <v>242.44927178999995</v>
      </c>
      <c r="H127" s="8">
        <v>175.88760338999992</v>
      </c>
      <c r="I127" s="8">
        <f t="shared" si="112"/>
        <v>731.26215574999969</v>
      </c>
      <c r="J127" s="8">
        <f t="shared" si="113"/>
        <v>1363.2080433499996</v>
      </c>
      <c r="K127" s="8">
        <v>187.73344556000006</v>
      </c>
      <c r="L127" s="8">
        <v>269.8217729299999</v>
      </c>
      <c r="M127" s="8">
        <v>181.72356524999998</v>
      </c>
      <c r="N127" s="8">
        <f t="shared" si="114"/>
        <v>639.27878373999988</v>
      </c>
      <c r="O127" s="8">
        <v>223.29974330000002</v>
      </c>
      <c r="P127" s="8">
        <v>290.24792270999973</v>
      </c>
      <c r="Q127" s="8">
        <v>199.44133191</v>
      </c>
      <c r="R127" s="8">
        <f t="shared" si="115"/>
        <v>712.98899791999975</v>
      </c>
      <c r="S127" s="8">
        <f t="shared" si="116"/>
        <v>1352.2677816599996</v>
      </c>
      <c r="T127" s="8">
        <f t="shared" si="117"/>
        <v>2715.4758250099994</v>
      </c>
      <c r="U127" s="8"/>
      <c r="V127" s="8"/>
    </row>
    <row r="128" spans="1:22" ht="15" customHeight="1" x14ac:dyDescent="0.3">
      <c r="A128" s="12" t="s">
        <v>128</v>
      </c>
      <c r="B128" s="8">
        <v>250.77743611000002</v>
      </c>
      <c r="C128" s="8">
        <v>127.09458038000002</v>
      </c>
      <c r="D128" s="8">
        <v>209.74912677999995</v>
      </c>
      <c r="E128" s="8">
        <f t="shared" si="111"/>
        <v>587.62114327000006</v>
      </c>
      <c r="F128" s="8">
        <v>240.13711343000003</v>
      </c>
      <c r="G128" s="8">
        <v>142.62382951000009</v>
      </c>
      <c r="H128" s="8">
        <v>303.66867314999996</v>
      </c>
      <c r="I128" s="8">
        <f t="shared" si="112"/>
        <v>686.42961609000008</v>
      </c>
      <c r="J128" s="8">
        <f t="shared" si="113"/>
        <v>1274.05075936</v>
      </c>
      <c r="K128" s="8">
        <v>210.58678212999999</v>
      </c>
      <c r="L128" s="8">
        <v>91.28330736000008</v>
      </c>
      <c r="M128" s="8">
        <v>175.32908382999997</v>
      </c>
      <c r="N128" s="8">
        <f t="shared" si="114"/>
        <v>477.19917332</v>
      </c>
      <c r="O128" s="8">
        <v>151.47243551</v>
      </c>
      <c r="P128" s="8">
        <v>190.5501797200001</v>
      </c>
      <c r="Q128" s="8">
        <v>233.81656450999998</v>
      </c>
      <c r="R128" s="8">
        <f t="shared" si="115"/>
        <v>575.83917974000008</v>
      </c>
      <c r="S128" s="8">
        <f t="shared" si="116"/>
        <v>1053.0383530600002</v>
      </c>
      <c r="T128" s="8">
        <f t="shared" si="117"/>
        <v>2327.0891124200002</v>
      </c>
      <c r="U128" s="8"/>
      <c r="V128" s="8"/>
    </row>
    <row r="129" spans="1:22" ht="15" customHeight="1" x14ac:dyDescent="0.3">
      <c r="A129" s="12" t="s">
        <v>129</v>
      </c>
      <c r="B129" s="8">
        <v>109.74058312000007</v>
      </c>
      <c r="C129" s="8">
        <v>113.32421014999997</v>
      </c>
      <c r="D129" s="8">
        <v>110.29524164000007</v>
      </c>
      <c r="E129" s="8">
        <f t="shared" si="111"/>
        <v>333.36003491000014</v>
      </c>
      <c r="F129" s="8">
        <v>120.68746705999997</v>
      </c>
      <c r="G129" s="8">
        <v>73.698783149999983</v>
      </c>
      <c r="H129" s="8">
        <v>74.556899890000011</v>
      </c>
      <c r="I129" s="8">
        <f t="shared" si="112"/>
        <v>268.94315009999997</v>
      </c>
      <c r="J129" s="8">
        <f t="shared" si="113"/>
        <v>602.30318501000011</v>
      </c>
      <c r="K129" s="8">
        <v>82.236616800000036</v>
      </c>
      <c r="L129" s="8">
        <v>93.424636639999989</v>
      </c>
      <c r="M129" s="8">
        <v>79.123287699999977</v>
      </c>
      <c r="N129" s="8">
        <f t="shared" si="114"/>
        <v>254.78454113999999</v>
      </c>
      <c r="O129" s="8">
        <v>77.993216430000004</v>
      </c>
      <c r="P129" s="8">
        <v>89.928839040000028</v>
      </c>
      <c r="Q129" s="8">
        <v>82.035008810000008</v>
      </c>
      <c r="R129" s="8">
        <f t="shared" si="115"/>
        <v>249.95706428000005</v>
      </c>
      <c r="S129" s="8">
        <f t="shared" si="116"/>
        <v>504.74160542000004</v>
      </c>
      <c r="T129" s="8">
        <f t="shared" si="117"/>
        <v>1107.0447904300001</v>
      </c>
      <c r="U129" s="8"/>
      <c r="V129" s="8"/>
    </row>
    <row r="130" spans="1:22" s="10" customFormat="1" ht="15" customHeight="1" x14ac:dyDescent="0.3">
      <c r="A130" s="12"/>
      <c r="B130" s="11"/>
      <c r="C130" s="11"/>
      <c r="D130" s="11"/>
      <c r="E130" s="11"/>
      <c r="F130" s="11"/>
      <c r="G130" s="11"/>
      <c r="H130" s="11"/>
      <c r="I130" s="11"/>
      <c r="J130" s="11"/>
      <c r="K130" s="11"/>
      <c r="L130" s="11"/>
      <c r="M130" s="11"/>
      <c r="N130" s="11"/>
      <c r="O130" s="11"/>
      <c r="P130" s="11"/>
      <c r="Q130" s="11"/>
      <c r="R130" s="11"/>
      <c r="S130" s="11"/>
      <c r="T130" s="11"/>
      <c r="U130" s="11"/>
      <c r="V130" s="11"/>
    </row>
    <row r="131" spans="1:22" s="10" customFormat="1" ht="15" customHeight="1" x14ac:dyDescent="0.25">
      <c r="A131" s="13" t="s">
        <v>130</v>
      </c>
      <c r="B131" s="11">
        <f>SUM(B132:B135)</f>
        <v>477.23384455999997</v>
      </c>
      <c r="C131" s="11">
        <f t="shared" ref="C131:Q131" si="118">SUM(C132:C135)</f>
        <v>425.10174925000007</v>
      </c>
      <c r="D131" s="11">
        <f t="shared" si="118"/>
        <v>435.59522915000002</v>
      </c>
      <c r="E131" s="11">
        <f t="shared" ref="E131:E135" si="119">SUM(B131:D131)</f>
        <v>1337.9308229600001</v>
      </c>
      <c r="F131" s="11">
        <f t="shared" si="118"/>
        <v>574.08813054999996</v>
      </c>
      <c r="G131" s="11">
        <f t="shared" si="118"/>
        <v>439.44289133999996</v>
      </c>
      <c r="H131" s="11">
        <f t="shared" si="118"/>
        <v>449.43024645999998</v>
      </c>
      <c r="I131" s="11">
        <f t="shared" ref="I131:I135" si="120">SUM(F131:H131)</f>
        <v>1462.96126835</v>
      </c>
      <c r="J131" s="11">
        <f t="shared" ref="J131:J135" si="121">+E131+I131</f>
        <v>2800.8920913100001</v>
      </c>
      <c r="K131" s="11">
        <f t="shared" si="118"/>
        <v>459.25751231000004</v>
      </c>
      <c r="L131" s="11">
        <f t="shared" si="118"/>
        <v>522.97576962999995</v>
      </c>
      <c r="M131" s="11">
        <f t="shared" si="118"/>
        <v>493.65373023000006</v>
      </c>
      <c r="N131" s="11">
        <f t="shared" ref="N131:N135" si="122">SUM(K131:M131)</f>
        <v>1475.8870121700002</v>
      </c>
      <c r="O131" s="11">
        <f t="shared" si="118"/>
        <v>464.94474970999988</v>
      </c>
      <c r="P131" s="11">
        <f t="shared" si="118"/>
        <v>558.69551478000005</v>
      </c>
      <c r="Q131" s="11">
        <f t="shared" si="118"/>
        <v>649.76290762000008</v>
      </c>
      <c r="R131" s="11">
        <f t="shared" ref="R131:R135" si="123">SUM(O131:Q131)</f>
        <v>1673.40317211</v>
      </c>
      <c r="S131" s="11">
        <f t="shared" ref="S131:S135" si="124">+N131+R131</f>
        <v>3149.2901842800002</v>
      </c>
      <c r="T131" s="11">
        <f t="shared" ref="T131:T135" si="125">+J131+S131</f>
        <v>5950.1822755900002</v>
      </c>
      <c r="U131" s="11"/>
      <c r="V131" s="11"/>
    </row>
    <row r="132" spans="1:22" ht="15" customHeight="1" x14ac:dyDescent="0.3">
      <c r="A132" s="12" t="s">
        <v>131</v>
      </c>
      <c r="B132" s="8">
        <v>178.71846032999994</v>
      </c>
      <c r="C132" s="8">
        <v>206.07598054000002</v>
      </c>
      <c r="D132" s="8">
        <v>209.95316049000002</v>
      </c>
      <c r="E132" s="8">
        <f t="shared" si="119"/>
        <v>594.74760135999998</v>
      </c>
      <c r="F132" s="8">
        <v>270.83847333999995</v>
      </c>
      <c r="G132" s="8">
        <v>200.31330221999991</v>
      </c>
      <c r="H132" s="8">
        <v>211.73213541000001</v>
      </c>
      <c r="I132" s="8">
        <f t="shared" si="120"/>
        <v>682.88391096999987</v>
      </c>
      <c r="J132" s="8">
        <f t="shared" si="121"/>
        <v>1277.6315123299999</v>
      </c>
      <c r="K132" s="8">
        <v>207.44778613</v>
      </c>
      <c r="L132" s="8">
        <v>262.93281203999999</v>
      </c>
      <c r="M132" s="8">
        <v>228.73201170999999</v>
      </c>
      <c r="N132" s="8">
        <f t="shared" si="122"/>
        <v>699.11260988000004</v>
      </c>
      <c r="O132" s="8">
        <v>194.28009175999989</v>
      </c>
      <c r="P132" s="8">
        <v>273.88033698000004</v>
      </c>
      <c r="Q132" s="8">
        <v>348.52404213</v>
      </c>
      <c r="R132" s="8">
        <f t="shared" si="123"/>
        <v>816.68447086999993</v>
      </c>
      <c r="S132" s="8">
        <f t="shared" si="124"/>
        <v>1515.7970807500001</v>
      </c>
      <c r="T132" s="8">
        <f t="shared" si="125"/>
        <v>2793.4285930799997</v>
      </c>
      <c r="U132" s="8"/>
      <c r="V132" s="8"/>
    </row>
    <row r="133" spans="1:22" ht="15" customHeight="1" x14ac:dyDescent="0.3">
      <c r="A133" s="12" t="s">
        <v>132</v>
      </c>
      <c r="B133" s="8">
        <v>91.140036729999977</v>
      </c>
      <c r="C133" s="8">
        <v>66.06142859000002</v>
      </c>
      <c r="D133" s="8">
        <v>68.104695210000003</v>
      </c>
      <c r="E133" s="8">
        <f t="shared" si="119"/>
        <v>225.30616053</v>
      </c>
      <c r="F133" s="8">
        <v>99.826557950000009</v>
      </c>
      <c r="G133" s="8">
        <v>77.487459870000009</v>
      </c>
      <c r="H133" s="8">
        <v>74.483998130000003</v>
      </c>
      <c r="I133" s="8">
        <f t="shared" si="120"/>
        <v>251.79801595000001</v>
      </c>
      <c r="J133" s="8">
        <f t="shared" si="121"/>
        <v>477.10417647999998</v>
      </c>
      <c r="K133" s="8">
        <v>89.439825670000019</v>
      </c>
      <c r="L133" s="8">
        <v>88.525453450000001</v>
      </c>
      <c r="M133" s="8">
        <v>87.030145650000009</v>
      </c>
      <c r="N133" s="8">
        <f t="shared" si="122"/>
        <v>264.99542477</v>
      </c>
      <c r="O133" s="8">
        <v>77.204851860000005</v>
      </c>
      <c r="P133" s="8">
        <v>91.898912949999996</v>
      </c>
      <c r="Q133" s="8">
        <v>97.088992560000008</v>
      </c>
      <c r="R133" s="8">
        <f t="shared" si="123"/>
        <v>266.19275736999998</v>
      </c>
      <c r="S133" s="8">
        <f t="shared" si="124"/>
        <v>531.18818213999998</v>
      </c>
      <c r="T133" s="8">
        <f t="shared" si="125"/>
        <v>1008.29235862</v>
      </c>
      <c r="U133" s="8"/>
      <c r="V133" s="8"/>
    </row>
    <row r="134" spans="1:22" ht="15" customHeight="1" x14ac:dyDescent="0.3">
      <c r="A134" s="12" t="s">
        <v>133</v>
      </c>
      <c r="B134" s="8">
        <v>116.96902629999998</v>
      </c>
      <c r="C134" s="8">
        <v>73.754553189999996</v>
      </c>
      <c r="D134" s="8">
        <v>87.228055949999998</v>
      </c>
      <c r="E134" s="8">
        <f t="shared" si="119"/>
        <v>277.95163543999996</v>
      </c>
      <c r="F134" s="8">
        <v>120.88551103</v>
      </c>
      <c r="G134" s="8">
        <v>88.399143240000015</v>
      </c>
      <c r="H134" s="8">
        <v>85.773960779999982</v>
      </c>
      <c r="I134" s="8">
        <f t="shared" si="120"/>
        <v>295.05861505000001</v>
      </c>
      <c r="J134" s="8">
        <f t="shared" si="121"/>
        <v>573.01025048999998</v>
      </c>
      <c r="K134" s="8">
        <v>90.256931930000007</v>
      </c>
      <c r="L134" s="8">
        <v>87.439527999999967</v>
      </c>
      <c r="M134" s="8">
        <v>102.24572675</v>
      </c>
      <c r="N134" s="8">
        <f t="shared" si="122"/>
        <v>279.94218667999996</v>
      </c>
      <c r="O134" s="8">
        <v>102.51822546000001</v>
      </c>
      <c r="P134" s="8">
        <v>108.68462766999998</v>
      </c>
      <c r="Q134" s="8">
        <v>132.36151136000001</v>
      </c>
      <c r="R134" s="8">
        <f t="shared" si="123"/>
        <v>343.56436449</v>
      </c>
      <c r="S134" s="8">
        <f t="shared" si="124"/>
        <v>623.50655116999997</v>
      </c>
      <c r="T134" s="8">
        <f t="shared" si="125"/>
        <v>1196.5168016600001</v>
      </c>
      <c r="U134" s="8"/>
      <c r="V134" s="8"/>
    </row>
    <row r="135" spans="1:22" ht="15" customHeight="1" x14ac:dyDescent="0.3">
      <c r="A135" s="12" t="s">
        <v>134</v>
      </c>
      <c r="B135" s="8">
        <v>90.406321200000008</v>
      </c>
      <c r="C135" s="8">
        <v>79.209786930000007</v>
      </c>
      <c r="D135" s="8">
        <v>70.30931750000002</v>
      </c>
      <c r="E135" s="8">
        <f t="shared" si="119"/>
        <v>239.92542563000003</v>
      </c>
      <c r="F135" s="8">
        <v>82.537588229999997</v>
      </c>
      <c r="G135" s="8">
        <v>73.24298601000001</v>
      </c>
      <c r="H135" s="8">
        <v>77.440152139999995</v>
      </c>
      <c r="I135" s="8">
        <f t="shared" si="120"/>
        <v>233.22072638000003</v>
      </c>
      <c r="J135" s="8">
        <f t="shared" si="121"/>
        <v>473.14615201000004</v>
      </c>
      <c r="K135" s="8">
        <v>72.11296858</v>
      </c>
      <c r="L135" s="8">
        <v>84.077976140000004</v>
      </c>
      <c r="M135" s="8">
        <v>75.645846120000016</v>
      </c>
      <c r="N135" s="8">
        <f t="shared" si="122"/>
        <v>231.83679084000002</v>
      </c>
      <c r="O135" s="8">
        <v>90.94158062999999</v>
      </c>
      <c r="P135" s="8">
        <v>84.231637180000007</v>
      </c>
      <c r="Q135" s="8">
        <v>71.788361569999992</v>
      </c>
      <c r="R135" s="8">
        <f t="shared" si="123"/>
        <v>246.96157937999999</v>
      </c>
      <c r="S135" s="8">
        <f t="shared" si="124"/>
        <v>478.79837022000004</v>
      </c>
      <c r="T135" s="8">
        <f t="shared" si="125"/>
        <v>951.94452223000008</v>
      </c>
      <c r="U135" s="8"/>
      <c r="V135" s="8"/>
    </row>
    <row r="136" spans="1:22" s="10" customFormat="1" ht="15" customHeight="1" x14ac:dyDescent="0.3">
      <c r="A136" s="12"/>
      <c r="B136" s="11"/>
      <c r="C136" s="11"/>
      <c r="D136" s="11"/>
      <c r="E136" s="11"/>
      <c r="F136" s="11"/>
      <c r="G136" s="11"/>
      <c r="H136" s="11"/>
      <c r="I136" s="11"/>
      <c r="J136" s="11"/>
      <c r="K136" s="11"/>
      <c r="L136" s="11"/>
      <c r="M136" s="11"/>
      <c r="N136" s="11"/>
      <c r="O136" s="11"/>
      <c r="P136" s="11"/>
      <c r="Q136" s="11"/>
      <c r="R136" s="11"/>
      <c r="S136" s="11"/>
      <c r="T136" s="11"/>
      <c r="U136" s="11"/>
      <c r="V136" s="11"/>
    </row>
    <row r="137" spans="1:22" s="10" customFormat="1" ht="15" customHeight="1" x14ac:dyDescent="0.25">
      <c r="A137" s="14" t="s">
        <v>135</v>
      </c>
      <c r="B137" s="11">
        <f>SUM(B138:B143)</f>
        <v>259.27295686000002</v>
      </c>
      <c r="C137" s="11">
        <f t="shared" ref="C137:Q137" si="126">SUM(C138:C143)</f>
        <v>324.81842090000004</v>
      </c>
      <c r="D137" s="11">
        <f t="shared" si="126"/>
        <v>286.30094042000002</v>
      </c>
      <c r="E137" s="11">
        <f t="shared" ref="E137:E142" si="127">SUM(B137:D137)</f>
        <v>870.39231818000007</v>
      </c>
      <c r="F137" s="11">
        <f t="shared" si="126"/>
        <v>332.61367189999999</v>
      </c>
      <c r="G137" s="11">
        <f t="shared" si="126"/>
        <v>214.49372711999999</v>
      </c>
      <c r="H137" s="11">
        <f t="shared" si="126"/>
        <v>229.34005930000001</v>
      </c>
      <c r="I137" s="11">
        <f t="shared" ref="I137:I142" si="128">SUM(F137:H137)</f>
        <v>776.44745832000001</v>
      </c>
      <c r="J137" s="11">
        <f t="shared" ref="J137:J142" si="129">+E137+I137</f>
        <v>1646.8397765</v>
      </c>
      <c r="K137" s="11">
        <f t="shared" si="126"/>
        <v>319.00154459999999</v>
      </c>
      <c r="L137" s="11">
        <f t="shared" si="126"/>
        <v>242.57850681999997</v>
      </c>
      <c r="M137" s="11">
        <f t="shared" si="126"/>
        <v>302.09843708999995</v>
      </c>
      <c r="N137" s="11">
        <f t="shared" ref="N137:N142" si="130">SUM(K137:M137)</f>
        <v>863.67848850999997</v>
      </c>
      <c r="O137" s="11">
        <f t="shared" si="126"/>
        <v>294.41813174999999</v>
      </c>
      <c r="P137" s="11">
        <f t="shared" si="126"/>
        <v>286.85769514000003</v>
      </c>
      <c r="Q137" s="11">
        <f t="shared" si="126"/>
        <v>316.20457035000004</v>
      </c>
      <c r="R137" s="11">
        <f t="shared" ref="R137:R142" si="131">SUM(O137:Q137)</f>
        <v>897.48039724</v>
      </c>
      <c r="S137" s="11">
        <f t="shared" ref="S137:S142" si="132">+N137+R137</f>
        <v>1761.1588857500001</v>
      </c>
      <c r="T137" s="11">
        <f t="shared" ref="T137:T142" si="133">+J137+S137</f>
        <v>3407.9986622500001</v>
      </c>
      <c r="U137" s="11"/>
      <c r="V137" s="11"/>
    </row>
    <row r="138" spans="1:22" ht="15" customHeight="1" x14ac:dyDescent="0.3">
      <c r="A138" s="12" t="s">
        <v>136</v>
      </c>
      <c r="B138" s="8">
        <v>20.533537160000002</v>
      </c>
      <c r="C138" s="8">
        <v>49.386860069999997</v>
      </c>
      <c r="D138" s="8">
        <v>43.808224269999997</v>
      </c>
      <c r="E138" s="8">
        <f t="shared" si="127"/>
        <v>113.72862149999999</v>
      </c>
      <c r="F138" s="8">
        <v>17.727207229999998</v>
      </c>
      <c r="G138" s="8">
        <v>17.767904900000001</v>
      </c>
      <c r="H138" s="8">
        <v>17.992353950000002</v>
      </c>
      <c r="I138" s="8">
        <f t="shared" si="128"/>
        <v>53.487466079999997</v>
      </c>
      <c r="J138" s="8">
        <f t="shared" si="129"/>
        <v>167.21608757999999</v>
      </c>
      <c r="K138" s="8">
        <v>40.082779369999997</v>
      </c>
      <c r="L138" s="8">
        <v>19.967156410000001</v>
      </c>
      <c r="M138" s="8">
        <v>17.989885469999997</v>
      </c>
      <c r="N138" s="8">
        <f t="shared" si="130"/>
        <v>78.039821249999989</v>
      </c>
      <c r="O138" s="8">
        <v>45.667859959999994</v>
      </c>
      <c r="P138" s="8">
        <v>16.884871</v>
      </c>
      <c r="Q138" s="8">
        <v>30.701518920000002</v>
      </c>
      <c r="R138" s="8">
        <f t="shared" si="131"/>
        <v>93.254249879999989</v>
      </c>
      <c r="S138" s="8">
        <f t="shared" si="132"/>
        <v>171.29407112999996</v>
      </c>
      <c r="T138" s="8">
        <f t="shared" si="133"/>
        <v>338.51015870999993</v>
      </c>
      <c r="U138" s="8"/>
      <c r="V138" s="8"/>
    </row>
    <row r="139" spans="1:22" ht="15" customHeight="1" x14ac:dyDescent="0.3">
      <c r="A139" s="12" t="s">
        <v>137</v>
      </c>
      <c r="B139" s="8">
        <v>43.449174649999996</v>
      </c>
      <c r="C139" s="8">
        <v>89.466753799999992</v>
      </c>
      <c r="D139" s="8">
        <v>56.11713116</v>
      </c>
      <c r="E139" s="8">
        <f t="shared" si="127"/>
        <v>189.03305961000001</v>
      </c>
      <c r="F139" s="8">
        <v>46.003318139999998</v>
      </c>
      <c r="G139" s="8">
        <v>70.517129909999994</v>
      </c>
      <c r="H139" s="8">
        <v>19.864516700000003</v>
      </c>
      <c r="I139" s="8">
        <f t="shared" si="128"/>
        <v>136.38496474999999</v>
      </c>
      <c r="J139" s="8">
        <f t="shared" si="129"/>
        <v>325.41802436</v>
      </c>
      <c r="K139" s="8">
        <v>62.169244819999996</v>
      </c>
      <c r="L139" s="8">
        <v>38.381993000000001</v>
      </c>
      <c r="M139" s="8">
        <v>64.887428810000017</v>
      </c>
      <c r="N139" s="8">
        <f t="shared" si="130"/>
        <v>165.43866663</v>
      </c>
      <c r="O139" s="8">
        <v>51.545302499999998</v>
      </c>
      <c r="P139" s="8">
        <v>64.107650739999997</v>
      </c>
      <c r="Q139" s="8">
        <v>59.918691350000003</v>
      </c>
      <c r="R139" s="8">
        <f t="shared" si="131"/>
        <v>175.57164459000001</v>
      </c>
      <c r="S139" s="8">
        <f t="shared" si="132"/>
        <v>341.01031122000001</v>
      </c>
      <c r="T139" s="8">
        <f t="shared" si="133"/>
        <v>666.42833558000007</v>
      </c>
      <c r="U139" s="8"/>
      <c r="V139" s="8"/>
    </row>
    <row r="140" spans="1:22" ht="15" customHeight="1" x14ac:dyDescent="0.3">
      <c r="A140" s="12" t="s">
        <v>138</v>
      </c>
      <c r="B140" s="8">
        <v>172.53152232000002</v>
      </c>
      <c r="C140" s="8">
        <v>130.92658397</v>
      </c>
      <c r="D140" s="8">
        <v>146.94849275000001</v>
      </c>
      <c r="E140" s="8">
        <f t="shared" si="127"/>
        <v>450.40659904000006</v>
      </c>
      <c r="F140" s="8">
        <v>212.00997107999999</v>
      </c>
      <c r="G140" s="8">
        <v>102.11284517999998</v>
      </c>
      <c r="H140" s="8">
        <v>161.4461958</v>
      </c>
      <c r="I140" s="8">
        <f t="shared" si="128"/>
        <v>475.56901205999998</v>
      </c>
      <c r="J140" s="8">
        <f t="shared" si="129"/>
        <v>925.97561110000004</v>
      </c>
      <c r="K140" s="8">
        <v>176.50837408000001</v>
      </c>
      <c r="L140" s="8">
        <v>151.86701632999998</v>
      </c>
      <c r="M140" s="8">
        <v>181.85276857999997</v>
      </c>
      <c r="N140" s="8">
        <f t="shared" si="130"/>
        <v>510.22815899</v>
      </c>
      <c r="O140" s="8">
        <v>177.92137753</v>
      </c>
      <c r="P140" s="8">
        <v>163.77380776000001</v>
      </c>
      <c r="Q140" s="8">
        <v>162.50550573000001</v>
      </c>
      <c r="R140" s="8">
        <f t="shared" si="131"/>
        <v>504.20069102000002</v>
      </c>
      <c r="S140" s="8">
        <f t="shared" si="132"/>
        <v>1014.42885001</v>
      </c>
      <c r="T140" s="8">
        <f t="shared" si="133"/>
        <v>1940.4044611100001</v>
      </c>
      <c r="U140" s="8"/>
      <c r="V140" s="8"/>
    </row>
    <row r="141" spans="1:22" ht="15" customHeight="1" x14ac:dyDescent="0.3">
      <c r="A141" s="12" t="s">
        <v>139</v>
      </c>
      <c r="B141" s="8">
        <v>14.933348599999999</v>
      </c>
      <c r="C141" s="8">
        <v>35.172174090000006</v>
      </c>
      <c r="D141" s="8">
        <v>22.842241689999998</v>
      </c>
      <c r="E141" s="8">
        <f t="shared" si="127"/>
        <v>72.947764379999995</v>
      </c>
      <c r="F141" s="8">
        <v>32.773678430000004</v>
      </c>
      <c r="G141" s="8">
        <v>14.179914190000002</v>
      </c>
      <c r="H141" s="8">
        <v>17.335763759999999</v>
      </c>
      <c r="I141" s="8">
        <f t="shared" si="128"/>
        <v>64.289356380000015</v>
      </c>
      <c r="J141" s="8">
        <f t="shared" si="129"/>
        <v>137.23712076000001</v>
      </c>
      <c r="K141" s="8">
        <v>26.344149920000003</v>
      </c>
      <c r="L141" s="8">
        <v>17.103553179999999</v>
      </c>
      <c r="M141" s="8">
        <v>19.06535555</v>
      </c>
      <c r="N141" s="8">
        <f t="shared" si="130"/>
        <v>62.513058649999998</v>
      </c>
      <c r="O141" s="8">
        <v>7.7636953799999997</v>
      </c>
      <c r="P141" s="8">
        <v>21.512848749999996</v>
      </c>
      <c r="Q141" s="8">
        <v>31.317943629999998</v>
      </c>
      <c r="R141" s="8">
        <f t="shared" si="131"/>
        <v>60.594487759999993</v>
      </c>
      <c r="S141" s="8">
        <f t="shared" si="132"/>
        <v>123.10754641</v>
      </c>
      <c r="T141" s="8">
        <f t="shared" si="133"/>
        <v>260.34466716999998</v>
      </c>
      <c r="U141" s="8"/>
      <c r="V141" s="8"/>
    </row>
    <row r="142" spans="1:22" ht="15" customHeight="1" x14ac:dyDescent="0.3">
      <c r="A142" s="12" t="s">
        <v>140</v>
      </c>
      <c r="B142" s="8">
        <v>7.8253741300000002</v>
      </c>
      <c r="C142" s="8">
        <v>19.866048969999998</v>
      </c>
      <c r="D142" s="8">
        <v>16.584850550000002</v>
      </c>
      <c r="E142" s="8">
        <f t="shared" si="127"/>
        <v>44.27627365</v>
      </c>
      <c r="F142" s="8">
        <v>24.099497020000001</v>
      </c>
      <c r="G142" s="8">
        <v>9.9159329399999994</v>
      </c>
      <c r="H142" s="8">
        <v>12.70122909</v>
      </c>
      <c r="I142" s="8">
        <f t="shared" si="128"/>
        <v>46.716659049999997</v>
      </c>
      <c r="J142" s="8">
        <f t="shared" si="129"/>
        <v>90.992932699999997</v>
      </c>
      <c r="K142" s="8">
        <v>13.89699641</v>
      </c>
      <c r="L142" s="8">
        <v>15.258787899999998</v>
      </c>
      <c r="M142" s="8">
        <v>18.302998679999998</v>
      </c>
      <c r="N142" s="8">
        <f t="shared" si="130"/>
        <v>47.458782989999996</v>
      </c>
      <c r="O142" s="8">
        <v>11.51989638</v>
      </c>
      <c r="P142" s="8">
        <v>20.57851689</v>
      </c>
      <c r="Q142" s="8">
        <v>31.760910720000002</v>
      </c>
      <c r="R142" s="8">
        <f t="shared" si="131"/>
        <v>63.859323990000007</v>
      </c>
      <c r="S142" s="8">
        <f t="shared" si="132"/>
        <v>111.31810698000001</v>
      </c>
      <c r="T142" s="8">
        <f t="shared" si="133"/>
        <v>202.31103968000002</v>
      </c>
      <c r="U142" s="8"/>
      <c r="V142" s="8"/>
    </row>
    <row r="143" spans="1:22" ht="18" customHeight="1" x14ac:dyDescent="0.3">
      <c r="A143" s="12" t="s">
        <v>141</v>
      </c>
      <c r="B143" s="8"/>
      <c r="C143" s="8"/>
      <c r="D143" s="8"/>
      <c r="E143" s="8"/>
      <c r="F143" s="8"/>
      <c r="G143" s="8"/>
      <c r="H143" s="8"/>
      <c r="I143" s="8"/>
      <c r="J143" s="8"/>
      <c r="K143" s="8"/>
      <c r="L143" s="8"/>
      <c r="M143" s="8"/>
      <c r="N143" s="8"/>
      <c r="O143" s="8"/>
      <c r="P143" s="8"/>
      <c r="Q143" s="8"/>
      <c r="R143" s="8"/>
      <c r="S143" s="8"/>
      <c r="T143" s="8"/>
      <c r="U143" s="8"/>
      <c r="V143" s="8"/>
    </row>
    <row r="144" spans="1:22" ht="15" customHeight="1" x14ac:dyDescent="0.3">
      <c r="B144" s="8"/>
      <c r="C144" s="8"/>
      <c r="D144" s="8"/>
      <c r="E144" s="8"/>
      <c r="F144" s="8"/>
      <c r="G144" s="8"/>
      <c r="H144" s="8"/>
      <c r="I144" s="8"/>
      <c r="J144" s="8"/>
      <c r="K144" s="8"/>
      <c r="L144" s="8"/>
      <c r="M144" s="8"/>
      <c r="N144" s="8"/>
      <c r="O144" s="8"/>
      <c r="P144" s="8"/>
      <c r="Q144" s="8"/>
      <c r="R144" s="8"/>
      <c r="S144" s="8"/>
      <c r="T144" s="8"/>
      <c r="U144" s="8"/>
      <c r="V144" s="8"/>
    </row>
    <row r="145" spans="1:36" s="10" customFormat="1" ht="15" customHeight="1" x14ac:dyDescent="0.25">
      <c r="A145" s="10" t="s">
        <v>142</v>
      </c>
      <c r="B145" s="11">
        <f>+B7+B25+B33+B39+B45+B56+B64+B71+B79+B86+B90+B96+B104+B111+B118+B125+B131+B137</f>
        <v>143991.648367541</v>
      </c>
      <c r="C145" s="11">
        <f t="shared" ref="C145:Q145" si="134">+C7+C25+C33+C39+C45+C56+C64+C71+C79+C86+C90+C96+C104+C111+C118+C125+C131+C137</f>
        <v>102780.80866864999</v>
      </c>
      <c r="D145" s="11">
        <f t="shared" si="134"/>
        <v>113097.86496163004</v>
      </c>
      <c r="E145" s="11">
        <f>SUM(B145:D145)</f>
        <v>359870.32199782104</v>
      </c>
      <c r="F145" s="11">
        <f t="shared" si="134"/>
        <v>190146.25447595996</v>
      </c>
      <c r="G145" s="11">
        <f t="shared" si="134"/>
        <v>155091.30644659704</v>
      </c>
      <c r="H145" s="11">
        <f t="shared" si="134"/>
        <v>129734.2413566</v>
      </c>
      <c r="I145" s="11">
        <f>SUM(F145:H145)</f>
        <v>474971.80227915704</v>
      </c>
      <c r="J145" s="11">
        <f t="shared" ref="J145" si="135">+E145+I145</f>
        <v>834842.12427697808</v>
      </c>
      <c r="K145" s="11">
        <f t="shared" si="134"/>
        <v>134207.90263739001</v>
      </c>
      <c r="L145" s="11">
        <f t="shared" si="134"/>
        <v>169508.56171468005</v>
      </c>
      <c r="M145" s="11">
        <f t="shared" si="134"/>
        <v>138322.62486953</v>
      </c>
      <c r="N145" s="11">
        <f>SUM(K145:M145)</f>
        <v>442039.08922160009</v>
      </c>
      <c r="O145" s="11">
        <f t="shared" si="134"/>
        <v>140008.78082271997</v>
      </c>
      <c r="P145" s="11">
        <f t="shared" si="134"/>
        <v>176556.78387629002</v>
      </c>
      <c r="Q145" s="11">
        <f t="shared" si="134"/>
        <v>150635.47703119001</v>
      </c>
      <c r="R145" s="11">
        <f>SUM(O145:Q145)</f>
        <v>467201.0417302</v>
      </c>
      <c r="S145" s="11">
        <f t="shared" ref="S145" si="136">+N145+R145</f>
        <v>909240.13095180015</v>
      </c>
      <c r="T145" s="11">
        <f>+J145+S145</f>
        <v>1744082.2552287783</v>
      </c>
      <c r="U145" s="11"/>
      <c r="V145" s="11"/>
    </row>
    <row r="146" spans="1:36" ht="15" customHeight="1" x14ac:dyDescent="0.3">
      <c r="B146" s="8"/>
      <c r="C146" s="8"/>
      <c r="D146" s="8"/>
      <c r="E146" s="8"/>
      <c r="F146" s="8"/>
      <c r="G146" s="8"/>
      <c r="H146" s="8"/>
      <c r="I146" s="8"/>
      <c r="J146" s="8"/>
      <c r="K146" s="8"/>
      <c r="L146" s="8"/>
      <c r="M146" s="8"/>
      <c r="N146" s="8"/>
      <c r="O146" s="8"/>
      <c r="P146" s="8"/>
      <c r="Q146" s="8"/>
      <c r="R146" s="8"/>
      <c r="S146" s="8"/>
      <c r="T146" s="8"/>
      <c r="U146" s="8"/>
      <c r="V146" s="8"/>
    </row>
    <row r="147" spans="1:36" s="10" customFormat="1" ht="15" customHeight="1" x14ac:dyDescent="0.25">
      <c r="A147" s="10" t="s">
        <v>143</v>
      </c>
      <c r="B147" s="11">
        <v>3295.6527629099996</v>
      </c>
      <c r="C147" s="11">
        <v>3091.1415587299998</v>
      </c>
      <c r="D147" s="11">
        <v>4340.1339422800002</v>
      </c>
      <c r="E147" s="11">
        <f>SUM(B147:D147)</f>
        <v>10726.928263919999</v>
      </c>
      <c r="F147" s="11">
        <v>1834.9723353900001</v>
      </c>
      <c r="G147" s="11">
        <v>3719.99604636</v>
      </c>
      <c r="H147" s="11">
        <v>2476.3739105599998</v>
      </c>
      <c r="I147" s="11">
        <f>SUM(F147:H147)</f>
        <v>8031.3422923099997</v>
      </c>
      <c r="J147" s="11">
        <f t="shared" ref="J147" si="137">+E147+I147</f>
        <v>18758.27055623</v>
      </c>
      <c r="K147" s="11">
        <v>4155.9610673200004</v>
      </c>
      <c r="L147" s="11">
        <v>2677.6325075999998</v>
      </c>
      <c r="M147" s="11">
        <v>3209.6575620999997</v>
      </c>
      <c r="N147" s="11">
        <f>SUM(K147:M147)</f>
        <v>10043.251137019999</v>
      </c>
      <c r="O147" s="11">
        <v>2753.4653101500003</v>
      </c>
      <c r="P147" s="11">
        <v>2784.1523630000002</v>
      </c>
      <c r="Q147" s="11">
        <v>2302.2796319699996</v>
      </c>
      <c r="R147" s="11">
        <f>SUM(O147:Q147)</f>
        <v>7839.8973051199991</v>
      </c>
      <c r="S147" s="11">
        <f t="shared" ref="S147" si="138">+N147+R147</f>
        <v>17883.148442139998</v>
      </c>
      <c r="T147" s="11">
        <f>+J147+S147</f>
        <v>36641.418998369998</v>
      </c>
      <c r="U147" s="11"/>
      <c r="V147" s="11"/>
      <c r="W147" s="15"/>
      <c r="X147" s="15"/>
      <c r="Y147" s="15"/>
      <c r="Z147" s="15"/>
      <c r="AA147" s="15"/>
      <c r="AB147" s="15"/>
      <c r="AC147" s="15"/>
      <c r="AD147" s="15"/>
      <c r="AE147" s="15"/>
      <c r="AF147" s="15"/>
      <c r="AG147" s="15"/>
      <c r="AH147" s="15"/>
      <c r="AI147" s="15"/>
      <c r="AJ147" s="15"/>
    </row>
    <row r="148" spans="1:36" s="10" customFormat="1" ht="15" customHeight="1" x14ac:dyDescent="0.2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spans="1:36" s="10" customFormat="1" ht="15" customHeight="1" x14ac:dyDescent="0.25">
      <c r="A149" s="10" t="s">
        <v>144</v>
      </c>
      <c r="B149" s="15">
        <v>4.1267763699999955</v>
      </c>
      <c r="C149" s="15">
        <v>0.82808245000000136</v>
      </c>
      <c r="D149" s="15">
        <v>4.2363552900000023</v>
      </c>
      <c r="E149" s="15">
        <f>SUM(B149:D149)</f>
        <v>9.1912141099999989</v>
      </c>
      <c r="F149" s="15">
        <v>0.13712960999999382</v>
      </c>
      <c r="G149" s="15">
        <v>5.9830870300000019</v>
      </c>
      <c r="H149" s="15">
        <v>9.4033195000000074</v>
      </c>
      <c r="I149" s="15">
        <f>SUM(F149:H149)</f>
        <v>15.523536140000003</v>
      </c>
      <c r="J149" s="15">
        <f t="shared" ref="J149" si="139">+E149+I149</f>
        <v>24.714750250000002</v>
      </c>
      <c r="K149" s="15">
        <v>6.6188128499999968</v>
      </c>
      <c r="L149" s="15">
        <v>5.2988782399999987</v>
      </c>
      <c r="M149" s="15">
        <v>5.0300275300000008</v>
      </c>
      <c r="N149" s="15">
        <f>SUM(K149:M149)</f>
        <v>16.947718619999996</v>
      </c>
      <c r="O149" s="15">
        <v>15.213884429999998</v>
      </c>
      <c r="P149" s="15">
        <v>10.709000349999998</v>
      </c>
      <c r="Q149" s="15">
        <v>11.576457010000002</v>
      </c>
      <c r="R149" s="15">
        <f>SUM(O149:Q149)</f>
        <v>37.499341790000003</v>
      </c>
      <c r="S149" s="15">
        <f t="shared" ref="S149" si="140">+N149+R149</f>
        <v>54.447060409999999</v>
      </c>
      <c r="T149" s="15">
        <f>+J149+S149</f>
        <v>79.16181066</v>
      </c>
      <c r="U149" s="15"/>
      <c r="V149" s="15"/>
      <c r="W149" s="15"/>
      <c r="X149" s="15"/>
      <c r="Y149" s="15"/>
      <c r="Z149" s="15"/>
      <c r="AA149" s="15"/>
      <c r="AB149" s="15"/>
      <c r="AC149" s="15"/>
      <c r="AD149" s="15"/>
      <c r="AE149" s="15"/>
      <c r="AF149" s="15"/>
      <c r="AG149" s="15"/>
      <c r="AH149" s="15"/>
      <c r="AI149" s="15"/>
      <c r="AJ149" s="15"/>
    </row>
    <row r="150" spans="1:36" s="10" customFormat="1" ht="15" customHeight="1" x14ac:dyDescent="0.2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spans="1:36" s="10" customFormat="1" ht="15" customHeight="1" x14ac:dyDescent="0.25">
      <c r="A151" s="10" t="s">
        <v>145</v>
      </c>
      <c r="B151" s="15">
        <f>+B145+B147+B149</f>
        <v>147291.42790682099</v>
      </c>
      <c r="C151" s="15">
        <f t="shared" ref="C151:Q151" si="141">+C145+C147+C149</f>
        <v>105872.77830982998</v>
      </c>
      <c r="D151" s="15">
        <f t="shared" si="141"/>
        <v>117442.23525920004</v>
      </c>
      <c r="E151" s="15">
        <f>SUM(B151:D151)</f>
        <v>370606.441475851</v>
      </c>
      <c r="F151" s="15">
        <f t="shared" si="141"/>
        <v>191981.36394095994</v>
      </c>
      <c r="G151" s="15">
        <f t="shared" si="141"/>
        <v>158817.28557998704</v>
      </c>
      <c r="H151" s="15">
        <f t="shared" si="141"/>
        <v>132220.01858666001</v>
      </c>
      <c r="I151" s="15">
        <f>SUM(F151:H151)</f>
        <v>483018.66810760705</v>
      </c>
      <c r="J151" s="15">
        <f t="shared" ref="J151" si="142">+E151+I151</f>
        <v>853625.10958345805</v>
      </c>
      <c r="K151" s="15">
        <f t="shared" si="141"/>
        <v>138370.48251756001</v>
      </c>
      <c r="L151" s="15">
        <f t="shared" si="141"/>
        <v>172191.49310052005</v>
      </c>
      <c r="M151" s="15">
        <f t="shared" si="141"/>
        <v>141537.31245916002</v>
      </c>
      <c r="N151" s="15">
        <f>SUM(K151:M151)</f>
        <v>452099.28807724011</v>
      </c>
      <c r="O151" s="15">
        <f t="shared" si="141"/>
        <v>142777.46001729998</v>
      </c>
      <c r="P151" s="15">
        <f t="shared" si="141"/>
        <v>179351.64523964003</v>
      </c>
      <c r="Q151" s="15">
        <f t="shared" si="141"/>
        <v>152949.33312017002</v>
      </c>
      <c r="R151" s="15">
        <f>SUM(O151:Q151)</f>
        <v>475078.43837711005</v>
      </c>
      <c r="S151" s="15">
        <f t="shared" ref="S151" si="143">+N151+R151</f>
        <v>927177.72645435017</v>
      </c>
      <c r="T151" s="15">
        <f>+J151+S151</f>
        <v>1780802.8360378081</v>
      </c>
      <c r="U151" s="15"/>
      <c r="V151" s="15"/>
      <c r="W151" s="15"/>
      <c r="X151" s="15"/>
      <c r="Y151" s="15"/>
      <c r="Z151" s="15"/>
      <c r="AA151" s="15"/>
      <c r="AB151" s="15"/>
      <c r="AC151" s="15"/>
      <c r="AD151" s="15"/>
      <c r="AE151" s="15"/>
      <c r="AF151" s="15"/>
      <c r="AG151" s="15"/>
      <c r="AH151" s="15"/>
      <c r="AI151" s="15"/>
      <c r="AJ151" s="15"/>
    </row>
    <row r="152" spans="1:36" s="10" customFormat="1" ht="15" customHeight="1" x14ac:dyDescent="0.2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spans="1:36" s="10" customFormat="1" ht="15" customHeight="1" x14ac:dyDescent="0.25">
      <c r="A153" s="10" t="s">
        <v>146</v>
      </c>
      <c r="B153" s="15">
        <v>0</v>
      </c>
      <c r="C153" s="15">
        <v>0</v>
      </c>
      <c r="D153" s="15">
        <v>-223.11299539999999</v>
      </c>
      <c r="E153" s="15">
        <f>SUM(B153:D153)</f>
        <v>-223.11299539999999</v>
      </c>
      <c r="F153" s="15">
        <v>-4309.9775300700003</v>
      </c>
      <c r="G153" s="15">
        <v>-134.94991833999998</v>
      </c>
      <c r="H153" s="15">
        <v>-948.52006172999972</v>
      </c>
      <c r="I153" s="15">
        <f>SUM(F153:H153)</f>
        <v>-5393.4475101400003</v>
      </c>
      <c r="J153" s="15">
        <f t="shared" ref="J153" si="144">+E153+I153</f>
        <v>-5616.5605055400001</v>
      </c>
      <c r="K153" s="15">
        <v>-299.98984027</v>
      </c>
      <c r="L153" s="15">
        <v>-554.17228532999991</v>
      </c>
      <c r="M153" s="15">
        <v>-233.24295609000004</v>
      </c>
      <c r="N153" s="15">
        <f>SUM(K153:M153)</f>
        <v>-1087.4050816899999</v>
      </c>
      <c r="O153" s="15">
        <v>-120.45901665</v>
      </c>
      <c r="P153" s="15">
        <v>-0.82756242999999996</v>
      </c>
      <c r="Q153" s="15">
        <v>-1656.3143405900003</v>
      </c>
      <c r="R153" s="15">
        <f>SUM(O153:Q153)</f>
        <v>-1777.6009196700002</v>
      </c>
      <c r="S153" s="15">
        <f t="shared" ref="S153" si="145">+N153+R153</f>
        <v>-2865.00600136</v>
      </c>
      <c r="T153" s="15">
        <f>+J153+S153</f>
        <v>-8481.5665069000006</v>
      </c>
      <c r="U153" s="15"/>
      <c r="V153" s="15"/>
      <c r="W153" s="15"/>
      <c r="X153" s="15"/>
      <c r="Y153" s="15"/>
      <c r="Z153" s="15"/>
      <c r="AA153" s="15"/>
      <c r="AB153" s="15"/>
      <c r="AC153" s="15"/>
      <c r="AD153" s="15"/>
      <c r="AE153" s="15"/>
      <c r="AF153" s="15"/>
      <c r="AG153" s="15"/>
      <c r="AH153" s="15"/>
      <c r="AI153" s="15"/>
      <c r="AJ153" s="15"/>
    </row>
    <row r="154" spans="1:36" s="10" customFormat="1" ht="15" customHeight="1" x14ac:dyDescent="0.2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spans="1:36" s="10" customFormat="1" ht="15" customHeight="1" x14ac:dyDescent="0.25">
      <c r="A155" s="10" t="s">
        <v>147</v>
      </c>
      <c r="B155" s="15">
        <f>+B151+B153</f>
        <v>147291.42790682099</v>
      </c>
      <c r="C155" s="15">
        <f t="shared" ref="C155:Q155" si="146">+C151+C153</f>
        <v>105872.77830982998</v>
      </c>
      <c r="D155" s="15">
        <f t="shared" si="146"/>
        <v>117219.12226380003</v>
      </c>
      <c r="E155" s="15">
        <f>SUM(B155:D155)</f>
        <v>370383.32848045102</v>
      </c>
      <c r="F155" s="15">
        <f t="shared" si="146"/>
        <v>187671.38641088994</v>
      </c>
      <c r="G155" s="15">
        <f t="shared" si="146"/>
        <v>158682.33566164706</v>
      </c>
      <c r="H155" s="15">
        <f t="shared" si="146"/>
        <v>131271.49852493001</v>
      </c>
      <c r="I155" s="15">
        <f>SUM(F155:H155)</f>
        <v>477625.22059746704</v>
      </c>
      <c r="J155" s="15">
        <f t="shared" ref="J155" si="147">+E155+I155</f>
        <v>848008.54907791805</v>
      </c>
      <c r="K155" s="15">
        <f t="shared" si="146"/>
        <v>138070.49267729002</v>
      </c>
      <c r="L155" s="15">
        <f t="shared" si="146"/>
        <v>171637.32081519006</v>
      </c>
      <c r="M155" s="15">
        <f t="shared" si="146"/>
        <v>141304.06950307003</v>
      </c>
      <c r="N155" s="15">
        <f>SUM(K155:M155)</f>
        <v>451011.88299555011</v>
      </c>
      <c r="O155" s="15">
        <f t="shared" si="146"/>
        <v>142657.00100064997</v>
      </c>
      <c r="P155" s="15">
        <f t="shared" si="146"/>
        <v>179350.81767721003</v>
      </c>
      <c r="Q155" s="15">
        <f t="shared" si="146"/>
        <v>151293.01877958002</v>
      </c>
      <c r="R155" s="15">
        <f>SUM(O155:Q155)</f>
        <v>473300.83745743998</v>
      </c>
      <c r="S155" s="15">
        <f t="shared" ref="S155" si="148">+N155+R155</f>
        <v>924312.72045299015</v>
      </c>
      <c r="T155" s="15">
        <f>+J155+S155</f>
        <v>1772321.2695309082</v>
      </c>
      <c r="U155" s="15"/>
      <c r="V155" s="15"/>
      <c r="W155" s="15"/>
      <c r="X155" s="15"/>
      <c r="Y155" s="15"/>
      <c r="Z155" s="15"/>
      <c r="AA155" s="15"/>
      <c r="AB155" s="15"/>
      <c r="AC155" s="15"/>
      <c r="AD155" s="15"/>
      <c r="AE155" s="15"/>
      <c r="AF155" s="15"/>
      <c r="AG155" s="15"/>
      <c r="AH155" s="15"/>
      <c r="AI155" s="15"/>
      <c r="AJ155" s="15"/>
    </row>
    <row r="156" spans="1:36" s="10" customFormat="1" ht="15" customHeight="1" thickBot="1" x14ac:dyDescent="0.3">
      <c r="A156" s="16"/>
      <c r="B156" s="17"/>
      <c r="C156" s="17"/>
      <c r="D156" s="17"/>
      <c r="E156" s="17"/>
      <c r="F156" s="17"/>
      <c r="G156" s="17"/>
      <c r="H156" s="17"/>
      <c r="I156" s="17"/>
      <c r="J156" s="17"/>
      <c r="K156" s="17"/>
      <c r="L156" s="17"/>
      <c r="M156" s="17"/>
      <c r="N156" s="17"/>
      <c r="O156" s="17"/>
      <c r="P156" s="17"/>
      <c r="Q156" s="17"/>
      <c r="R156" s="17"/>
      <c r="S156" s="17"/>
      <c r="T156" s="17"/>
      <c r="U156" s="15"/>
      <c r="V156" s="15"/>
      <c r="W156" s="15"/>
      <c r="X156" s="15"/>
      <c r="Y156" s="15"/>
      <c r="Z156" s="15"/>
      <c r="AA156" s="15"/>
      <c r="AB156" s="15"/>
      <c r="AC156" s="15"/>
      <c r="AD156" s="15"/>
      <c r="AE156" s="15"/>
      <c r="AF156" s="15"/>
      <c r="AG156" s="15"/>
      <c r="AH156" s="15"/>
      <c r="AI156" s="15"/>
      <c r="AJ156" s="15"/>
    </row>
    <row r="157" spans="1:36" s="10" customFormat="1" ht="15" customHeight="1" thickTop="1" x14ac:dyDescent="0.25">
      <c r="A157" s="18" t="s">
        <v>148</v>
      </c>
      <c r="B157" s="19"/>
      <c r="C157" s="19"/>
      <c r="D157" s="19"/>
      <c r="E157" s="19"/>
      <c r="F157" s="19"/>
      <c r="G157" s="19"/>
      <c r="H157" s="19"/>
      <c r="I157" s="19"/>
      <c r="J157" s="19"/>
      <c r="K157" s="19"/>
      <c r="L157" s="19"/>
      <c r="M157" s="19"/>
      <c r="N157" s="19"/>
      <c r="O157" s="19"/>
      <c r="P157" s="19"/>
      <c r="Q157" s="19"/>
      <c r="R157" s="19"/>
      <c r="S157" s="19"/>
      <c r="T157" s="19"/>
      <c r="U157" s="15"/>
      <c r="V157" s="15"/>
      <c r="W157" s="15"/>
      <c r="X157" s="15"/>
      <c r="Y157" s="15"/>
      <c r="Z157" s="15"/>
      <c r="AA157" s="15"/>
      <c r="AB157" s="15"/>
      <c r="AC157" s="15"/>
      <c r="AD157" s="15"/>
      <c r="AE157" s="15"/>
      <c r="AF157" s="15"/>
      <c r="AG157" s="15"/>
      <c r="AH157" s="15"/>
      <c r="AI157" s="15"/>
      <c r="AJ157" s="15"/>
    </row>
    <row r="158" spans="1:36" s="10" customFormat="1" ht="15" customHeight="1" x14ac:dyDescent="0.25">
      <c r="A158" s="18"/>
      <c r="B158" s="19"/>
      <c r="C158" s="19"/>
      <c r="D158" s="19"/>
      <c r="E158" s="19"/>
      <c r="F158" s="19"/>
      <c r="G158" s="19"/>
      <c r="H158" s="19"/>
      <c r="I158" s="19"/>
      <c r="J158" s="19"/>
      <c r="K158" s="19"/>
      <c r="L158" s="19"/>
      <c r="M158" s="19"/>
      <c r="N158" s="19"/>
      <c r="O158" s="19"/>
      <c r="P158" s="19"/>
      <c r="Q158" s="19"/>
      <c r="R158" s="19"/>
      <c r="S158" s="19"/>
      <c r="T158" s="19"/>
      <c r="U158" s="15"/>
      <c r="V158" s="15"/>
      <c r="W158" s="15"/>
      <c r="X158" s="15"/>
      <c r="Y158" s="15"/>
      <c r="Z158" s="15"/>
      <c r="AA158" s="15"/>
      <c r="AB158" s="15"/>
      <c r="AC158" s="15"/>
      <c r="AD158" s="15"/>
      <c r="AE158" s="15"/>
      <c r="AF158" s="15"/>
      <c r="AG158" s="15"/>
      <c r="AH158" s="15"/>
      <c r="AI158" s="15"/>
      <c r="AJ158" s="15"/>
    </row>
    <row r="159" spans="1:36" s="10" customFormat="1" ht="15" customHeight="1" x14ac:dyDescent="0.3">
      <c r="A159" s="20" t="s">
        <v>149</v>
      </c>
      <c r="B159" s="21"/>
      <c r="C159" s="21"/>
      <c r="D159" s="21"/>
      <c r="E159" s="21"/>
      <c r="F159" s="21"/>
      <c r="G159" s="21"/>
      <c r="H159" s="21"/>
      <c r="I159" s="21"/>
      <c r="J159" s="21"/>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spans="1:36" s="10" customFormat="1" ht="15" customHeight="1" x14ac:dyDescent="0.3">
      <c r="A160" s="20" t="s">
        <v>169</v>
      </c>
      <c r="B160" s="22"/>
      <c r="C160" s="22"/>
      <c r="D160" s="22"/>
      <c r="E160" s="22"/>
      <c r="F160" s="22"/>
      <c r="G160" s="22"/>
      <c r="H160" s="22"/>
      <c r="I160" s="22"/>
      <c r="J160" s="22"/>
    </row>
    <row r="161" spans="1:10" ht="15" customHeight="1" x14ac:dyDescent="0.3">
      <c r="A161" s="23" t="s">
        <v>150</v>
      </c>
      <c r="B161" s="24"/>
      <c r="C161" s="24"/>
      <c r="D161" s="24"/>
      <c r="E161" s="24"/>
      <c r="F161" s="24"/>
      <c r="G161" s="24"/>
      <c r="H161" s="24"/>
      <c r="I161" s="24"/>
      <c r="J161" s="24"/>
    </row>
    <row r="162" spans="1:10" s="24" customFormat="1" ht="17.100000000000001" customHeight="1" x14ac:dyDescent="0.3">
      <c r="A162" s="25" t="s">
        <v>151</v>
      </c>
    </row>
    <row r="163" spans="1:10" s="24" customFormat="1" ht="17.100000000000001" customHeight="1" x14ac:dyDescent="0.3">
      <c r="A163" s="25" t="s">
        <v>152</v>
      </c>
    </row>
    <row r="164" spans="1:10" s="24" customFormat="1" ht="17.100000000000001" customHeight="1" x14ac:dyDescent="0.3">
      <c r="A164" s="25" t="s">
        <v>153</v>
      </c>
    </row>
    <row r="165" spans="1:10" s="24" customFormat="1" ht="17.100000000000001" customHeight="1" x14ac:dyDescent="0.3">
      <c r="A165" s="25" t="s">
        <v>154</v>
      </c>
    </row>
    <row r="166" spans="1:10" s="24" customFormat="1" ht="17.100000000000001" customHeight="1" x14ac:dyDescent="0.3">
      <c r="A166" s="25" t="s">
        <v>155</v>
      </c>
    </row>
    <row r="167" spans="1:10" s="24" customFormat="1" ht="15.95" customHeight="1" x14ac:dyDescent="0.3">
      <c r="A167" s="55" t="s">
        <v>156</v>
      </c>
      <c r="B167" s="55"/>
      <c r="C167" s="55"/>
      <c r="D167" s="55"/>
      <c r="E167" s="55"/>
      <c r="F167" s="55"/>
      <c r="G167" s="55"/>
      <c r="H167" s="55"/>
      <c r="I167" s="55"/>
      <c r="J167" s="55"/>
    </row>
    <row r="168" spans="1:10" s="24" customFormat="1" ht="15.95" customHeight="1" x14ac:dyDescent="0.3">
      <c r="A168" s="55"/>
      <c r="B168" s="55"/>
      <c r="C168" s="55"/>
      <c r="D168" s="55"/>
      <c r="E168" s="55"/>
      <c r="F168" s="55"/>
      <c r="G168" s="55"/>
      <c r="H168" s="55"/>
      <c r="I168" s="55"/>
      <c r="J168" s="55"/>
    </row>
    <row r="169" spans="1:10" s="24" customFormat="1" ht="17.100000000000001" customHeight="1" x14ac:dyDescent="0.3">
      <c r="A169" s="25" t="s">
        <v>157</v>
      </c>
    </row>
    <row r="170" spans="1:10" s="24" customFormat="1" ht="17.100000000000001" customHeight="1" x14ac:dyDescent="0.3">
      <c r="A170" s="25" t="s">
        <v>158</v>
      </c>
    </row>
    <row r="171" spans="1:10" s="24" customFormat="1" ht="15.95" customHeight="1" x14ac:dyDescent="0.3">
      <c r="A171" s="55" t="s">
        <v>159</v>
      </c>
      <c r="B171" s="55"/>
      <c r="C171" s="55"/>
      <c r="D171" s="55"/>
      <c r="E171" s="55"/>
      <c r="F171" s="55"/>
      <c r="G171" s="55"/>
      <c r="H171" s="55"/>
      <c r="I171" s="55"/>
      <c r="J171" s="55"/>
    </row>
    <row r="172" spans="1:10" s="24" customFormat="1" ht="15.95" customHeight="1" x14ac:dyDescent="0.3">
      <c r="A172" s="55"/>
      <c r="B172" s="55"/>
      <c r="C172" s="55"/>
      <c r="D172" s="55"/>
      <c r="E172" s="55"/>
      <c r="F172" s="55"/>
      <c r="G172" s="55"/>
      <c r="H172" s="55"/>
      <c r="I172" s="55"/>
      <c r="J172" s="55"/>
    </row>
    <row r="173" spans="1:10" s="24" customFormat="1" ht="17.100000000000001" customHeight="1" x14ac:dyDescent="0.3">
      <c r="A173" s="25" t="s">
        <v>160</v>
      </c>
    </row>
    <row r="174" spans="1:10" s="24" customFormat="1" ht="17.100000000000001" customHeight="1" x14ac:dyDescent="0.3">
      <c r="A174" s="25" t="s">
        <v>161</v>
      </c>
    </row>
    <row r="175" spans="1:10" s="24" customFormat="1" ht="17.100000000000001" customHeight="1" x14ac:dyDescent="0.3">
      <c r="A175" s="25" t="s">
        <v>162</v>
      </c>
      <c r="B175" s="25"/>
      <c r="C175" s="25"/>
      <c r="D175" s="25"/>
      <c r="E175" s="25"/>
      <c r="F175" s="25"/>
      <c r="G175" s="25"/>
      <c r="H175" s="25"/>
      <c r="I175" s="25"/>
      <c r="J175" s="25"/>
    </row>
    <row r="176" spans="1:10" s="24" customFormat="1" ht="17.100000000000001" customHeight="1" x14ac:dyDescent="0.3">
      <c r="A176" s="25" t="s">
        <v>163</v>
      </c>
    </row>
    <row r="177" spans="1:1" s="24" customFormat="1" ht="17.100000000000001" customHeight="1" x14ac:dyDescent="0.3">
      <c r="A177" s="25" t="s">
        <v>164</v>
      </c>
    </row>
    <row r="178" spans="1:1" s="24" customFormat="1" ht="13.5" x14ac:dyDescent="0.3"/>
    <row r="179" spans="1:1" s="24" customFormat="1" ht="13.5" x14ac:dyDescent="0.3"/>
    <row r="180" spans="1:1" s="24" customFormat="1" x14ac:dyDescent="0.3">
      <c r="A180" s="1"/>
    </row>
    <row r="181" spans="1:1" s="24" customFormat="1" ht="13.5" x14ac:dyDescent="0.3"/>
    <row r="182" spans="1:1" s="24" customFormat="1" ht="13.5" x14ac:dyDescent="0.3"/>
    <row r="183" spans="1:1" s="24" customFormat="1" ht="13.5" x14ac:dyDescent="0.3"/>
    <row r="184" spans="1:1" s="24" customFormat="1" ht="13.5" x14ac:dyDescent="0.3"/>
  </sheetData>
  <mergeCells count="2">
    <mergeCell ref="A167:J168"/>
    <mergeCell ref="A171:J172"/>
  </mergeCells>
  <printOptions horizontalCentered="1"/>
  <pageMargins left="0.2" right="0.2" top="0.5" bottom="0.5" header="0.3" footer="0.3"/>
  <pageSetup paperSize="14" scale="85" orientation="landscape" r:id="rId1"/>
  <headerFooter>
    <oddFooter>&amp;C&amp;"Century Gothic,Regular"&amp;8Page &amp;P of &amp;N</oddFooter>
  </headerFooter>
  <rowBreaks count="3" manualBreakCount="3">
    <brk id="78" max="16383" man="1"/>
    <brk id="110" max="16383" man="1"/>
    <brk id="14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9708E-5680-4BD5-8E63-155AF94BF71E}">
  <dimension ref="A1:AJ184"/>
  <sheetViews>
    <sheetView workbookViewId="0">
      <selection activeCell="A149" sqref="A149"/>
    </sheetView>
  </sheetViews>
  <sheetFormatPr defaultRowHeight="14.25" x14ac:dyDescent="0.3"/>
  <cols>
    <col min="1" max="1" width="50.625" style="3" customWidth="1"/>
    <col min="2" max="20" width="11.625" style="3" customWidth="1"/>
    <col min="21" max="16384" width="9" style="3"/>
  </cols>
  <sheetData>
    <row r="1" spans="1:22" x14ac:dyDescent="0.3">
      <c r="A1" s="1" t="s">
        <v>0</v>
      </c>
      <c r="B1" s="1"/>
      <c r="C1" s="1"/>
      <c r="D1" s="1"/>
      <c r="E1" s="1"/>
      <c r="F1" s="1"/>
      <c r="G1" s="1"/>
      <c r="H1" s="1"/>
      <c r="I1" s="1"/>
      <c r="J1" s="1"/>
      <c r="K1" s="1"/>
      <c r="L1" s="1"/>
      <c r="M1" s="1"/>
      <c r="N1" s="1"/>
      <c r="O1" s="1"/>
      <c r="P1" s="1"/>
      <c r="Q1" s="1"/>
      <c r="R1" s="2"/>
      <c r="S1" s="2"/>
    </row>
    <row r="2" spans="1:22" x14ac:dyDescent="0.3">
      <c r="A2" s="1" t="s">
        <v>170</v>
      </c>
      <c r="B2" s="1"/>
      <c r="C2" s="1"/>
      <c r="D2" s="1"/>
      <c r="E2" s="1"/>
      <c r="F2" s="1"/>
      <c r="G2" s="1"/>
      <c r="H2" s="1"/>
      <c r="I2" s="1"/>
      <c r="J2" s="1"/>
      <c r="K2" s="1"/>
      <c r="L2" s="1"/>
      <c r="M2" s="1"/>
      <c r="N2" s="1"/>
      <c r="O2" s="1"/>
      <c r="P2" s="1"/>
      <c r="Q2" s="1"/>
      <c r="R2" s="2"/>
      <c r="S2" s="2"/>
    </row>
    <row r="3" spans="1:22" x14ac:dyDescent="0.3">
      <c r="A3" s="1" t="s">
        <v>1</v>
      </c>
      <c r="B3" s="1"/>
      <c r="C3" s="1"/>
      <c r="D3" s="1"/>
      <c r="E3" s="1"/>
      <c r="F3" s="1"/>
      <c r="G3" s="1"/>
      <c r="H3" s="1"/>
      <c r="I3" s="1"/>
      <c r="J3" s="1"/>
      <c r="K3" s="1"/>
      <c r="L3" s="1"/>
      <c r="M3" s="1"/>
      <c r="N3" s="1"/>
      <c r="O3" s="1"/>
      <c r="P3" s="1"/>
      <c r="Q3" s="1"/>
      <c r="R3" s="2"/>
      <c r="S3" s="2"/>
    </row>
    <row r="4" spans="1:22" ht="15" thickBot="1" x14ac:dyDescent="0.35"/>
    <row r="5" spans="1:22" s="7" customFormat="1" ht="15" thickTop="1" thickBot="1" x14ac:dyDescent="0.3">
      <c r="A5" s="4" t="s">
        <v>2</v>
      </c>
      <c r="B5" s="5" t="s">
        <v>3</v>
      </c>
      <c r="C5" s="5" t="s">
        <v>4</v>
      </c>
      <c r="D5" s="5" t="s">
        <v>5</v>
      </c>
      <c r="E5" s="5" t="s">
        <v>6</v>
      </c>
      <c r="F5" s="5" t="s">
        <v>7</v>
      </c>
      <c r="G5" s="5" t="s">
        <v>8</v>
      </c>
      <c r="H5" s="5" t="s">
        <v>9</v>
      </c>
      <c r="I5" s="5" t="s">
        <v>10</v>
      </c>
      <c r="J5" s="5" t="s">
        <v>11</v>
      </c>
      <c r="K5" s="5" t="s">
        <v>12</v>
      </c>
      <c r="L5" s="5" t="s">
        <v>13</v>
      </c>
      <c r="M5" s="5" t="s">
        <v>14</v>
      </c>
      <c r="N5" s="5" t="s">
        <v>15</v>
      </c>
      <c r="O5" s="5" t="s">
        <v>16</v>
      </c>
      <c r="P5" s="5" t="s">
        <v>17</v>
      </c>
      <c r="Q5" s="6" t="s">
        <v>18</v>
      </c>
      <c r="R5" s="5" t="s">
        <v>19</v>
      </c>
      <c r="S5" s="5" t="s">
        <v>20</v>
      </c>
      <c r="T5" s="5" t="s">
        <v>21</v>
      </c>
    </row>
    <row r="6" spans="1:22" s="9" customFormat="1" ht="15" thickTop="1" x14ac:dyDescent="0.3">
      <c r="A6" s="3"/>
      <c r="B6" s="8"/>
      <c r="C6" s="8"/>
      <c r="D6" s="8"/>
      <c r="E6" s="8"/>
      <c r="F6" s="8"/>
      <c r="G6" s="8"/>
      <c r="H6" s="8"/>
      <c r="I6" s="8"/>
      <c r="J6" s="8"/>
      <c r="K6" s="8"/>
      <c r="L6" s="8"/>
      <c r="M6" s="8"/>
      <c r="N6" s="8"/>
      <c r="O6" s="8"/>
      <c r="P6" s="8"/>
      <c r="Q6" s="8"/>
      <c r="R6" s="8"/>
      <c r="S6" s="8"/>
      <c r="T6" s="8"/>
      <c r="U6" s="8"/>
      <c r="V6" s="8"/>
    </row>
    <row r="7" spans="1:22" s="10" customFormat="1" ht="15" customHeight="1" x14ac:dyDescent="0.25">
      <c r="A7" s="10" t="s">
        <v>22</v>
      </c>
      <c r="B7" s="11">
        <f>SUM(B8:B23)</f>
        <v>143297.35872021</v>
      </c>
      <c r="C7" s="11">
        <f t="shared" ref="C7:Q7" si="0">SUM(C8:C23)</f>
        <v>97455.383199780015</v>
      </c>
      <c r="D7" s="11">
        <f t="shared" si="0"/>
        <v>108910.12401126001</v>
      </c>
      <c r="E7" s="11">
        <f>SUM(B7:D7)</f>
        <v>349662.86593125004</v>
      </c>
      <c r="F7" s="11">
        <f t="shared" si="0"/>
        <v>194213.01499112998</v>
      </c>
      <c r="G7" s="11">
        <f t="shared" si="0"/>
        <v>147359.05992454998</v>
      </c>
      <c r="H7" s="11">
        <f t="shared" si="0"/>
        <v>115147.53278497001</v>
      </c>
      <c r="I7" s="11">
        <f>SUM(F7:H7)</f>
        <v>456719.60770065</v>
      </c>
      <c r="J7" s="11">
        <f>+E7+I7</f>
        <v>806382.47363190004</v>
      </c>
      <c r="K7" s="11">
        <f t="shared" si="0"/>
        <v>135551.30430478987</v>
      </c>
      <c r="L7" s="11">
        <f t="shared" si="0"/>
        <v>156766.20842320001</v>
      </c>
      <c r="M7" s="11">
        <f t="shared" si="0"/>
        <v>106530.81440491002</v>
      </c>
      <c r="N7" s="11">
        <f>SUM(K7:M7)</f>
        <v>398848.3271328999</v>
      </c>
      <c r="O7" s="11">
        <f t="shared" si="0"/>
        <v>137412.65416686001</v>
      </c>
      <c r="P7" s="11">
        <f t="shared" si="0"/>
        <v>162664.27088668002</v>
      </c>
      <c r="Q7" s="11">
        <f t="shared" si="0"/>
        <v>125305.67709056922</v>
      </c>
      <c r="R7" s="11">
        <f>SUM(O7:Q7)</f>
        <v>425382.60214410926</v>
      </c>
      <c r="S7" s="11">
        <f>+N7+R7</f>
        <v>824230.9292770091</v>
      </c>
      <c r="T7" s="11">
        <f>+J7+S7</f>
        <v>1630613.4029089091</v>
      </c>
      <c r="U7" s="11"/>
      <c r="V7" s="11"/>
    </row>
    <row r="8" spans="1:22" ht="15" customHeight="1" x14ac:dyDescent="0.3">
      <c r="A8" s="12" t="s">
        <v>23</v>
      </c>
      <c r="B8" s="8">
        <v>579.68356814000106</v>
      </c>
      <c r="C8" s="8">
        <v>407.65845745000024</v>
      </c>
      <c r="D8" s="8">
        <v>431.47435235</v>
      </c>
      <c r="E8" s="8">
        <f t="shared" ref="E8:E23" si="1">SUM(B8:D8)</f>
        <v>1418.8163779400013</v>
      </c>
      <c r="F8" s="8">
        <v>669.81413077999946</v>
      </c>
      <c r="G8" s="8">
        <v>516.70188939999957</v>
      </c>
      <c r="H8" s="8">
        <v>464.12430775999985</v>
      </c>
      <c r="I8" s="8">
        <f t="shared" ref="I8:I23" si="2">SUM(F8:H8)</f>
        <v>1650.6403279399988</v>
      </c>
      <c r="J8" s="8">
        <f t="shared" ref="J8:J71" si="3">+E8+I8</f>
        <v>3069.4567058800003</v>
      </c>
      <c r="K8" s="8">
        <v>461.65894909385031</v>
      </c>
      <c r="L8" s="8">
        <v>517.82355153999924</v>
      </c>
      <c r="M8" s="8">
        <v>437.02757973999928</v>
      </c>
      <c r="N8" s="8">
        <f t="shared" ref="N8:N23" si="4">SUM(K8:M8)</f>
        <v>1416.5100803738487</v>
      </c>
      <c r="O8" s="8">
        <v>531.55194812999991</v>
      </c>
      <c r="P8" s="8">
        <v>602.6948385099995</v>
      </c>
      <c r="Q8" s="8">
        <v>405.46580783559989</v>
      </c>
      <c r="R8" s="8">
        <f t="shared" ref="R8:R23" si="5">SUM(O8:Q8)</f>
        <v>1539.7125944755992</v>
      </c>
      <c r="S8" s="8">
        <f t="shared" ref="S8:S71" si="6">+N8+R8</f>
        <v>2956.2226748494477</v>
      </c>
      <c r="T8" s="8">
        <f t="shared" ref="T8:T23" si="7">+J8+S8</f>
        <v>6025.679380729448</v>
      </c>
      <c r="U8" s="8"/>
      <c r="V8" s="8"/>
    </row>
    <row r="9" spans="1:22" ht="15" customHeight="1" x14ac:dyDescent="0.3">
      <c r="A9" s="12" t="s">
        <v>24</v>
      </c>
      <c r="B9" s="8">
        <v>411.65598370999987</v>
      </c>
      <c r="C9" s="8">
        <v>321.45140631999988</v>
      </c>
      <c r="D9" s="8">
        <v>407.21190251000002</v>
      </c>
      <c r="E9" s="8">
        <f t="shared" si="1"/>
        <v>1140.3192925399999</v>
      </c>
      <c r="F9" s="8">
        <v>614.40690630000006</v>
      </c>
      <c r="G9" s="8">
        <v>448.93226847000005</v>
      </c>
      <c r="H9" s="8">
        <v>320.54608051999992</v>
      </c>
      <c r="I9" s="8">
        <f t="shared" si="2"/>
        <v>1383.8852552900003</v>
      </c>
      <c r="J9" s="8">
        <f t="shared" si="3"/>
        <v>2524.2045478300001</v>
      </c>
      <c r="K9" s="8">
        <v>433.63413643000007</v>
      </c>
      <c r="L9" s="8">
        <v>497.26770465999999</v>
      </c>
      <c r="M9" s="8">
        <v>368.70119654999991</v>
      </c>
      <c r="N9" s="8">
        <f t="shared" si="4"/>
        <v>1299.6030376399999</v>
      </c>
      <c r="O9" s="8">
        <v>478.53231604000001</v>
      </c>
      <c r="P9" s="8">
        <v>591.0396049699998</v>
      </c>
      <c r="Q9" s="8">
        <v>558.83977171999993</v>
      </c>
      <c r="R9" s="8">
        <f t="shared" si="5"/>
        <v>1628.4116927299997</v>
      </c>
      <c r="S9" s="8">
        <f t="shared" si="6"/>
        <v>2928.0147303699996</v>
      </c>
      <c r="T9" s="8">
        <f t="shared" si="7"/>
        <v>5452.2192782000002</v>
      </c>
      <c r="U9" s="8"/>
      <c r="V9" s="8"/>
    </row>
    <row r="10" spans="1:22" ht="15" customHeight="1" x14ac:dyDescent="0.3">
      <c r="A10" s="12" t="s">
        <v>25</v>
      </c>
      <c r="B10" s="8">
        <v>10573.394930999995</v>
      </c>
      <c r="C10" s="8">
        <v>5705.8667677499989</v>
      </c>
      <c r="D10" s="8">
        <v>6884.326627399998</v>
      </c>
      <c r="E10" s="8">
        <f t="shared" si="1"/>
        <v>23163.588326149991</v>
      </c>
      <c r="F10" s="8">
        <v>13792.419874899995</v>
      </c>
      <c r="G10" s="8">
        <v>9333.9247751800012</v>
      </c>
      <c r="H10" s="8">
        <v>6154.1842009599995</v>
      </c>
      <c r="I10" s="8">
        <f t="shared" si="2"/>
        <v>29280.528851039999</v>
      </c>
      <c r="J10" s="8">
        <f t="shared" si="3"/>
        <v>52444.11717718999</v>
      </c>
      <c r="K10" s="8">
        <v>7424.3258935999984</v>
      </c>
      <c r="L10" s="8">
        <v>10558.601377549996</v>
      </c>
      <c r="M10" s="8">
        <v>6037.1761420500043</v>
      </c>
      <c r="N10" s="8">
        <f t="shared" si="4"/>
        <v>24020.103413199999</v>
      </c>
      <c r="O10" s="8">
        <v>6795.09590002</v>
      </c>
      <c r="P10" s="8">
        <v>9568.4178441399999</v>
      </c>
      <c r="Q10" s="8">
        <v>7123.5359889399979</v>
      </c>
      <c r="R10" s="8">
        <f t="shared" si="5"/>
        <v>23487.049733099997</v>
      </c>
      <c r="S10" s="8">
        <f t="shared" si="6"/>
        <v>47507.153146299999</v>
      </c>
      <c r="T10" s="8">
        <f t="shared" si="7"/>
        <v>99951.270323489996</v>
      </c>
      <c r="U10" s="8"/>
      <c r="V10" s="8"/>
    </row>
    <row r="11" spans="1:22" ht="15" customHeight="1" x14ac:dyDescent="0.3">
      <c r="A11" s="12" t="s">
        <v>26</v>
      </c>
      <c r="B11" s="8">
        <v>308.06959935999987</v>
      </c>
      <c r="C11" s="8">
        <v>211.40389916000012</v>
      </c>
      <c r="D11" s="8">
        <v>216.55460714000012</v>
      </c>
      <c r="E11" s="8">
        <f t="shared" si="1"/>
        <v>736.02810566000016</v>
      </c>
      <c r="F11" s="8">
        <v>406.94149916999982</v>
      </c>
      <c r="G11" s="8">
        <v>284.33691850000014</v>
      </c>
      <c r="H11" s="8">
        <v>230.65802827000022</v>
      </c>
      <c r="I11" s="8">
        <f t="shared" si="2"/>
        <v>921.93644594000011</v>
      </c>
      <c r="J11" s="8">
        <f t="shared" si="3"/>
        <v>1657.9645516000003</v>
      </c>
      <c r="K11" s="8">
        <v>260.11808892000028</v>
      </c>
      <c r="L11" s="8">
        <v>369.26199924999997</v>
      </c>
      <c r="M11" s="8">
        <v>308.03176063000018</v>
      </c>
      <c r="N11" s="8">
        <f t="shared" si="4"/>
        <v>937.41184880000037</v>
      </c>
      <c r="O11" s="8">
        <v>305.86462327999919</v>
      </c>
      <c r="P11" s="8">
        <v>327.84381369999966</v>
      </c>
      <c r="Q11" s="8">
        <v>233.99379396999987</v>
      </c>
      <c r="R11" s="8">
        <f t="shared" si="5"/>
        <v>867.70223094999869</v>
      </c>
      <c r="S11" s="8">
        <f t="shared" si="6"/>
        <v>1805.1140797499991</v>
      </c>
      <c r="T11" s="8">
        <f t="shared" si="7"/>
        <v>3463.0786313499993</v>
      </c>
      <c r="U11" s="8"/>
      <c r="V11" s="8"/>
    </row>
    <row r="12" spans="1:22" ht="15" customHeight="1" x14ac:dyDescent="0.3">
      <c r="A12" s="12" t="s">
        <v>27</v>
      </c>
      <c r="B12" s="8">
        <v>1661.7904953499994</v>
      </c>
      <c r="C12" s="8">
        <v>973.13747684000134</v>
      </c>
      <c r="D12" s="8">
        <v>1128.3227807000017</v>
      </c>
      <c r="E12" s="8">
        <f t="shared" si="1"/>
        <v>3763.2507528900023</v>
      </c>
      <c r="F12" s="8">
        <v>2055.5691156099988</v>
      </c>
      <c r="G12" s="8">
        <v>1694.8247580499997</v>
      </c>
      <c r="H12" s="8">
        <v>1152.4355604100012</v>
      </c>
      <c r="I12" s="8">
        <f t="shared" si="2"/>
        <v>4902.8294340699995</v>
      </c>
      <c r="J12" s="8">
        <f t="shared" si="3"/>
        <v>8666.0801869600018</v>
      </c>
      <c r="K12" s="8">
        <v>1341.4008634061004</v>
      </c>
      <c r="L12" s="8">
        <v>1481.2014603699977</v>
      </c>
      <c r="M12" s="8">
        <v>1199.285521779999</v>
      </c>
      <c r="N12" s="8">
        <f t="shared" si="4"/>
        <v>4021.8878455560971</v>
      </c>
      <c r="O12" s="8">
        <v>1264.7880718500021</v>
      </c>
      <c r="P12" s="8">
        <v>1597.9214996299977</v>
      </c>
      <c r="Q12" s="8">
        <v>1274.0221561154513</v>
      </c>
      <c r="R12" s="8">
        <f t="shared" si="5"/>
        <v>4136.731727595451</v>
      </c>
      <c r="S12" s="8">
        <f t="shared" si="6"/>
        <v>8158.6195731515481</v>
      </c>
      <c r="T12" s="8">
        <f t="shared" si="7"/>
        <v>16824.699760111551</v>
      </c>
      <c r="U12" s="8"/>
      <c r="V12" s="8"/>
    </row>
    <row r="13" spans="1:22" ht="15" customHeight="1" x14ac:dyDescent="0.3">
      <c r="A13" s="12" t="s">
        <v>28</v>
      </c>
      <c r="B13" s="8">
        <v>4184.0871123199995</v>
      </c>
      <c r="C13" s="8">
        <v>2486.2939746900001</v>
      </c>
      <c r="D13" s="8">
        <v>2899.6379862099993</v>
      </c>
      <c r="E13" s="8">
        <f t="shared" si="1"/>
        <v>9570.019073219999</v>
      </c>
      <c r="F13" s="8">
        <v>4762.7715738600027</v>
      </c>
      <c r="G13" s="8">
        <v>3100.4234110200009</v>
      </c>
      <c r="H13" s="8">
        <v>2809.0603342499999</v>
      </c>
      <c r="I13" s="8">
        <f t="shared" si="2"/>
        <v>10672.255319130003</v>
      </c>
      <c r="J13" s="8">
        <f t="shared" si="3"/>
        <v>20242.274392350002</v>
      </c>
      <c r="K13" s="8">
        <v>3332.1024648378507</v>
      </c>
      <c r="L13" s="8">
        <v>4030.0405618299988</v>
      </c>
      <c r="M13" s="8">
        <v>3016.4270800099989</v>
      </c>
      <c r="N13" s="8">
        <f t="shared" si="4"/>
        <v>10378.570106677847</v>
      </c>
      <c r="O13" s="8">
        <v>3190.2817910899994</v>
      </c>
      <c r="P13" s="8">
        <v>3897.0178639300011</v>
      </c>
      <c r="Q13" s="8">
        <v>3607.9036643455993</v>
      </c>
      <c r="R13" s="8">
        <f t="shared" si="5"/>
        <v>10695.203319365599</v>
      </c>
      <c r="S13" s="8">
        <f t="shared" si="6"/>
        <v>21073.773426043444</v>
      </c>
      <c r="T13" s="8">
        <f t="shared" si="7"/>
        <v>41316.047818393447</v>
      </c>
      <c r="U13" s="8"/>
      <c r="V13" s="8"/>
    </row>
    <row r="14" spans="1:22" ht="18" customHeight="1" x14ac:dyDescent="0.3">
      <c r="A14" s="12" t="s">
        <v>29</v>
      </c>
      <c r="B14" s="8">
        <v>560.9885146300004</v>
      </c>
      <c r="C14" s="8">
        <v>414.96996203999942</v>
      </c>
      <c r="D14" s="8">
        <v>514.71606064999958</v>
      </c>
      <c r="E14" s="8">
        <f t="shared" si="1"/>
        <v>1490.6745373199992</v>
      </c>
      <c r="F14" s="8">
        <v>794.60192241999925</v>
      </c>
      <c r="G14" s="8">
        <v>520.62407817000042</v>
      </c>
      <c r="H14" s="8">
        <v>429.37318615999988</v>
      </c>
      <c r="I14" s="8">
        <f t="shared" si="2"/>
        <v>1744.5991867499997</v>
      </c>
      <c r="J14" s="8">
        <f t="shared" si="3"/>
        <v>3235.2737240699989</v>
      </c>
      <c r="K14" s="8">
        <v>589.13330425025049</v>
      </c>
      <c r="L14" s="8">
        <v>566.88666289000014</v>
      </c>
      <c r="M14" s="8">
        <v>495.59267156999977</v>
      </c>
      <c r="N14" s="8">
        <f t="shared" si="4"/>
        <v>1651.6126387102504</v>
      </c>
      <c r="O14" s="8">
        <v>535.27094269999941</v>
      </c>
      <c r="P14" s="8">
        <v>615.82215306000046</v>
      </c>
      <c r="Q14" s="8">
        <v>483.4570204781005</v>
      </c>
      <c r="R14" s="8">
        <f t="shared" si="5"/>
        <v>1634.5501162381004</v>
      </c>
      <c r="S14" s="8">
        <f t="shared" si="6"/>
        <v>3286.162754948351</v>
      </c>
      <c r="T14" s="8">
        <f t="shared" si="7"/>
        <v>6521.4364790183499</v>
      </c>
      <c r="U14" s="8"/>
      <c r="V14" s="8"/>
    </row>
    <row r="15" spans="1:22" ht="15" customHeight="1" x14ac:dyDescent="0.3">
      <c r="A15" s="12" t="s">
        <v>30</v>
      </c>
      <c r="B15" s="8">
        <v>993.07494668000095</v>
      </c>
      <c r="C15" s="8">
        <v>737.39760567999963</v>
      </c>
      <c r="D15" s="8">
        <v>788.54702454999983</v>
      </c>
      <c r="E15" s="8">
        <f t="shared" si="1"/>
        <v>2519.0195769100001</v>
      </c>
      <c r="F15" s="8">
        <v>1411.0511634999996</v>
      </c>
      <c r="G15" s="8">
        <v>922.14745077000021</v>
      </c>
      <c r="H15" s="8">
        <v>758.18190897000113</v>
      </c>
      <c r="I15" s="8">
        <f t="shared" si="2"/>
        <v>3091.3805232400009</v>
      </c>
      <c r="J15" s="8">
        <f t="shared" si="3"/>
        <v>5610.400100150001</v>
      </c>
      <c r="K15" s="8">
        <v>928.79030685000134</v>
      </c>
      <c r="L15" s="8">
        <v>1019.2155704900008</v>
      </c>
      <c r="M15" s="8">
        <v>974.62626748000059</v>
      </c>
      <c r="N15" s="8">
        <f t="shared" si="4"/>
        <v>2922.6321448200028</v>
      </c>
      <c r="O15" s="8">
        <v>914.02172689000201</v>
      </c>
      <c r="P15" s="8">
        <v>1227.2316296299991</v>
      </c>
      <c r="Q15" s="8">
        <v>844.29075374000013</v>
      </c>
      <c r="R15" s="8">
        <f t="shared" si="5"/>
        <v>2985.5441102600012</v>
      </c>
      <c r="S15" s="8">
        <f t="shared" si="6"/>
        <v>5908.176255080004</v>
      </c>
      <c r="T15" s="8">
        <f t="shared" si="7"/>
        <v>11518.576355230005</v>
      </c>
      <c r="U15" s="8"/>
      <c r="V15" s="8"/>
    </row>
    <row r="16" spans="1:22" ht="15" customHeight="1" x14ac:dyDescent="0.3">
      <c r="A16" s="12" t="s">
        <v>31</v>
      </c>
      <c r="B16" s="8">
        <v>2513.0524950900012</v>
      </c>
      <c r="C16" s="8">
        <v>1365.023528629999</v>
      </c>
      <c r="D16" s="8">
        <v>833.41175212000076</v>
      </c>
      <c r="E16" s="8">
        <f t="shared" si="1"/>
        <v>4711.4877758400007</v>
      </c>
      <c r="F16" s="8">
        <v>1575.4324739999997</v>
      </c>
      <c r="G16" s="8">
        <v>1752.9566339400012</v>
      </c>
      <c r="H16" s="8">
        <v>952.54679722000162</v>
      </c>
      <c r="I16" s="8">
        <f t="shared" si="2"/>
        <v>4280.9359051600022</v>
      </c>
      <c r="J16" s="8">
        <f t="shared" si="3"/>
        <v>8992.4236810000039</v>
      </c>
      <c r="K16" s="8">
        <v>3342.3945649402531</v>
      </c>
      <c r="L16" s="8">
        <v>1344.3420727399994</v>
      </c>
      <c r="M16" s="8">
        <v>908.84394220999809</v>
      </c>
      <c r="N16" s="8">
        <f t="shared" si="4"/>
        <v>5595.5805798902511</v>
      </c>
      <c r="O16" s="8">
        <v>1240.4022815800022</v>
      </c>
      <c r="P16" s="8">
        <v>1408.5047457400008</v>
      </c>
      <c r="Q16" s="8">
        <v>995.84012444399968</v>
      </c>
      <c r="R16" s="8">
        <f t="shared" si="5"/>
        <v>3644.7471517640029</v>
      </c>
      <c r="S16" s="8">
        <f t="shared" si="6"/>
        <v>9240.3277316542535</v>
      </c>
      <c r="T16" s="8">
        <f t="shared" si="7"/>
        <v>18232.751412654259</v>
      </c>
      <c r="U16" s="8"/>
      <c r="V16" s="8"/>
    </row>
    <row r="17" spans="1:22" ht="15" customHeight="1" x14ac:dyDescent="0.3">
      <c r="A17" s="12" t="s">
        <v>32</v>
      </c>
      <c r="B17" s="8">
        <v>1520.2794106399997</v>
      </c>
      <c r="C17" s="8">
        <v>811.35480557999972</v>
      </c>
      <c r="D17" s="8">
        <v>875.1228596900005</v>
      </c>
      <c r="E17" s="8">
        <f t="shared" si="1"/>
        <v>3206.7570759099999</v>
      </c>
      <c r="F17" s="8">
        <v>1705.8566882200012</v>
      </c>
      <c r="G17" s="8">
        <v>1403.109887449999</v>
      </c>
      <c r="H17" s="8">
        <v>1011.0608075300007</v>
      </c>
      <c r="I17" s="8">
        <f t="shared" si="2"/>
        <v>4120.0273832000012</v>
      </c>
      <c r="J17" s="8">
        <f t="shared" si="3"/>
        <v>7326.7844591100011</v>
      </c>
      <c r="K17" s="8">
        <v>1466.8551489200006</v>
      </c>
      <c r="L17" s="8">
        <v>1379.3409581300009</v>
      </c>
      <c r="M17" s="8">
        <v>1081.8306654099997</v>
      </c>
      <c r="N17" s="8">
        <f t="shared" si="4"/>
        <v>3928.0267724600012</v>
      </c>
      <c r="O17" s="8">
        <v>1298.6665215599996</v>
      </c>
      <c r="P17" s="8">
        <v>1384.8625507399991</v>
      </c>
      <c r="Q17" s="8">
        <v>1115.3456364599997</v>
      </c>
      <c r="R17" s="8">
        <f t="shared" si="5"/>
        <v>3798.8747087599986</v>
      </c>
      <c r="S17" s="8">
        <f t="shared" si="6"/>
        <v>7726.9014812200003</v>
      </c>
      <c r="T17" s="8">
        <f t="shared" si="7"/>
        <v>15053.68594033</v>
      </c>
      <c r="U17" s="8"/>
      <c r="V17" s="8"/>
    </row>
    <row r="18" spans="1:22" ht="15" customHeight="1" x14ac:dyDescent="0.3">
      <c r="A18" s="12" t="s">
        <v>33</v>
      </c>
      <c r="B18" s="8">
        <v>3664.4553748900003</v>
      </c>
      <c r="C18" s="8">
        <v>1956.2798849999995</v>
      </c>
      <c r="D18" s="8">
        <v>2703.1483680300003</v>
      </c>
      <c r="E18" s="8">
        <f t="shared" si="1"/>
        <v>8323.8836279200004</v>
      </c>
      <c r="F18" s="8">
        <v>3821.72684794</v>
      </c>
      <c r="G18" s="8">
        <v>2998.5755307400004</v>
      </c>
      <c r="H18" s="8">
        <v>2559.8666118500028</v>
      </c>
      <c r="I18" s="8">
        <f t="shared" si="2"/>
        <v>9380.1689905300027</v>
      </c>
      <c r="J18" s="8">
        <f t="shared" si="3"/>
        <v>17704.052618450005</v>
      </c>
      <c r="K18" s="8">
        <v>2531.2887066211006</v>
      </c>
      <c r="L18" s="8">
        <v>3360.6348096799948</v>
      </c>
      <c r="M18" s="8">
        <v>2160.4648343600002</v>
      </c>
      <c r="N18" s="8">
        <f t="shared" si="4"/>
        <v>8052.3883506610955</v>
      </c>
      <c r="O18" s="8">
        <v>2868.0927046800098</v>
      </c>
      <c r="P18" s="8">
        <v>3542.157994469997</v>
      </c>
      <c r="Q18" s="8">
        <v>2491.3376233087497</v>
      </c>
      <c r="R18" s="8">
        <f t="shared" si="5"/>
        <v>8901.588322458756</v>
      </c>
      <c r="S18" s="8">
        <f t="shared" si="6"/>
        <v>16953.976673119851</v>
      </c>
      <c r="T18" s="8">
        <f t="shared" si="7"/>
        <v>34658.029291569852</v>
      </c>
      <c r="U18" s="8"/>
      <c r="V18" s="8"/>
    </row>
    <row r="19" spans="1:22" ht="15" customHeight="1" x14ac:dyDescent="0.3">
      <c r="A19" s="12" t="s">
        <v>34</v>
      </c>
      <c r="B19" s="8">
        <v>6769.8520975199972</v>
      </c>
      <c r="C19" s="8">
        <v>4580.1193061399981</v>
      </c>
      <c r="D19" s="8">
        <v>4864.5690887499968</v>
      </c>
      <c r="E19" s="8">
        <f t="shared" si="1"/>
        <v>16214.540492409991</v>
      </c>
      <c r="F19" s="8">
        <v>8749.0351691400028</v>
      </c>
      <c r="G19" s="8">
        <v>6509.6950137800013</v>
      </c>
      <c r="H19" s="8">
        <v>5407.0957634399974</v>
      </c>
      <c r="I19" s="8">
        <f t="shared" si="2"/>
        <v>20665.825946360001</v>
      </c>
      <c r="J19" s="8">
        <f t="shared" si="3"/>
        <v>36880.36643876999</v>
      </c>
      <c r="K19" s="8">
        <v>5861.7925127328535</v>
      </c>
      <c r="L19" s="8">
        <v>6464.2282825999982</v>
      </c>
      <c r="M19" s="8">
        <v>5296.4147410900005</v>
      </c>
      <c r="N19" s="8">
        <f t="shared" si="4"/>
        <v>17622.435536422854</v>
      </c>
      <c r="O19" s="8">
        <v>6331.8949552599997</v>
      </c>
      <c r="P19" s="8">
        <v>7279.8096448599972</v>
      </c>
      <c r="Q19" s="8">
        <v>6079.2074008049503</v>
      </c>
      <c r="R19" s="8">
        <f t="shared" si="5"/>
        <v>19690.912000924945</v>
      </c>
      <c r="S19" s="8">
        <f t="shared" si="6"/>
        <v>37313.3475373478</v>
      </c>
      <c r="T19" s="8">
        <f t="shared" si="7"/>
        <v>74193.713976117782</v>
      </c>
      <c r="U19" s="8"/>
      <c r="V19" s="8"/>
    </row>
    <row r="20" spans="1:22" ht="15" customHeight="1" x14ac:dyDescent="0.3">
      <c r="A20" s="12" t="s">
        <v>35</v>
      </c>
      <c r="B20" s="8">
        <v>544.19293132999985</v>
      </c>
      <c r="C20" s="8">
        <v>297.28646026999991</v>
      </c>
      <c r="D20" s="8">
        <v>365.82570464999952</v>
      </c>
      <c r="E20" s="8">
        <f t="shared" si="1"/>
        <v>1207.3050962499992</v>
      </c>
      <c r="F20" s="8">
        <v>710.34077370999967</v>
      </c>
      <c r="G20" s="8">
        <v>492.09614088999996</v>
      </c>
      <c r="H20" s="8">
        <v>607.74351783000009</v>
      </c>
      <c r="I20" s="8">
        <f t="shared" si="2"/>
        <v>1810.1804324299997</v>
      </c>
      <c r="J20" s="8">
        <f t="shared" si="3"/>
        <v>3017.4855286799989</v>
      </c>
      <c r="K20" s="8">
        <v>418.92120909000033</v>
      </c>
      <c r="L20" s="8">
        <v>475.75898685999982</v>
      </c>
      <c r="M20" s="8">
        <v>444.11800547999979</v>
      </c>
      <c r="N20" s="8">
        <f t="shared" si="4"/>
        <v>1338.7982014299998</v>
      </c>
      <c r="O20" s="8">
        <v>542.56298381000033</v>
      </c>
      <c r="P20" s="8">
        <v>610.21372182999994</v>
      </c>
      <c r="Q20" s="8">
        <v>508.68888818999989</v>
      </c>
      <c r="R20" s="8">
        <f t="shared" si="5"/>
        <v>1661.4655938300002</v>
      </c>
      <c r="S20" s="8">
        <f t="shared" si="6"/>
        <v>3000.2637952599998</v>
      </c>
      <c r="T20" s="8">
        <f t="shared" si="7"/>
        <v>6017.7493239399992</v>
      </c>
      <c r="U20" s="8"/>
      <c r="V20" s="8"/>
    </row>
    <row r="21" spans="1:22" ht="15" customHeight="1" x14ac:dyDescent="0.3">
      <c r="A21" s="12" t="s">
        <v>36</v>
      </c>
      <c r="B21" s="8">
        <v>4000.3437905400006</v>
      </c>
      <c r="C21" s="8">
        <v>2533.9745829400026</v>
      </c>
      <c r="D21" s="8">
        <v>2446.3779564499996</v>
      </c>
      <c r="E21" s="8">
        <f t="shared" si="1"/>
        <v>8980.6963299300023</v>
      </c>
      <c r="F21" s="8">
        <v>4919.2908073499939</v>
      </c>
      <c r="G21" s="8">
        <v>3315.1790693400026</v>
      </c>
      <c r="H21" s="8">
        <v>2414.6292265799989</v>
      </c>
      <c r="I21" s="8">
        <f t="shared" si="2"/>
        <v>10649.099103269995</v>
      </c>
      <c r="J21" s="8">
        <f t="shared" si="3"/>
        <v>19629.795433199997</v>
      </c>
      <c r="K21" s="8">
        <v>3191.1650133000016</v>
      </c>
      <c r="L21" s="8">
        <v>4069.5473496099949</v>
      </c>
      <c r="M21" s="8">
        <v>2750.7858229300027</v>
      </c>
      <c r="N21" s="8">
        <f t="shared" si="4"/>
        <v>10011.498185839999</v>
      </c>
      <c r="O21" s="8">
        <v>3073.5165563000023</v>
      </c>
      <c r="P21" s="8">
        <v>4385.1124081399985</v>
      </c>
      <c r="Q21" s="8">
        <v>3116.774303469997</v>
      </c>
      <c r="R21" s="8">
        <f t="shared" si="5"/>
        <v>10575.403267909998</v>
      </c>
      <c r="S21" s="8">
        <f t="shared" si="6"/>
        <v>20586.901453749997</v>
      </c>
      <c r="T21" s="8">
        <f t="shared" si="7"/>
        <v>40216.696886949998</v>
      </c>
      <c r="U21" s="8"/>
      <c r="V21" s="8"/>
    </row>
    <row r="22" spans="1:22" ht="15" customHeight="1" x14ac:dyDescent="0.3">
      <c r="A22" s="12" t="s">
        <v>37</v>
      </c>
      <c r="B22" s="8">
        <v>380.02028804999981</v>
      </c>
      <c r="C22" s="8">
        <v>298.56624140000014</v>
      </c>
      <c r="D22" s="8">
        <v>380.62684544000001</v>
      </c>
      <c r="E22" s="8">
        <f t="shared" si="1"/>
        <v>1059.2133748900001</v>
      </c>
      <c r="F22" s="8">
        <v>705.20848435999949</v>
      </c>
      <c r="G22" s="8">
        <v>418.80270133999977</v>
      </c>
      <c r="H22" s="8">
        <v>350.01519578999967</v>
      </c>
      <c r="I22" s="8">
        <f t="shared" si="2"/>
        <v>1474.026381489999</v>
      </c>
      <c r="J22" s="8">
        <f t="shared" si="3"/>
        <v>2533.2397563799991</v>
      </c>
      <c r="K22" s="8">
        <v>536.80088077760013</v>
      </c>
      <c r="L22" s="8">
        <v>446.0981089400002</v>
      </c>
      <c r="M22" s="8">
        <v>365.61179109999978</v>
      </c>
      <c r="N22" s="8">
        <f t="shared" si="4"/>
        <v>1348.5107808176001</v>
      </c>
      <c r="O22" s="8">
        <v>433.19401592000014</v>
      </c>
      <c r="P22" s="8">
        <v>528.20167657000025</v>
      </c>
      <c r="Q22" s="8">
        <v>369.02728213675033</v>
      </c>
      <c r="R22" s="8">
        <f t="shared" si="5"/>
        <v>1330.4229746267506</v>
      </c>
      <c r="S22" s="8">
        <f t="shared" si="6"/>
        <v>2678.9337554443509</v>
      </c>
      <c r="T22" s="8">
        <f t="shared" si="7"/>
        <v>5212.1735118243505</v>
      </c>
      <c r="U22" s="8"/>
      <c r="V22" s="8"/>
    </row>
    <row r="23" spans="1:22" ht="18" customHeight="1" x14ac:dyDescent="0.3">
      <c r="A23" s="12" t="s">
        <v>38</v>
      </c>
      <c r="B23" s="8">
        <v>104632.41718096001</v>
      </c>
      <c r="C23" s="8">
        <v>74354.598839890008</v>
      </c>
      <c r="D23" s="8">
        <v>83170.250094620002</v>
      </c>
      <c r="E23" s="8">
        <f t="shared" si="1"/>
        <v>262157.26611547003</v>
      </c>
      <c r="F23" s="8">
        <v>147518.54755987</v>
      </c>
      <c r="G23" s="8">
        <v>113646.72939750997</v>
      </c>
      <c r="H23" s="8">
        <v>89526.01125743</v>
      </c>
      <c r="I23" s="8">
        <f t="shared" si="2"/>
        <v>350691.28821480996</v>
      </c>
      <c r="J23" s="8">
        <f t="shared" si="3"/>
        <v>612848.55433028005</v>
      </c>
      <c r="K23" s="8">
        <v>103430.92226102001</v>
      </c>
      <c r="L23" s="8">
        <v>120185.95896606002</v>
      </c>
      <c r="M23" s="8">
        <v>80685.876382520015</v>
      </c>
      <c r="N23" s="8">
        <f t="shared" si="4"/>
        <v>304302.75760960003</v>
      </c>
      <c r="O23" s="8">
        <v>107608.91682775</v>
      </c>
      <c r="P23" s="8">
        <v>125097.41889676003</v>
      </c>
      <c r="Q23" s="8">
        <v>96097.946874610032</v>
      </c>
      <c r="R23" s="8">
        <f t="shared" si="5"/>
        <v>328804.28259912005</v>
      </c>
      <c r="S23" s="8">
        <f t="shared" si="6"/>
        <v>633107.04020872014</v>
      </c>
      <c r="T23" s="8">
        <f t="shared" si="7"/>
        <v>1245955.5945390002</v>
      </c>
      <c r="U23" s="8"/>
      <c r="V23" s="8"/>
    </row>
    <row r="24" spans="1:22" s="10" customFormat="1" ht="15" customHeight="1" x14ac:dyDescent="0.3">
      <c r="A24" s="3"/>
      <c r="B24" s="11"/>
      <c r="C24" s="11"/>
      <c r="D24" s="11"/>
      <c r="E24" s="11"/>
      <c r="F24" s="11"/>
      <c r="G24" s="11"/>
      <c r="H24" s="11"/>
      <c r="I24" s="11"/>
      <c r="J24" s="11"/>
      <c r="K24" s="11"/>
      <c r="L24" s="11"/>
      <c r="M24" s="11"/>
      <c r="N24" s="11"/>
      <c r="O24" s="11"/>
      <c r="P24" s="11"/>
      <c r="Q24" s="11"/>
      <c r="R24" s="11"/>
      <c r="S24" s="11"/>
      <c r="T24" s="11"/>
      <c r="U24" s="11"/>
      <c r="V24" s="11"/>
    </row>
    <row r="25" spans="1:22" s="10" customFormat="1" ht="15" customHeight="1" x14ac:dyDescent="0.25">
      <c r="A25" s="10" t="s">
        <v>39</v>
      </c>
      <c r="B25" s="11">
        <f>SUM(B26:B31)</f>
        <v>565.01470527999982</v>
      </c>
      <c r="C25" s="11">
        <f t="shared" ref="C25:Q25" si="8">SUM(C26:C31)</f>
        <v>341.97810158000016</v>
      </c>
      <c r="D25" s="11">
        <f t="shared" si="8"/>
        <v>341.97496983000002</v>
      </c>
      <c r="E25" s="11">
        <f t="shared" ref="E25:E31" si="9">SUM(B25:D25)</f>
        <v>1248.9677766899999</v>
      </c>
      <c r="F25" s="11">
        <f t="shared" si="8"/>
        <v>574.71900669000013</v>
      </c>
      <c r="G25" s="11">
        <f t="shared" si="8"/>
        <v>446.05931739000005</v>
      </c>
      <c r="H25" s="11">
        <f t="shared" si="8"/>
        <v>358.51023417000005</v>
      </c>
      <c r="I25" s="11">
        <f t="shared" ref="I25:I31" si="10">SUM(F25:H25)</f>
        <v>1379.2885582500003</v>
      </c>
      <c r="J25" s="11">
        <f t="shared" si="3"/>
        <v>2628.2563349400002</v>
      </c>
      <c r="K25" s="11">
        <f t="shared" si="8"/>
        <v>435.17568205999999</v>
      </c>
      <c r="L25" s="11">
        <f t="shared" si="8"/>
        <v>442.56880921999993</v>
      </c>
      <c r="M25" s="11">
        <f t="shared" si="8"/>
        <v>318.26753536000001</v>
      </c>
      <c r="N25" s="11">
        <f t="shared" ref="N25:N31" si="11">SUM(K25:M25)</f>
        <v>1196.0120266399999</v>
      </c>
      <c r="O25" s="11">
        <f t="shared" si="8"/>
        <v>469.47204271999999</v>
      </c>
      <c r="P25" s="11">
        <f t="shared" si="8"/>
        <v>431.28828079000016</v>
      </c>
      <c r="Q25" s="11">
        <f t="shared" si="8"/>
        <v>477.07130254200013</v>
      </c>
      <c r="R25" s="11">
        <f t="shared" ref="R25:R31" si="12">SUM(O25:Q25)</f>
        <v>1377.8316260520003</v>
      </c>
      <c r="S25" s="11">
        <f t="shared" si="6"/>
        <v>2573.8436526920004</v>
      </c>
      <c r="T25" s="11">
        <f t="shared" ref="T25:T31" si="13">+J25+S25</f>
        <v>5202.0999876320002</v>
      </c>
      <c r="U25" s="11"/>
      <c r="V25" s="11"/>
    </row>
    <row r="26" spans="1:22" ht="15" customHeight="1" x14ac:dyDescent="0.3">
      <c r="A26" s="12" t="s">
        <v>40</v>
      </c>
      <c r="B26" s="8">
        <v>43.460114109999999</v>
      </c>
      <c r="C26" s="8">
        <v>16.639574249999999</v>
      </c>
      <c r="D26" s="8">
        <v>18.906461270000005</v>
      </c>
      <c r="E26" s="8">
        <f t="shared" si="9"/>
        <v>79.00614963000001</v>
      </c>
      <c r="F26" s="8">
        <v>34.173364549999995</v>
      </c>
      <c r="G26" s="8">
        <v>22.597663100000005</v>
      </c>
      <c r="H26" s="8">
        <v>30.224643010000001</v>
      </c>
      <c r="I26" s="8">
        <f t="shared" si="10"/>
        <v>86.995670660000002</v>
      </c>
      <c r="J26" s="8">
        <f t="shared" si="3"/>
        <v>166.00182029000001</v>
      </c>
      <c r="K26" s="8">
        <v>36.563256389999999</v>
      </c>
      <c r="L26" s="8">
        <v>28.071763760000003</v>
      </c>
      <c r="M26" s="8">
        <v>27.714260260000007</v>
      </c>
      <c r="N26" s="8">
        <f t="shared" si="11"/>
        <v>92.349280410000006</v>
      </c>
      <c r="O26" s="8">
        <v>37.236232159999993</v>
      </c>
      <c r="P26" s="8">
        <v>33.22072635</v>
      </c>
      <c r="Q26" s="8">
        <v>27.146410289999999</v>
      </c>
      <c r="R26" s="8">
        <f t="shared" si="12"/>
        <v>97.603368799999998</v>
      </c>
      <c r="S26" s="8">
        <f t="shared" si="6"/>
        <v>189.95264921</v>
      </c>
      <c r="T26" s="8">
        <f t="shared" si="13"/>
        <v>355.95446950000002</v>
      </c>
      <c r="U26" s="8"/>
      <c r="V26" s="8"/>
    </row>
    <row r="27" spans="1:22" ht="15" customHeight="1" x14ac:dyDescent="0.3">
      <c r="A27" s="12" t="s">
        <v>41</v>
      </c>
      <c r="B27" s="8">
        <v>81.831338989999978</v>
      </c>
      <c r="C27" s="8">
        <v>27.71829486</v>
      </c>
      <c r="D27" s="8">
        <v>27.600722310000002</v>
      </c>
      <c r="E27" s="8">
        <f t="shared" si="9"/>
        <v>137.15035615999997</v>
      </c>
      <c r="F27" s="8">
        <v>43.237290750000014</v>
      </c>
      <c r="G27" s="8">
        <v>40.007636890000001</v>
      </c>
      <c r="H27" s="8">
        <v>38.702074309999986</v>
      </c>
      <c r="I27" s="8">
        <f t="shared" si="10"/>
        <v>121.94700195</v>
      </c>
      <c r="J27" s="8">
        <f t="shared" si="3"/>
        <v>259.09735810999996</v>
      </c>
      <c r="K27" s="8">
        <v>45.744732460000009</v>
      </c>
      <c r="L27" s="8">
        <v>36.936082379999995</v>
      </c>
      <c r="M27" s="8">
        <v>35.320701440000008</v>
      </c>
      <c r="N27" s="8">
        <f t="shared" si="11"/>
        <v>118.00151628000002</v>
      </c>
      <c r="O27" s="8">
        <v>43.555816970000016</v>
      </c>
      <c r="P27" s="8">
        <v>50.660815450000001</v>
      </c>
      <c r="Q27" s="8">
        <v>42.34123142</v>
      </c>
      <c r="R27" s="8">
        <f t="shared" si="12"/>
        <v>136.55786384000004</v>
      </c>
      <c r="S27" s="8">
        <f t="shared" si="6"/>
        <v>254.55938012000007</v>
      </c>
      <c r="T27" s="8">
        <f t="shared" si="13"/>
        <v>513.65673822999997</v>
      </c>
      <c r="U27" s="8"/>
      <c r="V27" s="8"/>
    </row>
    <row r="28" spans="1:22" ht="15" customHeight="1" x14ac:dyDescent="0.3">
      <c r="A28" s="12" t="s">
        <v>42</v>
      </c>
      <c r="B28" s="8">
        <v>73.205568569999954</v>
      </c>
      <c r="C28" s="8">
        <v>46.74910474</v>
      </c>
      <c r="D28" s="8">
        <v>42.751852150000012</v>
      </c>
      <c r="E28" s="8">
        <f t="shared" si="9"/>
        <v>162.70652545999997</v>
      </c>
      <c r="F28" s="8">
        <v>88.884751440000016</v>
      </c>
      <c r="G28" s="8">
        <v>67.952475579999984</v>
      </c>
      <c r="H28" s="8">
        <v>49.110539380000006</v>
      </c>
      <c r="I28" s="8">
        <f t="shared" si="10"/>
        <v>205.94776640000001</v>
      </c>
      <c r="J28" s="8">
        <f t="shared" si="3"/>
        <v>368.65429185999994</v>
      </c>
      <c r="K28" s="8">
        <v>72.309508500000007</v>
      </c>
      <c r="L28" s="8">
        <v>65.796261550000011</v>
      </c>
      <c r="M28" s="8">
        <v>45.359275600000018</v>
      </c>
      <c r="N28" s="8">
        <f t="shared" si="11"/>
        <v>183.46504565000004</v>
      </c>
      <c r="O28" s="8">
        <v>75.657724090000031</v>
      </c>
      <c r="P28" s="8">
        <v>56.88915882000002</v>
      </c>
      <c r="Q28" s="8">
        <v>97.548270492000029</v>
      </c>
      <c r="R28" s="8">
        <f t="shared" si="12"/>
        <v>230.09515340200008</v>
      </c>
      <c r="S28" s="8">
        <f t="shared" si="6"/>
        <v>413.56019905200014</v>
      </c>
      <c r="T28" s="8">
        <f t="shared" si="13"/>
        <v>782.21449091200009</v>
      </c>
      <c r="U28" s="8"/>
      <c r="V28" s="8"/>
    </row>
    <row r="29" spans="1:22" ht="15" customHeight="1" x14ac:dyDescent="0.3">
      <c r="A29" s="12" t="s">
        <v>43</v>
      </c>
      <c r="B29" s="8">
        <v>32.868780579999999</v>
      </c>
      <c r="C29" s="8">
        <v>15.808380260000002</v>
      </c>
      <c r="D29" s="8">
        <v>10.927790529999998</v>
      </c>
      <c r="E29" s="8">
        <f t="shared" si="9"/>
        <v>59.604951369999995</v>
      </c>
      <c r="F29" s="8">
        <v>17.428086189999998</v>
      </c>
      <c r="G29" s="8">
        <v>16.851396680000001</v>
      </c>
      <c r="H29" s="8">
        <v>15.720684090000001</v>
      </c>
      <c r="I29" s="8">
        <f t="shared" si="10"/>
        <v>50.000166959999994</v>
      </c>
      <c r="J29" s="8">
        <f t="shared" si="3"/>
        <v>109.60511832999998</v>
      </c>
      <c r="K29" s="8">
        <v>17.709793039999997</v>
      </c>
      <c r="L29" s="8">
        <v>15.94417496</v>
      </c>
      <c r="M29" s="8">
        <v>14.79409993</v>
      </c>
      <c r="N29" s="8">
        <f t="shared" si="11"/>
        <v>48.448067930000001</v>
      </c>
      <c r="O29" s="8">
        <v>24.349660130000004</v>
      </c>
      <c r="P29" s="8">
        <v>16.824404859999994</v>
      </c>
      <c r="Q29" s="8">
        <v>28.055526470000011</v>
      </c>
      <c r="R29" s="8">
        <f t="shared" si="12"/>
        <v>69.229591460000009</v>
      </c>
      <c r="S29" s="8">
        <f t="shared" si="6"/>
        <v>117.67765939</v>
      </c>
      <c r="T29" s="8">
        <f t="shared" si="13"/>
        <v>227.28277771999998</v>
      </c>
      <c r="U29" s="8"/>
      <c r="V29" s="8"/>
    </row>
    <row r="30" spans="1:22" ht="15" customHeight="1" x14ac:dyDescent="0.3">
      <c r="A30" s="12" t="s">
        <v>44</v>
      </c>
      <c r="B30" s="8">
        <v>38.292835459999999</v>
      </c>
      <c r="C30" s="8">
        <v>13.100457160000001</v>
      </c>
      <c r="D30" s="8">
        <v>16.238927180000008</v>
      </c>
      <c r="E30" s="8">
        <f t="shared" si="9"/>
        <v>67.632219800000001</v>
      </c>
      <c r="F30" s="8">
        <v>19.618191169999996</v>
      </c>
      <c r="G30" s="8">
        <v>17.388891309999995</v>
      </c>
      <c r="H30" s="8">
        <v>15.253560290000003</v>
      </c>
      <c r="I30" s="8">
        <f t="shared" si="10"/>
        <v>52.260642769999997</v>
      </c>
      <c r="J30" s="8">
        <f t="shared" si="3"/>
        <v>119.89286257000001</v>
      </c>
      <c r="K30" s="8">
        <v>23.28535827</v>
      </c>
      <c r="L30" s="8">
        <v>21.43503603000001</v>
      </c>
      <c r="M30" s="8">
        <v>15.591895689999998</v>
      </c>
      <c r="N30" s="8">
        <f t="shared" si="11"/>
        <v>60.312289990000011</v>
      </c>
      <c r="O30" s="8">
        <v>24.021751699999999</v>
      </c>
      <c r="P30" s="8">
        <v>20.202883609999997</v>
      </c>
      <c r="Q30" s="8">
        <v>26.612099109999999</v>
      </c>
      <c r="R30" s="8">
        <f t="shared" si="12"/>
        <v>70.836734419999999</v>
      </c>
      <c r="S30" s="8">
        <f t="shared" si="6"/>
        <v>131.14902441000001</v>
      </c>
      <c r="T30" s="8">
        <f t="shared" si="13"/>
        <v>251.04188698000002</v>
      </c>
      <c r="U30" s="8"/>
      <c r="V30" s="8"/>
    </row>
    <row r="31" spans="1:22" ht="15" customHeight="1" x14ac:dyDescent="0.3">
      <c r="A31" s="12" t="s">
        <v>45</v>
      </c>
      <c r="B31" s="8">
        <v>295.35606756999982</v>
      </c>
      <c r="C31" s="8">
        <v>221.96229031000013</v>
      </c>
      <c r="D31" s="8">
        <v>225.54921639</v>
      </c>
      <c r="E31" s="8">
        <f t="shared" si="9"/>
        <v>742.86757426999986</v>
      </c>
      <c r="F31" s="8">
        <v>371.37732259000012</v>
      </c>
      <c r="G31" s="8">
        <v>281.2612538300001</v>
      </c>
      <c r="H31" s="8">
        <v>209.49873309000006</v>
      </c>
      <c r="I31" s="8">
        <f t="shared" si="10"/>
        <v>862.13730951000025</v>
      </c>
      <c r="J31" s="8">
        <f t="shared" si="3"/>
        <v>1605.00488378</v>
      </c>
      <c r="K31" s="8">
        <v>239.56303340000002</v>
      </c>
      <c r="L31" s="8">
        <v>274.38549053999992</v>
      </c>
      <c r="M31" s="8">
        <v>179.48730244000001</v>
      </c>
      <c r="N31" s="8">
        <f t="shared" si="11"/>
        <v>693.43582637999998</v>
      </c>
      <c r="O31" s="8">
        <v>264.65085766999994</v>
      </c>
      <c r="P31" s="8">
        <v>253.49029170000014</v>
      </c>
      <c r="Q31" s="8">
        <v>255.36776476000011</v>
      </c>
      <c r="R31" s="8">
        <f t="shared" si="12"/>
        <v>773.50891413000022</v>
      </c>
      <c r="S31" s="8">
        <f t="shared" si="6"/>
        <v>1466.9447405100002</v>
      </c>
      <c r="T31" s="8">
        <f t="shared" si="13"/>
        <v>3071.9496242900004</v>
      </c>
      <c r="U31" s="8"/>
      <c r="V31" s="8"/>
    </row>
    <row r="32" spans="1:22" s="10" customFormat="1" ht="15" customHeight="1" x14ac:dyDescent="0.3">
      <c r="A32" s="3"/>
      <c r="B32" s="11"/>
      <c r="C32" s="11"/>
      <c r="D32" s="11"/>
      <c r="E32" s="11"/>
      <c r="F32" s="11"/>
      <c r="G32" s="11"/>
      <c r="H32" s="11"/>
      <c r="I32" s="11"/>
      <c r="J32" s="11"/>
      <c r="K32" s="11"/>
      <c r="L32" s="11"/>
      <c r="M32" s="11"/>
      <c r="N32" s="11"/>
      <c r="O32" s="11"/>
      <c r="P32" s="11"/>
      <c r="Q32" s="11"/>
      <c r="R32" s="11"/>
      <c r="S32" s="11"/>
      <c r="T32" s="11"/>
      <c r="U32" s="11"/>
      <c r="V32" s="11"/>
    </row>
    <row r="33" spans="1:22" s="10" customFormat="1" ht="15" customHeight="1" x14ac:dyDescent="0.25">
      <c r="A33" s="10" t="s">
        <v>46</v>
      </c>
      <c r="B33" s="11">
        <f>SUM(B34:B37)</f>
        <v>1297.3251282599995</v>
      </c>
      <c r="C33" s="11">
        <f t="shared" ref="C33:Q33" si="14">SUM(C34:C37)</f>
        <v>765.73585383</v>
      </c>
      <c r="D33" s="11">
        <f t="shared" si="14"/>
        <v>782.07696478999981</v>
      </c>
      <c r="E33" s="11">
        <f t="shared" ref="E33:E37" si="15">SUM(B33:D33)</f>
        <v>2845.1379468799992</v>
      </c>
      <c r="F33" s="11">
        <f t="shared" si="14"/>
        <v>1381.9409217699999</v>
      </c>
      <c r="G33" s="11">
        <f t="shared" si="14"/>
        <v>1006.8530002200002</v>
      </c>
      <c r="H33" s="11">
        <f t="shared" si="14"/>
        <v>916.25682901999983</v>
      </c>
      <c r="I33" s="11">
        <f t="shared" ref="I33:I37" si="16">SUM(F33:H33)</f>
        <v>3305.0507510099997</v>
      </c>
      <c r="J33" s="11">
        <f t="shared" si="3"/>
        <v>6150.1886978899984</v>
      </c>
      <c r="K33" s="11">
        <f t="shared" si="14"/>
        <v>1062.7910102900003</v>
      </c>
      <c r="L33" s="11">
        <f t="shared" si="14"/>
        <v>1205.8356097199999</v>
      </c>
      <c r="M33" s="11">
        <f t="shared" si="14"/>
        <v>894.15618197999993</v>
      </c>
      <c r="N33" s="11">
        <f t="shared" ref="N33:N37" si="17">SUM(K33:M33)</f>
        <v>3162.7828019899998</v>
      </c>
      <c r="O33" s="11">
        <f t="shared" si="14"/>
        <v>1036.8157735399996</v>
      </c>
      <c r="P33" s="11">
        <f t="shared" si="14"/>
        <v>1250.4932108399998</v>
      </c>
      <c r="Q33" s="11">
        <f t="shared" si="14"/>
        <v>876.99561090999987</v>
      </c>
      <c r="R33" s="11">
        <f t="shared" ref="R33:R37" si="18">SUM(O33:Q33)</f>
        <v>3164.3045952899993</v>
      </c>
      <c r="S33" s="11">
        <f t="shared" si="6"/>
        <v>6327.0873972799991</v>
      </c>
      <c r="T33" s="11">
        <f t="shared" ref="T33:T37" si="19">+J33+S33</f>
        <v>12477.276095169997</v>
      </c>
      <c r="U33" s="11"/>
      <c r="V33" s="11"/>
    </row>
    <row r="34" spans="1:22" ht="15" customHeight="1" x14ac:dyDescent="0.3">
      <c r="A34" s="12" t="s">
        <v>47</v>
      </c>
      <c r="B34" s="8">
        <v>167.29478902999992</v>
      </c>
      <c r="C34" s="8">
        <v>92.618274859999985</v>
      </c>
      <c r="D34" s="8">
        <v>102.92770115999987</v>
      </c>
      <c r="E34" s="8">
        <f t="shared" si="15"/>
        <v>362.84076504999973</v>
      </c>
      <c r="F34" s="8">
        <v>180.45201235000005</v>
      </c>
      <c r="G34" s="8">
        <v>109.35643191999999</v>
      </c>
      <c r="H34" s="8">
        <v>91.10393598999994</v>
      </c>
      <c r="I34" s="8">
        <f t="shared" si="16"/>
        <v>380.91238025999996</v>
      </c>
      <c r="J34" s="8">
        <f t="shared" si="3"/>
        <v>743.7531453099997</v>
      </c>
      <c r="K34" s="8">
        <v>131.2802576899999</v>
      </c>
      <c r="L34" s="8">
        <v>124.8985088100001</v>
      </c>
      <c r="M34" s="8">
        <v>105.22140859999998</v>
      </c>
      <c r="N34" s="8">
        <f t="shared" si="17"/>
        <v>361.40017509999996</v>
      </c>
      <c r="O34" s="8">
        <v>132.29889068999998</v>
      </c>
      <c r="P34" s="8">
        <v>141.78653343000005</v>
      </c>
      <c r="Q34" s="8">
        <v>126.40742372000003</v>
      </c>
      <c r="R34" s="8">
        <f t="shared" si="18"/>
        <v>400.49284784000008</v>
      </c>
      <c r="S34" s="8">
        <f t="shared" si="6"/>
        <v>761.89302294000004</v>
      </c>
      <c r="T34" s="8">
        <f t="shared" si="19"/>
        <v>1505.6461682499998</v>
      </c>
      <c r="U34" s="8"/>
      <c r="V34" s="8"/>
    </row>
    <row r="35" spans="1:22" ht="15" customHeight="1" x14ac:dyDescent="0.3">
      <c r="A35" s="12" t="s">
        <v>48</v>
      </c>
      <c r="B35" s="8">
        <v>208.59160128000005</v>
      </c>
      <c r="C35" s="8">
        <v>105.95343375000006</v>
      </c>
      <c r="D35" s="8">
        <v>121.88174070999996</v>
      </c>
      <c r="E35" s="8">
        <f t="shared" si="15"/>
        <v>436.4267757400001</v>
      </c>
      <c r="F35" s="8">
        <v>171.94539323999987</v>
      </c>
      <c r="G35" s="8">
        <v>157.16411291999989</v>
      </c>
      <c r="H35" s="8">
        <v>138.46059300999994</v>
      </c>
      <c r="I35" s="8">
        <f t="shared" si="16"/>
        <v>467.57009916999971</v>
      </c>
      <c r="J35" s="8">
        <f t="shared" si="3"/>
        <v>903.99687490999986</v>
      </c>
      <c r="K35" s="8">
        <v>141.43465390999987</v>
      </c>
      <c r="L35" s="8">
        <v>166.19354425999998</v>
      </c>
      <c r="M35" s="8">
        <v>124.28473554000003</v>
      </c>
      <c r="N35" s="8">
        <f t="shared" si="17"/>
        <v>431.91293370999989</v>
      </c>
      <c r="O35" s="8">
        <v>149.15980372999996</v>
      </c>
      <c r="P35" s="8">
        <v>158.92666014999998</v>
      </c>
      <c r="Q35" s="8">
        <v>148.48025382999992</v>
      </c>
      <c r="R35" s="8">
        <f t="shared" si="18"/>
        <v>456.56671770999986</v>
      </c>
      <c r="S35" s="8">
        <f t="shared" si="6"/>
        <v>888.47965141999975</v>
      </c>
      <c r="T35" s="8">
        <f t="shared" si="19"/>
        <v>1792.4765263299996</v>
      </c>
      <c r="U35" s="8"/>
      <c r="V35" s="8"/>
    </row>
    <row r="36" spans="1:22" ht="15" customHeight="1" x14ac:dyDescent="0.3">
      <c r="A36" s="12" t="s">
        <v>49</v>
      </c>
      <c r="B36" s="8">
        <v>290.17534786000016</v>
      </c>
      <c r="C36" s="8">
        <v>138.47549015000001</v>
      </c>
      <c r="D36" s="8">
        <v>161.43294222000009</v>
      </c>
      <c r="E36" s="8">
        <f t="shared" si="15"/>
        <v>590.08378023000023</v>
      </c>
      <c r="F36" s="8">
        <v>265.92256405000001</v>
      </c>
      <c r="G36" s="8">
        <v>205.07102479000002</v>
      </c>
      <c r="H36" s="8">
        <v>221.4123536699999</v>
      </c>
      <c r="I36" s="8">
        <f t="shared" si="16"/>
        <v>692.40594250999993</v>
      </c>
      <c r="J36" s="8">
        <f t="shared" si="3"/>
        <v>1282.4897227400002</v>
      </c>
      <c r="K36" s="8">
        <v>240.45956639000011</v>
      </c>
      <c r="L36" s="8">
        <v>247.54144364999985</v>
      </c>
      <c r="M36" s="8">
        <v>208.56529395999999</v>
      </c>
      <c r="N36" s="8">
        <f t="shared" si="17"/>
        <v>696.56630399999995</v>
      </c>
      <c r="O36" s="8">
        <v>205.39405361000001</v>
      </c>
      <c r="P36" s="8">
        <v>239.48936172999981</v>
      </c>
      <c r="Q36" s="8">
        <v>150.68363465000002</v>
      </c>
      <c r="R36" s="8">
        <f t="shared" si="18"/>
        <v>595.56704998999987</v>
      </c>
      <c r="S36" s="8">
        <f t="shared" si="6"/>
        <v>1292.1333539899997</v>
      </c>
      <c r="T36" s="8">
        <f t="shared" si="19"/>
        <v>2574.6230767299999</v>
      </c>
      <c r="U36" s="8"/>
      <c r="V36" s="8"/>
    </row>
    <row r="37" spans="1:22" ht="15" customHeight="1" x14ac:dyDescent="0.3">
      <c r="A37" s="12" t="s">
        <v>50</v>
      </c>
      <c r="B37" s="8">
        <v>631.26339008999946</v>
      </c>
      <c r="C37" s="8">
        <v>428.68865507000004</v>
      </c>
      <c r="D37" s="8">
        <v>395.83458069999989</v>
      </c>
      <c r="E37" s="8">
        <f t="shared" si="15"/>
        <v>1455.7866258599993</v>
      </c>
      <c r="F37" s="8">
        <v>763.62095212999998</v>
      </c>
      <c r="G37" s="8">
        <v>535.26143059000026</v>
      </c>
      <c r="H37" s="8">
        <v>465.27994635000005</v>
      </c>
      <c r="I37" s="8">
        <f t="shared" si="16"/>
        <v>1764.1623290700004</v>
      </c>
      <c r="J37" s="8">
        <f t="shared" si="3"/>
        <v>3219.9489549299997</v>
      </c>
      <c r="K37" s="8">
        <v>549.61653230000036</v>
      </c>
      <c r="L37" s="8">
        <v>667.20211300000005</v>
      </c>
      <c r="M37" s="8">
        <v>456.08474387999985</v>
      </c>
      <c r="N37" s="8">
        <f t="shared" si="17"/>
        <v>1672.9033891800002</v>
      </c>
      <c r="O37" s="8">
        <v>549.96302550999962</v>
      </c>
      <c r="P37" s="8">
        <v>710.29065552999998</v>
      </c>
      <c r="Q37" s="8">
        <v>451.4242987099999</v>
      </c>
      <c r="R37" s="8">
        <f t="shared" si="18"/>
        <v>1711.6779797499996</v>
      </c>
      <c r="S37" s="8">
        <f t="shared" si="6"/>
        <v>3384.5813689299998</v>
      </c>
      <c r="T37" s="8">
        <f t="shared" si="19"/>
        <v>6604.530323859999</v>
      </c>
      <c r="U37" s="8"/>
      <c r="V37" s="8"/>
    </row>
    <row r="38" spans="1:22" s="10" customFormat="1" ht="15" customHeight="1" x14ac:dyDescent="0.3">
      <c r="A38" s="3"/>
      <c r="B38" s="11"/>
      <c r="C38" s="11"/>
      <c r="D38" s="11"/>
      <c r="E38" s="11"/>
      <c r="F38" s="11"/>
      <c r="G38" s="11"/>
      <c r="H38" s="11"/>
      <c r="I38" s="11"/>
      <c r="J38" s="11"/>
      <c r="K38" s="11"/>
      <c r="L38" s="11"/>
      <c r="M38" s="11"/>
      <c r="N38" s="11"/>
      <c r="O38" s="11"/>
      <c r="P38" s="11"/>
      <c r="Q38" s="11"/>
      <c r="R38" s="11"/>
      <c r="S38" s="11"/>
      <c r="T38" s="11"/>
      <c r="U38" s="11"/>
      <c r="V38" s="11"/>
    </row>
    <row r="39" spans="1:22" s="10" customFormat="1" ht="15" customHeight="1" x14ac:dyDescent="0.25">
      <c r="A39" s="10" t="s">
        <v>51</v>
      </c>
      <c r="B39" s="11">
        <f>SUM(B40:B43)</f>
        <v>802.3746216400001</v>
      </c>
      <c r="C39" s="11">
        <f t="shared" ref="C39:Q39" si="20">SUM(C40:C43)</f>
        <v>433.83604765999996</v>
      </c>
      <c r="D39" s="11">
        <f t="shared" si="20"/>
        <v>480.44965413999978</v>
      </c>
      <c r="E39" s="11">
        <f t="shared" ref="E39:E43" si="21">SUM(B39:D39)</f>
        <v>1716.66032344</v>
      </c>
      <c r="F39" s="11">
        <f t="shared" si="20"/>
        <v>906.44365230999995</v>
      </c>
      <c r="G39" s="11">
        <f t="shared" si="20"/>
        <v>587.15474348999976</v>
      </c>
      <c r="H39" s="11">
        <f t="shared" si="20"/>
        <v>1036.4883090799995</v>
      </c>
      <c r="I39" s="11">
        <f t="shared" ref="I39:I43" si="22">SUM(F39:H39)</f>
        <v>2530.0867048799992</v>
      </c>
      <c r="J39" s="11">
        <f t="shared" si="3"/>
        <v>4246.7470283199991</v>
      </c>
      <c r="K39" s="11">
        <f t="shared" si="20"/>
        <v>851.32994485000006</v>
      </c>
      <c r="L39" s="11">
        <f t="shared" si="20"/>
        <v>672.17404511000007</v>
      </c>
      <c r="M39" s="11">
        <f t="shared" si="20"/>
        <v>510.06087306000012</v>
      </c>
      <c r="N39" s="11">
        <f t="shared" ref="N39:N43" si="23">SUM(K39:M39)</f>
        <v>2033.5648630200003</v>
      </c>
      <c r="O39" s="11">
        <f t="shared" si="20"/>
        <v>608.71553537999989</v>
      </c>
      <c r="P39" s="11">
        <f t="shared" si="20"/>
        <v>723.69228830999975</v>
      </c>
      <c r="Q39" s="11">
        <f t="shared" si="20"/>
        <v>670.51634411000009</v>
      </c>
      <c r="R39" s="11">
        <f t="shared" ref="R39:R43" si="24">SUM(O39:Q39)</f>
        <v>2002.9241677999996</v>
      </c>
      <c r="S39" s="11">
        <f t="shared" si="6"/>
        <v>4036.4890308200002</v>
      </c>
      <c r="T39" s="11">
        <f t="shared" ref="T39:T43" si="25">+J39+S39</f>
        <v>8283.2360591399993</v>
      </c>
      <c r="U39" s="11"/>
      <c r="V39" s="11"/>
    </row>
    <row r="40" spans="1:22" ht="15" customHeight="1" x14ac:dyDescent="0.3">
      <c r="A40" s="12" t="s">
        <v>52</v>
      </c>
      <c r="B40" s="8">
        <v>360.09748192000006</v>
      </c>
      <c r="C40" s="8">
        <v>208.28824328999994</v>
      </c>
      <c r="D40" s="8">
        <v>253.49057225999988</v>
      </c>
      <c r="E40" s="8">
        <f t="shared" si="21"/>
        <v>821.87629746999994</v>
      </c>
      <c r="F40" s="8">
        <v>385.78789667999979</v>
      </c>
      <c r="G40" s="8">
        <v>284.85365582000003</v>
      </c>
      <c r="H40" s="8">
        <v>236.90706852000002</v>
      </c>
      <c r="I40" s="8">
        <f t="shared" si="22"/>
        <v>907.54862101999981</v>
      </c>
      <c r="J40" s="8">
        <f t="shared" si="3"/>
        <v>1729.4249184899998</v>
      </c>
      <c r="K40" s="8">
        <v>262.98118142999999</v>
      </c>
      <c r="L40" s="8">
        <v>317.28238070000009</v>
      </c>
      <c r="M40" s="8">
        <v>205.51009781000002</v>
      </c>
      <c r="N40" s="8">
        <f t="shared" si="23"/>
        <v>785.77365994000013</v>
      </c>
      <c r="O40" s="8">
        <v>245.92862380999992</v>
      </c>
      <c r="P40" s="8">
        <v>338.02197621999989</v>
      </c>
      <c r="Q40" s="8">
        <v>270.49690497</v>
      </c>
      <c r="R40" s="8">
        <f t="shared" si="24"/>
        <v>854.44750499999986</v>
      </c>
      <c r="S40" s="8">
        <f t="shared" si="6"/>
        <v>1640.2211649400001</v>
      </c>
      <c r="T40" s="8">
        <f t="shared" si="25"/>
        <v>3369.6460834299996</v>
      </c>
      <c r="U40" s="8"/>
      <c r="V40" s="8"/>
    </row>
    <row r="41" spans="1:22" ht="15" customHeight="1" x14ac:dyDescent="0.3">
      <c r="A41" s="12" t="s">
        <v>53</v>
      </c>
      <c r="B41" s="8">
        <v>302.39655338000017</v>
      </c>
      <c r="C41" s="8">
        <v>156.67796650000005</v>
      </c>
      <c r="D41" s="8">
        <v>158.65988403999992</v>
      </c>
      <c r="E41" s="8">
        <f t="shared" si="21"/>
        <v>617.7344039200002</v>
      </c>
      <c r="F41" s="8">
        <v>397.68994927</v>
      </c>
      <c r="G41" s="8">
        <v>217.01056202999976</v>
      </c>
      <c r="H41" s="8">
        <v>717.95322180999949</v>
      </c>
      <c r="I41" s="8">
        <f t="shared" si="22"/>
        <v>1332.6537331099994</v>
      </c>
      <c r="J41" s="8">
        <f t="shared" si="3"/>
        <v>1950.3881370299996</v>
      </c>
      <c r="K41" s="8">
        <v>489.25821189999999</v>
      </c>
      <c r="L41" s="8">
        <v>265.93472601999997</v>
      </c>
      <c r="M41" s="8">
        <v>233.22330774000008</v>
      </c>
      <c r="N41" s="8">
        <f t="shared" si="23"/>
        <v>988.41624566000007</v>
      </c>
      <c r="O41" s="8">
        <v>262.70992299999995</v>
      </c>
      <c r="P41" s="8">
        <v>284.18737092999982</v>
      </c>
      <c r="Q41" s="8">
        <v>315.04628080000003</v>
      </c>
      <c r="R41" s="8">
        <f t="shared" si="24"/>
        <v>861.94357472999968</v>
      </c>
      <c r="S41" s="8">
        <f t="shared" si="6"/>
        <v>1850.3598203899996</v>
      </c>
      <c r="T41" s="8">
        <f t="shared" si="25"/>
        <v>3800.7479574199992</v>
      </c>
      <c r="U41" s="8"/>
      <c r="V41" s="8"/>
    </row>
    <row r="42" spans="1:22" ht="15" customHeight="1" x14ac:dyDescent="0.3">
      <c r="A42" s="12" t="s">
        <v>54</v>
      </c>
      <c r="B42" s="8">
        <v>93.898758159999971</v>
      </c>
      <c r="C42" s="8">
        <v>55.194952599999986</v>
      </c>
      <c r="D42" s="8">
        <v>53.825954390000007</v>
      </c>
      <c r="E42" s="8">
        <f t="shared" si="21"/>
        <v>202.91966514999996</v>
      </c>
      <c r="F42" s="8">
        <v>89.31386311</v>
      </c>
      <c r="G42" s="8">
        <v>65.240681669999972</v>
      </c>
      <c r="H42" s="8">
        <v>63.601177950000015</v>
      </c>
      <c r="I42" s="8">
        <f t="shared" si="22"/>
        <v>218.15572272999998</v>
      </c>
      <c r="J42" s="8">
        <f t="shared" si="3"/>
        <v>421.07538787999994</v>
      </c>
      <c r="K42" s="8">
        <v>74.579318990000033</v>
      </c>
      <c r="L42" s="8">
        <v>69.215535349999996</v>
      </c>
      <c r="M42" s="8">
        <v>47.262859960000021</v>
      </c>
      <c r="N42" s="8">
        <f t="shared" si="23"/>
        <v>191.05771430000004</v>
      </c>
      <c r="O42" s="8">
        <v>77.674629510000003</v>
      </c>
      <c r="P42" s="8">
        <v>78.334570890000037</v>
      </c>
      <c r="Q42" s="8">
        <v>63.281067449999988</v>
      </c>
      <c r="R42" s="8">
        <f t="shared" si="24"/>
        <v>219.29026785000005</v>
      </c>
      <c r="S42" s="8">
        <f t="shared" si="6"/>
        <v>410.34798215000012</v>
      </c>
      <c r="T42" s="8">
        <f t="shared" si="25"/>
        <v>831.42337003000011</v>
      </c>
      <c r="U42" s="8"/>
      <c r="V42" s="8"/>
    </row>
    <row r="43" spans="1:22" ht="15" customHeight="1" x14ac:dyDescent="0.3">
      <c r="A43" s="12" t="s">
        <v>55</v>
      </c>
      <c r="B43" s="8">
        <v>45.981828180000001</v>
      </c>
      <c r="C43" s="8">
        <v>13.674885269999999</v>
      </c>
      <c r="D43" s="8">
        <v>14.473243450000002</v>
      </c>
      <c r="E43" s="8">
        <f t="shared" si="21"/>
        <v>74.129956899999996</v>
      </c>
      <c r="F43" s="8">
        <v>33.651943250000009</v>
      </c>
      <c r="G43" s="8">
        <v>20.049843970000001</v>
      </c>
      <c r="H43" s="8">
        <v>18.026840800000002</v>
      </c>
      <c r="I43" s="8">
        <f t="shared" si="22"/>
        <v>71.728628020000016</v>
      </c>
      <c r="J43" s="8">
        <f t="shared" si="3"/>
        <v>145.85858492</v>
      </c>
      <c r="K43" s="8">
        <v>24.511232530000001</v>
      </c>
      <c r="L43" s="8">
        <v>19.741403040000002</v>
      </c>
      <c r="M43" s="8">
        <v>24.064607549999991</v>
      </c>
      <c r="N43" s="8">
        <f t="shared" si="23"/>
        <v>68.317243120000001</v>
      </c>
      <c r="O43" s="8">
        <v>22.402359060000002</v>
      </c>
      <c r="P43" s="8">
        <v>23.148370270000001</v>
      </c>
      <c r="Q43" s="8">
        <v>21.692090889999992</v>
      </c>
      <c r="R43" s="8">
        <f t="shared" si="24"/>
        <v>67.242820219999999</v>
      </c>
      <c r="S43" s="8">
        <f t="shared" si="6"/>
        <v>135.56006334</v>
      </c>
      <c r="T43" s="8">
        <f t="shared" si="25"/>
        <v>281.41864826</v>
      </c>
      <c r="U43" s="8"/>
      <c r="V43" s="8"/>
    </row>
    <row r="44" spans="1:22" s="10" customFormat="1" ht="15" customHeight="1" x14ac:dyDescent="0.3">
      <c r="A44" s="3"/>
      <c r="B44" s="11"/>
      <c r="C44" s="11"/>
      <c r="D44" s="11"/>
      <c r="E44" s="11"/>
      <c r="F44" s="11"/>
      <c r="G44" s="11"/>
      <c r="H44" s="11"/>
      <c r="I44" s="11"/>
      <c r="J44" s="11"/>
      <c r="K44" s="11"/>
      <c r="L44" s="11"/>
      <c r="M44" s="11"/>
      <c r="N44" s="11"/>
      <c r="O44" s="11"/>
      <c r="P44" s="11"/>
      <c r="Q44" s="11"/>
      <c r="R44" s="11"/>
      <c r="S44" s="11"/>
      <c r="T44" s="11"/>
      <c r="U44" s="11"/>
      <c r="V44" s="11"/>
    </row>
    <row r="45" spans="1:22" s="10" customFormat="1" ht="15" customHeight="1" x14ac:dyDescent="0.25">
      <c r="A45" s="10" t="s">
        <v>56</v>
      </c>
      <c r="B45" s="11">
        <f>SUM(B46:B54)</f>
        <v>3975.85149456</v>
      </c>
      <c r="C45" s="11">
        <f t="shared" ref="C45:Q45" si="26">SUM(C46:C54)</f>
        <v>2453.345081729999</v>
      </c>
      <c r="D45" s="11">
        <f t="shared" si="26"/>
        <v>2521.4338449599995</v>
      </c>
      <c r="E45" s="11">
        <f t="shared" ref="E45:E54" si="27">SUM(B45:D45)</f>
        <v>8950.6304212499981</v>
      </c>
      <c r="F45" s="11">
        <f t="shared" si="26"/>
        <v>4741.6701557699998</v>
      </c>
      <c r="G45" s="11">
        <f t="shared" si="26"/>
        <v>3211.2718806700013</v>
      </c>
      <c r="H45" s="11">
        <f t="shared" si="26"/>
        <v>2818.3169337999993</v>
      </c>
      <c r="I45" s="11">
        <f t="shared" ref="I45:I54" si="28">SUM(F45:H45)</f>
        <v>10771.25897024</v>
      </c>
      <c r="J45" s="11">
        <f t="shared" si="3"/>
        <v>19721.889391489996</v>
      </c>
      <c r="K45" s="11">
        <f t="shared" si="26"/>
        <v>3308.7133058814006</v>
      </c>
      <c r="L45" s="11">
        <f t="shared" si="26"/>
        <v>3664.273082969999</v>
      </c>
      <c r="M45" s="11">
        <f t="shared" si="26"/>
        <v>2820.1565879600003</v>
      </c>
      <c r="N45" s="11">
        <f t="shared" ref="N45:N54" si="29">SUM(K45:M45)</f>
        <v>9793.1429768113994</v>
      </c>
      <c r="O45" s="11">
        <f t="shared" si="26"/>
        <v>3368.7228507599998</v>
      </c>
      <c r="P45" s="11">
        <f t="shared" si="26"/>
        <v>3924.9036024299994</v>
      </c>
      <c r="Q45" s="11">
        <f t="shared" si="26"/>
        <v>3295.8330384749497</v>
      </c>
      <c r="R45" s="11">
        <f t="shared" ref="R45:R54" si="30">SUM(O45:Q45)</f>
        <v>10589.459491664949</v>
      </c>
      <c r="S45" s="11">
        <f t="shared" si="6"/>
        <v>20382.602468476347</v>
      </c>
      <c r="T45" s="11">
        <f t="shared" ref="T45:T54" si="31">+J45+S45</f>
        <v>40104.491859966343</v>
      </c>
      <c r="U45" s="11"/>
      <c r="V45" s="11"/>
    </row>
    <row r="46" spans="1:22" ht="15" customHeight="1" x14ac:dyDescent="0.3">
      <c r="A46" s="12" t="s">
        <v>57</v>
      </c>
      <c r="B46" s="8">
        <v>40.609605719999998</v>
      </c>
      <c r="C46" s="8">
        <v>18.45583551</v>
      </c>
      <c r="D46" s="8">
        <v>19.180811079999998</v>
      </c>
      <c r="E46" s="8">
        <f t="shared" si="27"/>
        <v>78.246252309999988</v>
      </c>
      <c r="F46" s="8">
        <v>33.683328190000012</v>
      </c>
      <c r="G46" s="8">
        <v>25.150559730000008</v>
      </c>
      <c r="H46" s="8">
        <v>19.793850749999997</v>
      </c>
      <c r="I46" s="8">
        <f t="shared" si="28"/>
        <v>78.627738670000014</v>
      </c>
      <c r="J46" s="8">
        <f t="shared" si="3"/>
        <v>156.87399098</v>
      </c>
      <c r="K46" s="8">
        <v>33.421047510000001</v>
      </c>
      <c r="L46" s="8">
        <v>24.504386259999997</v>
      </c>
      <c r="M46" s="8">
        <v>31.998742779999994</v>
      </c>
      <c r="N46" s="8">
        <f t="shared" si="29"/>
        <v>89.924176549999999</v>
      </c>
      <c r="O46" s="8">
        <v>22.960538149999998</v>
      </c>
      <c r="P46" s="8">
        <v>30.128460819999997</v>
      </c>
      <c r="Q46" s="8">
        <v>23.295685699999996</v>
      </c>
      <c r="R46" s="8">
        <f t="shared" si="30"/>
        <v>76.384684669999984</v>
      </c>
      <c r="S46" s="8">
        <f t="shared" si="6"/>
        <v>166.30886121999998</v>
      </c>
      <c r="T46" s="8">
        <f t="shared" si="31"/>
        <v>323.18285219999996</v>
      </c>
      <c r="U46" s="8"/>
      <c r="V46" s="8"/>
    </row>
    <row r="47" spans="1:22" ht="15" customHeight="1" x14ac:dyDescent="0.3">
      <c r="A47" s="12" t="s">
        <v>58</v>
      </c>
      <c r="B47" s="8">
        <v>306.81486115000001</v>
      </c>
      <c r="C47" s="8">
        <v>195.15673440000003</v>
      </c>
      <c r="D47" s="8">
        <v>187.01676827999998</v>
      </c>
      <c r="E47" s="8">
        <f t="shared" si="27"/>
        <v>688.98836383000003</v>
      </c>
      <c r="F47" s="8">
        <v>284.14814840999986</v>
      </c>
      <c r="G47" s="8">
        <v>213.29937721000007</v>
      </c>
      <c r="H47" s="8">
        <v>213.98477271999997</v>
      </c>
      <c r="I47" s="8">
        <f t="shared" si="28"/>
        <v>711.43229833999999</v>
      </c>
      <c r="J47" s="8">
        <f t="shared" si="3"/>
        <v>1400.42066217</v>
      </c>
      <c r="K47" s="8">
        <v>247.45109219024982</v>
      </c>
      <c r="L47" s="8">
        <v>313.31298814999997</v>
      </c>
      <c r="M47" s="8">
        <v>237.88125198</v>
      </c>
      <c r="N47" s="8">
        <f t="shared" si="29"/>
        <v>798.64533232024985</v>
      </c>
      <c r="O47" s="8">
        <v>240.81373371000012</v>
      </c>
      <c r="P47" s="8">
        <v>244.91520550999991</v>
      </c>
      <c r="Q47" s="8">
        <v>220.80060383510011</v>
      </c>
      <c r="R47" s="8">
        <f t="shared" si="30"/>
        <v>706.52954305510013</v>
      </c>
      <c r="S47" s="8">
        <f t="shared" si="6"/>
        <v>1505.17487537535</v>
      </c>
      <c r="T47" s="8">
        <f t="shared" si="31"/>
        <v>2905.59553754535</v>
      </c>
      <c r="U47" s="8"/>
      <c r="V47" s="8"/>
    </row>
    <row r="48" spans="1:22" ht="15" customHeight="1" x14ac:dyDescent="0.3">
      <c r="A48" s="12" t="s">
        <v>59</v>
      </c>
      <c r="B48" s="8">
        <v>1117.8532936199997</v>
      </c>
      <c r="C48" s="8">
        <v>820.78929486999959</v>
      </c>
      <c r="D48" s="8">
        <v>749.44713116000048</v>
      </c>
      <c r="E48" s="8">
        <f t="shared" si="27"/>
        <v>2688.08971965</v>
      </c>
      <c r="F48" s="8">
        <v>1299.5839031099997</v>
      </c>
      <c r="G48" s="8">
        <v>1002.1286060600008</v>
      </c>
      <c r="H48" s="8">
        <v>794.77727215000027</v>
      </c>
      <c r="I48" s="8">
        <f t="shared" si="28"/>
        <v>3096.4897813200005</v>
      </c>
      <c r="J48" s="8">
        <f t="shared" si="3"/>
        <v>5784.5795009700005</v>
      </c>
      <c r="K48" s="8">
        <v>1055.8695379353003</v>
      </c>
      <c r="L48" s="8">
        <v>1022.8499311199993</v>
      </c>
      <c r="M48" s="8">
        <v>820.2489765899993</v>
      </c>
      <c r="N48" s="8">
        <f t="shared" si="29"/>
        <v>2898.9684456452987</v>
      </c>
      <c r="O48" s="8">
        <v>1012.8796903400003</v>
      </c>
      <c r="P48" s="8">
        <v>1098.6144497999994</v>
      </c>
      <c r="Q48" s="8">
        <v>969.00239184990005</v>
      </c>
      <c r="R48" s="8">
        <f t="shared" si="30"/>
        <v>3080.4965319898997</v>
      </c>
      <c r="S48" s="8">
        <f t="shared" si="6"/>
        <v>5979.464977635198</v>
      </c>
      <c r="T48" s="8">
        <f t="shared" si="31"/>
        <v>11764.044478605199</v>
      </c>
      <c r="U48" s="8"/>
      <c r="V48" s="8"/>
    </row>
    <row r="49" spans="1:22" ht="15" customHeight="1" x14ac:dyDescent="0.3">
      <c r="A49" s="12" t="s">
        <v>60</v>
      </c>
      <c r="B49" s="8">
        <v>411.07567046999992</v>
      </c>
      <c r="C49" s="8">
        <v>248.34633349999996</v>
      </c>
      <c r="D49" s="8">
        <v>242.23857121999987</v>
      </c>
      <c r="E49" s="8">
        <f t="shared" si="27"/>
        <v>901.66057518999969</v>
      </c>
      <c r="F49" s="8">
        <v>411.96536391000006</v>
      </c>
      <c r="G49" s="8">
        <v>272.25341361999995</v>
      </c>
      <c r="H49" s="8">
        <v>331.29287307999994</v>
      </c>
      <c r="I49" s="8">
        <f t="shared" si="28"/>
        <v>1015.5116506099999</v>
      </c>
      <c r="J49" s="8">
        <f t="shared" si="3"/>
        <v>1917.1722257999995</v>
      </c>
      <c r="K49" s="8">
        <v>366.5178279969503</v>
      </c>
      <c r="L49" s="8">
        <v>359.1746338100001</v>
      </c>
      <c r="M49" s="8">
        <v>253.85771471999999</v>
      </c>
      <c r="N49" s="8">
        <f t="shared" si="29"/>
        <v>979.55017652695039</v>
      </c>
      <c r="O49" s="8">
        <v>350.61741243999984</v>
      </c>
      <c r="P49" s="8">
        <v>321.87184245999993</v>
      </c>
      <c r="Q49" s="8">
        <v>328.44860524314993</v>
      </c>
      <c r="R49" s="8">
        <f t="shared" si="30"/>
        <v>1000.9378601431497</v>
      </c>
      <c r="S49" s="8">
        <f t="shared" si="6"/>
        <v>1980.4880366701</v>
      </c>
      <c r="T49" s="8">
        <f t="shared" si="31"/>
        <v>3897.6602624700995</v>
      </c>
      <c r="U49" s="8"/>
      <c r="V49" s="8"/>
    </row>
    <row r="50" spans="1:22" ht="18" customHeight="1" x14ac:dyDescent="0.3">
      <c r="A50" s="12" t="s">
        <v>61</v>
      </c>
      <c r="B50" s="8">
        <v>667.46897198000022</v>
      </c>
      <c r="C50" s="8">
        <v>365.76989581000004</v>
      </c>
      <c r="D50" s="8">
        <v>404.86328037999976</v>
      </c>
      <c r="E50" s="8">
        <f t="shared" si="27"/>
        <v>1438.10214817</v>
      </c>
      <c r="F50" s="8">
        <v>677.03245028999947</v>
      </c>
      <c r="G50" s="8">
        <v>455.09389832999994</v>
      </c>
      <c r="H50" s="8">
        <v>464.9187943899995</v>
      </c>
      <c r="I50" s="8">
        <f t="shared" si="28"/>
        <v>1597.0451430099988</v>
      </c>
      <c r="J50" s="8">
        <f t="shared" si="3"/>
        <v>3035.1472911799988</v>
      </c>
      <c r="K50" s="8">
        <v>488.09158390875001</v>
      </c>
      <c r="L50" s="8">
        <v>512.23914275999982</v>
      </c>
      <c r="M50" s="8">
        <v>407.48789127000026</v>
      </c>
      <c r="N50" s="8">
        <f t="shared" si="29"/>
        <v>1407.8186179387501</v>
      </c>
      <c r="O50" s="8">
        <v>523.17442251</v>
      </c>
      <c r="P50" s="8">
        <v>542.11498990000052</v>
      </c>
      <c r="Q50" s="8">
        <v>535.09307223339988</v>
      </c>
      <c r="R50" s="8">
        <f t="shared" si="30"/>
        <v>1600.3824846434004</v>
      </c>
      <c r="S50" s="8">
        <f t="shared" si="6"/>
        <v>3008.2011025821503</v>
      </c>
      <c r="T50" s="8">
        <f t="shared" si="31"/>
        <v>6043.3483937621495</v>
      </c>
      <c r="U50" s="8"/>
      <c r="V50" s="8"/>
    </row>
    <row r="51" spans="1:22" ht="15" customHeight="1" x14ac:dyDescent="0.3">
      <c r="A51" s="12" t="s">
        <v>62</v>
      </c>
      <c r="B51" s="8">
        <v>261.26018371999993</v>
      </c>
      <c r="C51" s="8">
        <v>170.54953784</v>
      </c>
      <c r="D51" s="8">
        <v>188.03394806999995</v>
      </c>
      <c r="E51" s="8">
        <f t="shared" si="27"/>
        <v>619.84366962999991</v>
      </c>
      <c r="F51" s="8">
        <v>564.01826933000007</v>
      </c>
      <c r="G51" s="8">
        <v>278.09346175000007</v>
      </c>
      <c r="H51" s="8">
        <v>208.90752674999996</v>
      </c>
      <c r="I51" s="8">
        <f t="shared" si="28"/>
        <v>1051.01925783</v>
      </c>
      <c r="J51" s="8">
        <f t="shared" si="3"/>
        <v>1670.8629274599998</v>
      </c>
      <c r="K51" s="8">
        <v>265.75170146350001</v>
      </c>
      <c r="L51" s="8">
        <v>312.00262177000002</v>
      </c>
      <c r="M51" s="8">
        <v>204.62534440000007</v>
      </c>
      <c r="N51" s="8">
        <f t="shared" si="29"/>
        <v>782.37966763350005</v>
      </c>
      <c r="O51" s="8">
        <v>287.29030400000011</v>
      </c>
      <c r="P51" s="8">
        <v>351.46716021000009</v>
      </c>
      <c r="Q51" s="8">
        <v>288.57795032359996</v>
      </c>
      <c r="R51" s="8">
        <f t="shared" si="30"/>
        <v>927.33541453360021</v>
      </c>
      <c r="S51" s="8">
        <f t="shared" si="6"/>
        <v>1709.7150821671003</v>
      </c>
      <c r="T51" s="8">
        <f t="shared" si="31"/>
        <v>3380.5780096271001</v>
      </c>
      <c r="U51" s="8"/>
      <c r="V51" s="8"/>
    </row>
    <row r="52" spans="1:22" ht="18" customHeight="1" x14ac:dyDescent="0.3">
      <c r="A52" s="12" t="s">
        <v>63</v>
      </c>
      <c r="B52" s="8">
        <v>190.18144555000009</v>
      </c>
      <c r="C52" s="8">
        <v>100.79893364999995</v>
      </c>
      <c r="D52" s="8">
        <v>154.78695358999994</v>
      </c>
      <c r="E52" s="8">
        <f t="shared" si="27"/>
        <v>445.76733278999995</v>
      </c>
      <c r="F52" s="8">
        <v>387.98926368999997</v>
      </c>
      <c r="G52" s="8">
        <v>179.19752485999999</v>
      </c>
      <c r="H52" s="8">
        <v>111.82153256999995</v>
      </c>
      <c r="I52" s="8">
        <f t="shared" si="28"/>
        <v>679.00832111999989</v>
      </c>
      <c r="J52" s="8">
        <f t="shared" si="3"/>
        <v>1124.7756539099998</v>
      </c>
      <c r="K52" s="8">
        <v>110.35411782999995</v>
      </c>
      <c r="L52" s="8">
        <v>196.61598357000003</v>
      </c>
      <c r="M52" s="8">
        <v>101.89792556000002</v>
      </c>
      <c r="N52" s="8">
        <f t="shared" si="29"/>
        <v>408.86802696000001</v>
      </c>
      <c r="O52" s="8">
        <v>112.84492637999996</v>
      </c>
      <c r="P52" s="8">
        <v>203.16092910000003</v>
      </c>
      <c r="Q52" s="8">
        <v>146.55508574999996</v>
      </c>
      <c r="R52" s="8">
        <f t="shared" si="30"/>
        <v>462.56094122999991</v>
      </c>
      <c r="S52" s="8">
        <f t="shared" si="6"/>
        <v>871.42896818999998</v>
      </c>
      <c r="T52" s="8">
        <f t="shared" si="31"/>
        <v>1996.2046220999998</v>
      </c>
      <c r="U52" s="8"/>
      <c r="V52" s="8"/>
    </row>
    <row r="53" spans="1:22" ht="15" customHeight="1" x14ac:dyDescent="0.3">
      <c r="A53" s="12" t="s">
        <v>64</v>
      </c>
      <c r="B53" s="8">
        <v>613.56287367000016</v>
      </c>
      <c r="C53" s="8">
        <v>432.16525073999969</v>
      </c>
      <c r="D53" s="8">
        <v>476.62220417999993</v>
      </c>
      <c r="E53" s="8">
        <f t="shared" si="27"/>
        <v>1522.3503285899999</v>
      </c>
      <c r="F53" s="8">
        <v>921.36967405000007</v>
      </c>
      <c r="G53" s="8">
        <v>671.81279429999984</v>
      </c>
      <c r="H53" s="8">
        <v>575.68355912999982</v>
      </c>
      <c r="I53" s="8">
        <f t="shared" si="28"/>
        <v>2168.8660274799995</v>
      </c>
      <c r="J53" s="8">
        <f t="shared" si="3"/>
        <v>3691.2163560699992</v>
      </c>
      <c r="K53" s="8">
        <v>629.46439448624994</v>
      </c>
      <c r="L53" s="8">
        <v>807.97582482999928</v>
      </c>
      <c r="M53" s="8">
        <v>658.17388400000016</v>
      </c>
      <c r="N53" s="8">
        <f t="shared" si="29"/>
        <v>2095.6141033162494</v>
      </c>
      <c r="O53" s="8">
        <v>681.57466175999946</v>
      </c>
      <c r="P53" s="8">
        <v>992.96610502999908</v>
      </c>
      <c r="Q53" s="8">
        <v>678.92954350869957</v>
      </c>
      <c r="R53" s="8">
        <f t="shared" si="30"/>
        <v>2353.4703102986982</v>
      </c>
      <c r="S53" s="8">
        <f t="shared" si="6"/>
        <v>4449.0844136149481</v>
      </c>
      <c r="T53" s="8">
        <f t="shared" si="31"/>
        <v>8140.3007696849472</v>
      </c>
      <c r="U53" s="8"/>
      <c r="V53" s="8"/>
    </row>
    <row r="54" spans="1:22" ht="15" customHeight="1" x14ac:dyDescent="0.3">
      <c r="A54" s="12" t="s">
        <v>65</v>
      </c>
      <c r="B54" s="8">
        <v>367.02458867999991</v>
      </c>
      <c r="C54" s="8">
        <v>101.31326540999997</v>
      </c>
      <c r="D54" s="8">
        <v>99.244176999999937</v>
      </c>
      <c r="E54" s="8">
        <f t="shared" si="27"/>
        <v>567.58203108999987</v>
      </c>
      <c r="F54" s="8">
        <v>161.87975479000011</v>
      </c>
      <c r="G54" s="8">
        <v>114.24224480999997</v>
      </c>
      <c r="H54" s="8">
        <v>97.136752259999994</v>
      </c>
      <c r="I54" s="8">
        <f t="shared" si="28"/>
        <v>373.25875186000007</v>
      </c>
      <c r="J54" s="8">
        <f t="shared" si="3"/>
        <v>940.84078294999995</v>
      </c>
      <c r="K54" s="8">
        <v>111.79200256039998</v>
      </c>
      <c r="L54" s="8">
        <v>115.59757070000005</v>
      </c>
      <c r="M54" s="8">
        <v>103.98485666000001</v>
      </c>
      <c r="N54" s="8">
        <f t="shared" si="29"/>
        <v>331.37442992040002</v>
      </c>
      <c r="O54" s="8">
        <v>136.56716147000009</v>
      </c>
      <c r="P54" s="8">
        <v>139.66445960000007</v>
      </c>
      <c r="Q54" s="8">
        <v>105.13010003109999</v>
      </c>
      <c r="R54" s="8">
        <f t="shared" si="30"/>
        <v>381.36172110110016</v>
      </c>
      <c r="S54" s="8">
        <f t="shared" si="6"/>
        <v>712.73615102150018</v>
      </c>
      <c r="T54" s="8">
        <f t="shared" si="31"/>
        <v>1653.5769339715002</v>
      </c>
      <c r="U54" s="8"/>
      <c r="V54" s="8"/>
    </row>
    <row r="55" spans="1:22" s="10" customFormat="1" ht="15" customHeight="1" x14ac:dyDescent="0.3">
      <c r="A55" s="3"/>
      <c r="B55" s="11"/>
      <c r="C55" s="11"/>
      <c r="D55" s="11"/>
      <c r="E55" s="11"/>
      <c r="F55" s="11"/>
      <c r="G55" s="11"/>
      <c r="H55" s="11"/>
      <c r="I55" s="11"/>
      <c r="J55" s="11"/>
      <c r="K55" s="11"/>
      <c r="L55" s="11"/>
      <c r="M55" s="11"/>
      <c r="N55" s="11"/>
      <c r="O55" s="11"/>
      <c r="P55" s="11"/>
      <c r="Q55" s="11"/>
      <c r="R55" s="11"/>
      <c r="S55" s="11"/>
      <c r="T55" s="11"/>
      <c r="U55" s="11"/>
      <c r="V55" s="11"/>
    </row>
    <row r="56" spans="1:22" s="10" customFormat="1" ht="15" customHeight="1" x14ac:dyDescent="0.25">
      <c r="A56" s="10" t="s">
        <v>66</v>
      </c>
      <c r="B56" s="11">
        <f>SUM(B57:B62)</f>
        <v>5382.8651050300004</v>
      </c>
      <c r="C56" s="11">
        <f t="shared" ref="C56:Q56" si="32">SUM(C57:C62)</f>
        <v>3769.7068079199989</v>
      </c>
      <c r="D56" s="11">
        <f t="shared" si="32"/>
        <v>3836.1604688799989</v>
      </c>
      <c r="E56" s="11">
        <f t="shared" ref="E56:E62" si="33">SUM(B56:D56)</f>
        <v>12988.732381829999</v>
      </c>
      <c r="F56" s="11">
        <f t="shared" si="32"/>
        <v>8190.8757561099974</v>
      </c>
      <c r="G56" s="11">
        <f t="shared" si="32"/>
        <v>5289.95606933</v>
      </c>
      <c r="H56" s="11">
        <f t="shared" si="32"/>
        <v>3830.0323525299987</v>
      </c>
      <c r="I56" s="11">
        <f t="shared" ref="I56:I62" si="34">SUM(F56:H56)</f>
        <v>17310.864177969994</v>
      </c>
      <c r="J56" s="11">
        <f t="shared" si="3"/>
        <v>30299.596559799993</v>
      </c>
      <c r="K56" s="11">
        <f t="shared" si="32"/>
        <v>5100.6561165441999</v>
      </c>
      <c r="L56" s="11">
        <f t="shared" si="32"/>
        <v>5982.7803499399979</v>
      </c>
      <c r="M56" s="11">
        <f t="shared" si="32"/>
        <v>4383.1405852099988</v>
      </c>
      <c r="N56" s="11">
        <f t="shared" ref="N56:N62" si="35">SUM(K56:M56)</f>
        <v>15466.577051694196</v>
      </c>
      <c r="O56" s="11">
        <f t="shared" si="32"/>
        <v>5402.1986398999998</v>
      </c>
      <c r="P56" s="11">
        <f t="shared" si="32"/>
        <v>6128.3758949099984</v>
      </c>
      <c r="Q56" s="11">
        <f t="shared" si="32"/>
        <v>4569.5402927169007</v>
      </c>
      <c r="R56" s="11">
        <f t="shared" ref="R56:R62" si="36">SUM(O56:Q56)</f>
        <v>16100.114827526901</v>
      </c>
      <c r="S56" s="11">
        <f t="shared" si="6"/>
        <v>31566.691879221096</v>
      </c>
      <c r="T56" s="11">
        <f t="shared" ref="T56:T62" si="37">+J56+S56</f>
        <v>61866.288439021089</v>
      </c>
      <c r="U56" s="11"/>
      <c r="V56" s="11"/>
    </row>
    <row r="57" spans="1:22" ht="15" customHeight="1" x14ac:dyDescent="0.3">
      <c r="A57" s="12" t="s">
        <v>67</v>
      </c>
      <c r="B57" s="8">
        <v>1021.7612984600008</v>
      </c>
      <c r="C57" s="8">
        <v>872.98265121999964</v>
      </c>
      <c r="D57" s="8">
        <v>854.19942344000037</v>
      </c>
      <c r="E57" s="8">
        <f t="shared" si="33"/>
        <v>2748.9433731200006</v>
      </c>
      <c r="F57" s="8">
        <v>1840.9180743299976</v>
      </c>
      <c r="G57" s="8">
        <v>1065.7402867699996</v>
      </c>
      <c r="H57" s="8">
        <v>770.39440512999954</v>
      </c>
      <c r="I57" s="8">
        <f t="shared" si="34"/>
        <v>3677.0527662299965</v>
      </c>
      <c r="J57" s="8">
        <f t="shared" si="3"/>
        <v>6425.9961393499971</v>
      </c>
      <c r="K57" s="8">
        <v>1054.1466904569997</v>
      </c>
      <c r="L57" s="8">
        <v>1141.9947456799996</v>
      </c>
      <c r="M57" s="8">
        <v>837.79765504000011</v>
      </c>
      <c r="N57" s="8">
        <f t="shared" si="35"/>
        <v>3033.9390911769997</v>
      </c>
      <c r="O57" s="8">
        <v>1004.8771186499989</v>
      </c>
      <c r="P57" s="8">
        <v>1214.2494177199992</v>
      </c>
      <c r="Q57" s="8">
        <v>928.89878161229967</v>
      </c>
      <c r="R57" s="8">
        <f t="shared" si="36"/>
        <v>3148.0253179822976</v>
      </c>
      <c r="S57" s="8">
        <f t="shared" si="6"/>
        <v>6181.9644091592972</v>
      </c>
      <c r="T57" s="8">
        <f t="shared" si="37"/>
        <v>12607.960548509294</v>
      </c>
      <c r="U57" s="8"/>
      <c r="V57" s="8"/>
    </row>
    <row r="58" spans="1:22" ht="15" customHeight="1" x14ac:dyDescent="0.3">
      <c r="A58" s="12" t="s">
        <v>68</v>
      </c>
      <c r="B58" s="8">
        <v>1604.5492380499995</v>
      </c>
      <c r="C58" s="8">
        <v>1095.1284486899995</v>
      </c>
      <c r="D58" s="8">
        <v>1171.0248981699983</v>
      </c>
      <c r="E58" s="8">
        <f t="shared" si="33"/>
        <v>3870.7025849099973</v>
      </c>
      <c r="F58" s="8">
        <v>2361.1637986400001</v>
      </c>
      <c r="G58" s="8">
        <v>1581.1814815199998</v>
      </c>
      <c r="H58" s="8">
        <v>1272.8752229599991</v>
      </c>
      <c r="I58" s="8">
        <f t="shared" si="34"/>
        <v>5215.2205031199992</v>
      </c>
      <c r="J58" s="8">
        <f t="shared" si="3"/>
        <v>9085.9230880299965</v>
      </c>
      <c r="K58" s="8">
        <v>1623.8688113802009</v>
      </c>
      <c r="L58" s="8">
        <v>1876.5764944500002</v>
      </c>
      <c r="M58" s="8">
        <v>1394.9255114899997</v>
      </c>
      <c r="N58" s="8">
        <f t="shared" si="35"/>
        <v>4895.3708173202012</v>
      </c>
      <c r="O58" s="8">
        <v>1880.3784270400015</v>
      </c>
      <c r="P58" s="8">
        <v>1903.8055314999986</v>
      </c>
      <c r="Q58" s="8">
        <v>1370.1511354866016</v>
      </c>
      <c r="R58" s="8">
        <f t="shared" si="36"/>
        <v>5154.3350940266018</v>
      </c>
      <c r="S58" s="8">
        <f t="shared" si="6"/>
        <v>10049.705911346802</v>
      </c>
      <c r="T58" s="8">
        <f t="shared" si="37"/>
        <v>19135.6289993768</v>
      </c>
      <c r="U58" s="8"/>
      <c r="V58" s="8"/>
    </row>
    <row r="59" spans="1:22" ht="15" customHeight="1" x14ac:dyDescent="0.3">
      <c r="A59" s="12" t="s">
        <v>69</v>
      </c>
      <c r="B59" s="8">
        <v>1987.781331310001</v>
      </c>
      <c r="C59" s="8">
        <v>1330.2182884899998</v>
      </c>
      <c r="D59" s="8">
        <v>1307.4136596399999</v>
      </c>
      <c r="E59" s="8">
        <f t="shared" si="33"/>
        <v>4625.4132794400011</v>
      </c>
      <c r="F59" s="8">
        <v>3019.51482949</v>
      </c>
      <c r="G59" s="8">
        <v>1988.5330478700002</v>
      </c>
      <c r="H59" s="8">
        <v>1262.7058630000004</v>
      </c>
      <c r="I59" s="8">
        <f t="shared" si="34"/>
        <v>6270.7537403600008</v>
      </c>
      <c r="J59" s="8">
        <f t="shared" si="3"/>
        <v>10896.167019800003</v>
      </c>
      <c r="K59" s="8">
        <v>1760.9738664585498</v>
      </c>
      <c r="L59" s="8">
        <v>2293.6853520899995</v>
      </c>
      <c r="M59" s="8">
        <v>1616.6558996199994</v>
      </c>
      <c r="N59" s="8">
        <f t="shared" si="35"/>
        <v>5671.3151181685489</v>
      </c>
      <c r="O59" s="8">
        <v>1776.8624660800001</v>
      </c>
      <c r="P59" s="8">
        <v>2300.8704453100004</v>
      </c>
      <c r="Q59" s="8">
        <v>1635.0762503858496</v>
      </c>
      <c r="R59" s="8">
        <f t="shared" si="36"/>
        <v>5712.80916177585</v>
      </c>
      <c r="S59" s="8">
        <f t="shared" si="6"/>
        <v>11384.124279944399</v>
      </c>
      <c r="T59" s="8">
        <f t="shared" si="37"/>
        <v>22280.2912997444</v>
      </c>
      <c r="U59" s="8"/>
      <c r="V59" s="8"/>
    </row>
    <row r="60" spans="1:22" ht="15" customHeight="1" x14ac:dyDescent="0.3">
      <c r="A60" s="12" t="s">
        <v>70</v>
      </c>
      <c r="B60" s="8">
        <v>47.277884529999966</v>
      </c>
      <c r="C60" s="8">
        <v>28.262063529999985</v>
      </c>
      <c r="D60" s="8">
        <v>24.311520990000002</v>
      </c>
      <c r="E60" s="8">
        <f t="shared" si="33"/>
        <v>99.851469049999949</v>
      </c>
      <c r="F60" s="8">
        <v>57.387900739999992</v>
      </c>
      <c r="G60" s="8">
        <v>38.757608810000008</v>
      </c>
      <c r="H60" s="8">
        <v>34.697775500000013</v>
      </c>
      <c r="I60" s="8">
        <f t="shared" si="34"/>
        <v>130.84328505000002</v>
      </c>
      <c r="J60" s="8">
        <f t="shared" si="3"/>
        <v>230.69475409999995</v>
      </c>
      <c r="K60" s="8">
        <v>46.277118269999981</v>
      </c>
      <c r="L60" s="8">
        <v>35.50080490000002</v>
      </c>
      <c r="M60" s="8">
        <v>29.066961120000013</v>
      </c>
      <c r="N60" s="8">
        <f t="shared" si="35"/>
        <v>110.84488429000002</v>
      </c>
      <c r="O60" s="8">
        <v>46.551384040000009</v>
      </c>
      <c r="P60" s="8">
        <v>42.707501459999989</v>
      </c>
      <c r="Q60" s="8">
        <v>47.751916838199996</v>
      </c>
      <c r="R60" s="8">
        <f t="shared" si="36"/>
        <v>137.01080233819999</v>
      </c>
      <c r="S60" s="8">
        <f t="shared" si="6"/>
        <v>247.85568662820003</v>
      </c>
      <c r="T60" s="8">
        <f t="shared" si="37"/>
        <v>478.55044072819999</v>
      </c>
      <c r="U60" s="8"/>
      <c r="V60" s="8"/>
    </row>
    <row r="61" spans="1:22" ht="18" customHeight="1" x14ac:dyDescent="0.3">
      <c r="A61" s="12" t="s">
        <v>71</v>
      </c>
      <c r="B61" s="8">
        <v>427.17794947999943</v>
      </c>
      <c r="C61" s="8">
        <v>289.71017989999996</v>
      </c>
      <c r="D61" s="8">
        <v>295.50818880000003</v>
      </c>
      <c r="E61" s="8">
        <f t="shared" si="33"/>
        <v>1012.3963181799993</v>
      </c>
      <c r="F61" s="8">
        <v>615.1297386799996</v>
      </c>
      <c r="G61" s="8">
        <v>382.23136558000027</v>
      </c>
      <c r="H61" s="8">
        <v>299.84823092999994</v>
      </c>
      <c r="I61" s="8">
        <f t="shared" si="34"/>
        <v>1297.2093351899998</v>
      </c>
      <c r="J61" s="8">
        <f t="shared" si="3"/>
        <v>2309.6056533699993</v>
      </c>
      <c r="K61" s="8">
        <v>391.2799627911503</v>
      </c>
      <c r="L61" s="8">
        <v>403.63485713999972</v>
      </c>
      <c r="M61" s="8">
        <v>305.48275080999963</v>
      </c>
      <c r="N61" s="8">
        <f t="shared" si="35"/>
        <v>1100.3975707411496</v>
      </c>
      <c r="O61" s="8">
        <v>403.43989693000003</v>
      </c>
      <c r="P61" s="8">
        <v>406.06976496000004</v>
      </c>
      <c r="Q61" s="8">
        <v>360.57661493979992</v>
      </c>
      <c r="R61" s="8">
        <f t="shared" si="36"/>
        <v>1170.0862768298</v>
      </c>
      <c r="S61" s="8">
        <f t="shared" si="6"/>
        <v>2270.4838475709494</v>
      </c>
      <c r="T61" s="8">
        <f t="shared" si="37"/>
        <v>4580.0895009409487</v>
      </c>
      <c r="U61" s="8"/>
      <c r="V61" s="8"/>
    </row>
    <row r="62" spans="1:22" ht="18" customHeight="1" x14ac:dyDescent="0.3">
      <c r="A62" s="12" t="s">
        <v>72</v>
      </c>
      <c r="B62" s="8">
        <v>294.3174032</v>
      </c>
      <c r="C62" s="8">
        <v>153.40517609</v>
      </c>
      <c r="D62" s="8">
        <v>183.70277784000007</v>
      </c>
      <c r="E62" s="8">
        <f t="shared" si="33"/>
        <v>631.42535713000007</v>
      </c>
      <c r="F62" s="8">
        <v>296.76141423000001</v>
      </c>
      <c r="G62" s="8">
        <v>233.51227877999992</v>
      </c>
      <c r="H62" s="8">
        <v>189.51085501000006</v>
      </c>
      <c r="I62" s="8">
        <f t="shared" si="34"/>
        <v>719.7845480200001</v>
      </c>
      <c r="J62" s="8">
        <f t="shared" si="3"/>
        <v>1351.2099051500002</v>
      </c>
      <c r="K62" s="8">
        <v>224.10966718729995</v>
      </c>
      <c r="L62" s="8">
        <v>231.38809567999982</v>
      </c>
      <c r="M62" s="8">
        <v>199.21180712999976</v>
      </c>
      <c r="N62" s="8">
        <f t="shared" si="35"/>
        <v>654.70956999729958</v>
      </c>
      <c r="O62" s="8">
        <v>290.0893471599997</v>
      </c>
      <c r="P62" s="8">
        <v>260.67323395999989</v>
      </c>
      <c r="Q62" s="8">
        <v>227.08559345414997</v>
      </c>
      <c r="R62" s="8">
        <f t="shared" si="36"/>
        <v>777.84817457414954</v>
      </c>
      <c r="S62" s="8">
        <f t="shared" si="6"/>
        <v>1432.5577445714491</v>
      </c>
      <c r="T62" s="8">
        <f t="shared" si="37"/>
        <v>2783.7676497214493</v>
      </c>
      <c r="U62" s="8"/>
      <c r="V62" s="8"/>
    </row>
    <row r="63" spans="1:22" s="10" customFormat="1" ht="15" customHeight="1" x14ac:dyDescent="0.3">
      <c r="A63" s="3"/>
      <c r="B63" s="11"/>
      <c r="C63" s="11"/>
      <c r="D63" s="11"/>
      <c r="E63" s="11"/>
      <c r="F63" s="11"/>
      <c r="G63" s="11"/>
      <c r="H63" s="11"/>
      <c r="I63" s="11"/>
      <c r="J63" s="11"/>
      <c r="K63" s="11"/>
      <c r="L63" s="11"/>
      <c r="M63" s="11"/>
      <c r="N63" s="11"/>
      <c r="O63" s="11"/>
      <c r="P63" s="11"/>
      <c r="Q63" s="11"/>
      <c r="R63" s="11"/>
      <c r="S63" s="11"/>
      <c r="T63" s="11"/>
      <c r="U63" s="11"/>
      <c r="V63" s="11"/>
    </row>
    <row r="64" spans="1:22" s="10" customFormat="1" ht="15" customHeight="1" x14ac:dyDescent="0.25">
      <c r="A64" s="10" t="s">
        <v>73</v>
      </c>
      <c r="B64" s="11">
        <f>SUM(B65:B69)</f>
        <v>588.63209025000015</v>
      </c>
      <c r="C64" s="11">
        <f t="shared" ref="C64:Q64" si="38">SUM(C65:C69)</f>
        <v>281.63384592</v>
      </c>
      <c r="D64" s="11">
        <f t="shared" si="38"/>
        <v>338.71249209999996</v>
      </c>
      <c r="E64" s="11">
        <f t="shared" ref="E64:E69" si="39">SUM(B64:D64)</f>
        <v>1208.9784282700002</v>
      </c>
      <c r="F64" s="11">
        <f t="shared" si="38"/>
        <v>655.92263600000024</v>
      </c>
      <c r="G64" s="11">
        <f t="shared" si="38"/>
        <v>459.82090273999995</v>
      </c>
      <c r="H64" s="11">
        <f t="shared" si="38"/>
        <v>417.90450915000014</v>
      </c>
      <c r="I64" s="11">
        <f t="shared" ref="I64:I69" si="40">SUM(F64:H64)</f>
        <v>1533.6480478900003</v>
      </c>
      <c r="J64" s="11">
        <f t="shared" si="3"/>
        <v>2742.6264761600005</v>
      </c>
      <c r="K64" s="11">
        <f t="shared" si="38"/>
        <v>425.22614588999988</v>
      </c>
      <c r="L64" s="11">
        <f t="shared" si="38"/>
        <v>462.82415308999992</v>
      </c>
      <c r="M64" s="11">
        <f t="shared" si="38"/>
        <v>333.28221554000004</v>
      </c>
      <c r="N64" s="11">
        <f t="shared" ref="N64:N69" si="41">SUM(K64:M64)</f>
        <v>1221.3325145199997</v>
      </c>
      <c r="O64" s="11">
        <f t="shared" si="38"/>
        <v>509.49328456000006</v>
      </c>
      <c r="P64" s="11">
        <f t="shared" si="38"/>
        <v>515.05009724000001</v>
      </c>
      <c r="Q64" s="11">
        <f t="shared" si="38"/>
        <v>408.66405308294986</v>
      </c>
      <c r="R64" s="11">
        <f t="shared" ref="R64:R69" si="42">SUM(O64:Q64)</f>
        <v>1433.2074348829501</v>
      </c>
      <c r="S64" s="11">
        <f t="shared" si="6"/>
        <v>2654.5399494029498</v>
      </c>
      <c r="T64" s="11">
        <f t="shared" ref="T64:T69" si="43">+J64+S64</f>
        <v>5397.1664255629503</v>
      </c>
      <c r="U64" s="11"/>
      <c r="V64" s="11"/>
    </row>
    <row r="65" spans="1:22" ht="15" customHeight="1" x14ac:dyDescent="0.3">
      <c r="A65" s="12" t="s">
        <v>74</v>
      </c>
      <c r="B65" s="8">
        <v>37.33230568999997</v>
      </c>
      <c r="C65" s="8">
        <v>9.9044649200000023</v>
      </c>
      <c r="D65" s="8">
        <v>11.975686369999996</v>
      </c>
      <c r="E65" s="8">
        <f t="shared" si="39"/>
        <v>59.21245697999997</v>
      </c>
      <c r="F65" s="8">
        <v>26.974612359999998</v>
      </c>
      <c r="G65" s="8">
        <v>22.049555220000009</v>
      </c>
      <c r="H65" s="8">
        <v>15.516455709999988</v>
      </c>
      <c r="I65" s="8">
        <f t="shared" si="40"/>
        <v>64.540623289999999</v>
      </c>
      <c r="J65" s="8">
        <f t="shared" si="3"/>
        <v>123.75308026999997</v>
      </c>
      <c r="K65" s="8">
        <v>19.040559809999991</v>
      </c>
      <c r="L65" s="8">
        <v>16.568986430000002</v>
      </c>
      <c r="M65" s="8">
        <v>13.934534800000002</v>
      </c>
      <c r="N65" s="8">
        <f t="shared" si="41"/>
        <v>49.544081039999995</v>
      </c>
      <c r="O65" s="8">
        <v>20.11596724000001</v>
      </c>
      <c r="P65" s="8">
        <v>17.969957639999997</v>
      </c>
      <c r="Q65" s="8">
        <v>17.192495939999997</v>
      </c>
      <c r="R65" s="8">
        <f t="shared" si="42"/>
        <v>55.278420820000008</v>
      </c>
      <c r="S65" s="8">
        <f t="shared" si="6"/>
        <v>104.82250186</v>
      </c>
      <c r="T65" s="8">
        <f t="shared" si="43"/>
        <v>228.57558212999999</v>
      </c>
      <c r="U65" s="8"/>
      <c r="V65" s="8"/>
    </row>
    <row r="66" spans="1:22" ht="15" customHeight="1" x14ac:dyDescent="0.3">
      <c r="A66" s="12" t="s">
        <v>75</v>
      </c>
      <c r="B66" s="8">
        <v>52.931378490000021</v>
      </c>
      <c r="C66" s="8">
        <v>36.350928830000008</v>
      </c>
      <c r="D66" s="8">
        <v>45.973042249999999</v>
      </c>
      <c r="E66" s="8">
        <f t="shared" si="39"/>
        <v>135.25534957000002</v>
      </c>
      <c r="F66" s="8">
        <v>55.848190889999984</v>
      </c>
      <c r="G66" s="8">
        <v>44.16438186000002</v>
      </c>
      <c r="H66" s="8">
        <v>42.475033859999996</v>
      </c>
      <c r="I66" s="8">
        <f t="shared" si="40"/>
        <v>142.48760661</v>
      </c>
      <c r="J66" s="8">
        <f t="shared" si="3"/>
        <v>277.74295618000002</v>
      </c>
      <c r="K66" s="8">
        <v>46.521413700000004</v>
      </c>
      <c r="L66" s="8">
        <v>41.179260439999993</v>
      </c>
      <c r="M66" s="8">
        <v>36.908637129999995</v>
      </c>
      <c r="N66" s="8">
        <f t="shared" si="41"/>
        <v>124.60931126999998</v>
      </c>
      <c r="O66" s="8">
        <v>52.706034690000003</v>
      </c>
      <c r="P66" s="8">
        <v>49.823337039999998</v>
      </c>
      <c r="Q66" s="8">
        <v>46.331676628750003</v>
      </c>
      <c r="R66" s="8">
        <f t="shared" si="42"/>
        <v>148.86104835875</v>
      </c>
      <c r="S66" s="8">
        <f t="shared" si="6"/>
        <v>273.47035962874997</v>
      </c>
      <c r="T66" s="8">
        <f t="shared" si="43"/>
        <v>551.21331580874994</v>
      </c>
      <c r="U66" s="8"/>
      <c r="V66" s="8"/>
    </row>
    <row r="67" spans="1:22" ht="15" customHeight="1" x14ac:dyDescent="0.3">
      <c r="A67" s="12" t="s">
        <v>76</v>
      </c>
      <c r="B67" s="8">
        <v>147.45978872000003</v>
      </c>
      <c r="C67" s="8">
        <v>71.097965679999959</v>
      </c>
      <c r="D67" s="8">
        <v>91.975849650000001</v>
      </c>
      <c r="E67" s="8">
        <f t="shared" si="39"/>
        <v>310.53360405000001</v>
      </c>
      <c r="F67" s="8">
        <v>144.48285911000005</v>
      </c>
      <c r="G67" s="8">
        <v>105.85695271999998</v>
      </c>
      <c r="H67" s="8">
        <v>91.859924089999993</v>
      </c>
      <c r="I67" s="8">
        <f t="shared" si="40"/>
        <v>342.19973592000002</v>
      </c>
      <c r="J67" s="8">
        <f t="shared" si="3"/>
        <v>652.73333997000009</v>
      </c>
      <c r="K67" s="8">
        <v>108.95233884000001</v>
      </c>
      <c r="L67" s="8">
        <v>117.86390453999994</v>
      </c>
      <c r="M67" s="8">
        <v>86.728118550000033</v>
      </c>
      <c r="N67" s="8">
        <f t="shared" si="41"/>
        <v>313.54436192999998</v>
      </c>
      <c r="O67" s="8">
        <v>144.15016956000008</v>
      </c>
      <c r="P67" s="8">
        <v>139.08195683999995</v>
      </c>
      <c r="Q67" s="8">
        <v>101.09121682419999</v>
      </c>
      <c r="R67" s="8">
        <f t="shared" si="42"/>
        <v>384.32334322420002</v>
      </c>
      <c r="S67" s="8">
        <f t="shared" si="6"/>
        <v>697.86770515419994</v>
      </c>
      <c r="T67" s="8">
        <f t="shared" si="43"/>
        <v>1350.6010451242</v>
      </c>
      <c r="U67" s="8"/>
      <c r="V67" s="8"/>
    </row>
    <row r="68" spans="1:22" ht="15" customHeight="1" x14ac:dyDescent="0.3">
      <c r="A68" s="12" t="s">
        <v>77</v>
      </c>
      <c r="B68" s="8">
        <v>321.54994161000013</v>
      </c>
      <c r="C68" s="8">
        <v>147.9661366</v>
      </c>
      <c r="D68" s="8">
        <v>173.37353429999999</v>
      </c>
      <c r="E68" s="8">
        <f t="shared" si="39"/>
        <v>642.88961251000012</v>
      </c>
      <c r="F68" s="8">
        <v>398.85073330000023</v>
      </c>
      <c r="G68" s="8">
        <v>267.86625798999989</v>
      </c>
      <c r="H68" s="8">
        <v>247.99274038000016</v>
      </c>
      <c r="I68" s="8">
        <f t="shared" si="40"/>
        <v>914.70973167000034</v>
      </c>
      <c r="J68" s="8">
        <f t="shared" si="3"/>
        <v>1557.5993441800006</v>
      </c>
      <c r="K68" s="8">
        <v>227.89370455999989</v>
      </c>
      <c r="L68" s="8">
        <v>266.31548278999998</v>
      </c>
      <c r="M68" s="8">
        <v>179.48432686000001</v>
      </c>
      <c r="N68" s="8">
        <f t="shared" si="41"/>
        <v>673.69351420999988</v>
      </c>
      <c r="O68" s="8">
        <v>267.63119667999996</v>
      </c>
      <c r="P68" s="8">
        <v>283.93845506000008</v>
      </c>
      <c r="Q68" s="8">
        <v>221.96459762999987</v>
      </c>
      <c r="R68" s="8">
        <f t="shared" si="42"/>
        <v>773.53424936999988</v>
      </c>
      <c r="S68" s="8">
        <f t="shared" si="6"/>
        <v>1447.2277635799996</v>
      </c>
      <c r="T68" s="8">
        <f t="shared" si="43"/>
        <v>3004.8271077600002</v>
      </c>
      <c r="U68" s="8"/>
      <c r="V68" s="8"/>
    </row>
    <row r="69" spans="1:22" ht="15" customHeight="1" x14ac:dyDescent="0.3">
      <c r="A69" s="12" t="s">
        <v>78</v>
      </c>
      <c r="B69" s="8">
        <v>29.358675739999999</v>
      </c>
      <c r="C69" s="8">
        <v>16.314349889999995</v>
      </c>
      <c r="D69" s="8">
        <v>15.414379529999996</v>
      </c>
      <c r="E69" s="8">
        <f t="shared" si="39"/>
        <v>61.087405159999996</v>
      </c>
      <c r="F69" s="8">
        <v>29.76624034000001</v>
      </c>
      <c r="G69" s="8">
        <v>19.883754949999997</v>
      </c>
      <c r="H69" s="8">
        <v>20.060355110000003</v>
      </c>
      <c r="I69" s="8">
        <f t="shared" si="40"/>
        <v>69.71035040000001</v>
      </c>
      <c r="J69" s="8">
        <f t="shared" si="3"/>
        <v>130.79775556000001</v>
      </c>
      <c r="K69" s="8">
        <v>22.818128980000004</v>
      </c>
      <c r="L69" s="8">
        <v>20.896518890000007</v>
      </c>
      <c r="M69" s="8">
        <v>16.226598199999991</v>
      </c>
      <c r="N69" s="8">
        <f t="shared" si="41"/>
        <v>59.941246069999998</v>
      </c>
      <c r="O69" s="8">
        <v>24.88991639</v>
      </c>
      <c r="P69" s="8">
        <v>24.236390660000001</v>
      </c>
      <c r="Q69" s="8">
        <v>22.084066060000001</v>
      </c>
      <c r="R69" s="8">
        <f t="shared" si="42"/>
        <v>71.210373110000006</v>
      </c>
      <c r="S69" s="8">
        <f t="shared" si="6"/>
        <v>131.15161918000001</v>
      </c>
      <c r="T69" s="8">
        <f t="shared" si="43"/>
        <v>261.94937474000005</v>
      </c>
      <c r="U69" s="8"/>
      <c r="V69" s="8"/>
    </row>
    <row r="70" spans="1:22" s="10" customFormat="1" ht="15" customHeight="1" x14ac:dyDescent="0.3">
      <c r="A70" s="3"/>
      <c r="B70" s="11"/>
      <c r="C70" s="11"/>
      <c r="D70" s="11"/>
      <c r="E70" s="11"/>
      <c r="F70" s="11"/>
      <c r="G70" s="11"/>
      <c r="H70" s="11"/>
      <c r="I70" s="11"/>
      <c r="J70" s="11"/>
      <c r="K70" s="11"/>
      <c r="L70" s="11"/>
      <c r="M70" s="11"/>
      <c r="N70" s="11"/>
      <c r="O70" s="11"/>
      <c r="P70" s="11"/>
      <c r="Q70" s="11"/>
      <c r="R70" s="11"/>
      <c r="S70" s="11"/>
      <c r="T70" s="11"/>
      <c r="U70" s="11"/>
      <c r="V70" s="11"/>
    </row>
    <row r="71" spans="1:22" s="10" customFormat="1" ht="15" customHeight="1" x14ac:dyDescent="0.25">
      <c r="A71" s="10" t="s">
        <v>79</v>
      </c>
      <c r="B71" s="11">
        <f>SUM(B72:B77)</f>
        <v>957.5314770399998</v>
      </c>
      <c r="C71" s="11">
        <f t="shared" ref="C71:Q71" si="44">SUM(C72:C77)</f>
        <v>459.16808773000002</v>
      </c>
      <c r="D71" s="11">
        <f t="shared" si="44"/>
        <v>483.85136322999995</v>
      </c>
      <c r="E71" s="11">
        <f t="shared" ref="E71:E77" si="45">SUM(B71:D71)</f>
        <v>1900.5509279999997</v>
      </c>
      <c r="F71" s="11">
        <f t="shared" si="44"/>
        <v>818.86390876999963</v>
      </c>
      <c r="G71" s="11">
        <f t="shared" si="44"/>
        <v>559.59586238999998</v>
      </c>
      <c r="H71" s="11">
        <f t="shared" si="44"/>
        <v>546.68050332999996</v>
      </c>
      <c r="I71" s="11">
        <f t="shared" ref="I71:I77" si="46">SUM(F71:H71)</f>
        <v>1925.1402744899995</v>
      </c>
      <c r="J71" s="11">
        <f t="shared" si="3"/>
        <v>3825.6912024899993</v>
      </c>
      <c r="K71" s="11">
        <f t="shared" si="44"/>
        <v>643.77059288555006</v>
      </c>
      <c r="L71" s="11">
        <f t="shared" si="44"/>
        <v>639.70239603999994</v>
      </c>
      <c r="M71" s="11">
        <f t="shared" si="44"/>
        <v>537.57037719999994</v>
      </c>
      <c r="N71" s="11">
        <f t="shared" ref="N71:N77" si="47">SUM(K71:M71)</f>
        <v>1821.0433661255499</v>
      </c>
      <c r="O71" s="11">
        <f t="shared" si="44"/>
        <v>718.27943764999964</v>
      </c>
      <c r="P71" s="11">
        <f t="shared" si="44"/>
        <v>638.85926598999993</v>
      </c>
      <c r="Q71" s="11">
        <f t="shared" si="44"/>
        <v>696.37071146999995</v>
      </c>
      <c r="R71" s="11">
        <f t="shared" ref="R71:R77" si="48">SUM(O71:Q71)</f>
        <v>2053.5094151099997</v>
      </c>
      <c r="S71" s="11">
        <f t="shared" si="6"/>
        <v>3874.5527812355494</v>
      </c>
      <c r="T71" s="11">
        <f t="shared" ref="T71:T77" si="49">+J71+S71</f>
        <v>7700.2439837255488</v>
      </c>
      <c r="U71" s="11"/>
      <c r="V71" s="11"/>
    </row>
    <row r="72" spans="1:22" ht="15" customHeight="1" x14ac:dyDescent="0.3">
      <c r="A72" s="12" t="s">
        <v>80</v>
      </c>
      <c r="B72" s="8">
        <v>322.87086173</v>
      </c>
      <c r="C72" s="8">
        <v>144.15127175999993</v>
      </c>
      <c r="D72" s="8">
        <v>164.26132920000001</v>
      </c>
      <c r="E72" s="8">
        <f t="shared" si="45"/>
        <v>631.28346268999996</v>
      </c>
      <c r="F72" s="8">
        <v>261.74983043999987</v>
      </c>
      <c r="G72" s="8">
        <v>172.0610452599999</v>
      </c>
      <c r="H72" s="8">
        <v>168.58953841999994</v>
      </c>
      <c r="I72" s="8">
        <f t="shared" si="46"/>
        <v>602.40041411999971</v>
      </c>
      <c r="J72" s="8">
        <f t="shared" ref="J72:J77" si="50">+E72+I72</f>
        <v>1233.6838768099997</v>
      </c>
      <c r="K72" s="8">
        <v>216.09214054884998</v>
      </c>
      <c r="L72" s="8">
        <v>181.08957387999988</v>
      </c>
      <c r="M72" s="8">
        <v>169.88453008999988</v>
      </c>
      <c r="N72" s="8">
        <f t="shared" si="47"/>
        <v>567.06624451884977</v>
      </c>
      <c r="O72" s="8">
        <v>223.3832541699999</v>
      </c>
      <c r="P72" s="8">
        <v>212.44874788000004</v>
      </c>
      <c r="Q72" s="8">
        <v>241.18845981000007</v>
      </c>
      <c r="R72" s="8">
        <f t="shared" si="48"/>
        <v>677.02046185999995</v>
      </c>
      <c r="S72" s="8">
        <f t="shared" ref="S72:S77" si="51">+N72+R72</f>
        <v>1244.0867063788496</v>
      </c>
      <c r="T72" s="8">
        <f t="shared" si="49"/>
        <v>2477.7705831888493</v>
      </c>
      <c r="U72" s="8"/>
      <c r="V72" s="8"/>
    </row>
    <row r="73" spans="1:22" ht="15" customHeight="1" x14ac:dyDescent="0.3">
      <c r="A73" s="12" t="s">
        <v>81</v>
      </c>
      <c r="B73" s="8">
        <v>64.221976989999987</v>
      </c>
      <c r="C73" s="8">
        <v>38.110710150000003</v>
      </c>
      <c r="D73" s="8">
        <v>40.645622909999993</v>
      </c>
      <c r="E73" s="8">
        <f t="shared" si="45"/>
        <v>142.97831004999998</v>
      </c>
      <c r="F73" s="8">
        <v>75.034340589999999</v>
      </c>
      <c r="G73" s="8">
        <v>46.263554590000005</v>
      </c>
      <c r="H73" s="8">
        <v>49.034777920000003</v>
      </c>
      <c r="I73" s="8">
        <f t="shared" si="46"/>
        <v>170.33267310000002</v>
      </c>
      <c r="J73" s="8">
        <f t="shared" si="50"/>
        <v>313.31098314999997</v>
      </c>
      <c r="K73" s="8">
        <v>58.855042573750012</v>
      </c>
      <c r="L73" s="8">
        <v>61.75591098999999</v>
      </c>
      <c r="M73" s="8">
        <v>40.099738810000005</v>
      </c>
      <c r="N73" s="8">
        <f t="shared" si="47"/>
        <v>160.71069237375002</v>
      </c>
      <c r="O73" s="8">
        <v>55.806215229999971</v>
      </c>
      <c r="P73" s="8">
        <v>53.770535600000002</v>
      </c>
      <c r="Q73" s="8">
        <v>65.03740101999999</v>
      </c>
      <c r="R73" s="8">
        <f t="shared" si="48"/>
        <v>174.61415184999998</v>
      </c>
      <c r="S73" s="8">
        <f t="shared" si="51"/>
        <v>335.32484422375001</v>
      </c>
      <c r="T73" s="8">
        <f t="shared" si="49"/>
        <v>648.63582737374998</v>
      </c>
      <c r="U73" s="8"/>
      <c r="V73" s="8"/>
    </row>
    <row r="74" spans="1:22" ht="15" customHeight="1" x14ac:dyDescent="0.3">
      <c r="A74" s="12" t="s">
        <v>82</v>
      </c>
      <c r="B74" s="8">
        <v>345.52831736999997</v>
      </c>
      <c r="C74" s="8">
        <v>180.78284248000006</v>
      </c>
      <c r="D74" s="8">
        <v>166.83337318</v>
      </c>
      <c r="E74" s="8">
        <f t="shared" si="45"/>
        <v>693.14453302999993</v>
      </c>
      <c r="F74" s="8">
        <v>318.01477209999979</v>
      </c>
      <c r="G74" s="8">
        <v>230.76837576000003</v>
      </c>
      <c r="H74" s="8">
        <v>197.17204474000002</v>
      </c>
      <c r="I74" s="8">
        <f t="shared" si="46"/>
        <v>745.95519259999992</v>
      </c>
      <c r="J74" s="8">
        <f t="shared" si="50"/>
        <v>1439.0997256299997</v>
      </c>
      <c r="K74" s="8">
        <v>225.63340091619995</v>
      </c>
      <c r="L74" s="8">
        <v>260.02558250000004</v>
      </c>
      <c r="M74" s="8">
        <v>196.27193294000011</v>
      </c>
      <c r="N74" s="8">
        <f t="shared" si="47"/>
        <v>681.9309163562001</v>
      </c>
      <c r="O74" s="8">
        <v>266.35912722999973</v>
      </c>
      <c r="P74" s="8">
        <v>224.15587892999991</v>
      </c>
      <c r="Q74" s="8">
        <v>269.0419321199999</v>
      </c>
      <c r="R74" s="8">
        <f t="shared" si="48"/>
        <v>759.55693827999949</v>
      </c>
      <c r="S74" s="8">
        <f t="shared" si="51"/>
        <v>1441.4878546361997</v>
      </c>
      <c r="T74" s="8">
        <f t="shared" si="49"/>
        <v>2880.5875802661994</v>
      </c>
      <c r="U74" s="8"/>
      <c r="V74" s="8"/>
    </row>
    <row r="75" spans="1:22" ht="15" customHeight="1" x14ac:dyDescent="0.3">
      <c r="A75" s="12" t="s">
        <v>83</v>
      </c>
      <c r="B75" s="8">
        <v>51.793096539999993</v>
      </c>
      <c r="C75" s="8">
        <v>23.380557369999995</v>
      </c>
      <c r="D75" s="8">
        <v>23.128516919999996</v>
      </c>
      <c r="E75" s="8">
        <f t="shared" si="45"/>
        <v>98.30217082999998</v>
      </c>
      <c r="F75" s="8">
        <v>41.31913818999999</v>
      </c>
      <c r="G75" s="8">
        <v>27.027502380000001</v>
      </c>
      <c r="H75" s="8">
        <v>26.550672430000006</v>
      </c>
      <c r="I75" s="8">
        <f t="shared" si="46"/>
        <v>94.897312999999997</v>
      </c>
      <c r="J75" s="8">
        <f t="shared" si="50"/>
        <v>193.19948382999996</v>
      </c>
      <c r="K75" s="8">
        <v>39.006471004249988</v>
      </c>
      <c r="L75" s="8">
        <v>32.696892829999996</v>
      </c>
      <c r="M75" s="8">
        <v>26.544130120000005</v>
      </c>
      <c r="N75" s="8">
        <f t="shared" si="47"/>
        <v>98.24749395424999</v>
      </c>
      <c r="O75" s="8">
        <v>35.635749849999996</v>
      </c>
      <c r="P75" s="8">
        <v>43.630408830000007</v>
      </c>
      <c r="Q75" s="8">
        <v>29.100970740000008</v>
      </c>
      <c r="R75" s="8">
        <f t="shared" si="48"/>
        <v>108.36712942000001</v>
      </c>
      <c r="S75" s="8">
        <f t="shared" si="51"/>
        <v>206.61462337425002</v>
      </c>
      <c r="T75" s="8">
        <f t="shared" si="49"/>
        <v>399.81410720424998</v>
      </c>
      <c r="U75" s="8"/>
      <c r="V75" s="8"/>
    </row>
    <row r="76" spans="1:22" ht="15" customHeight="1" x14ac:dyDescent="0.3">
      <c r="A76" s="12" t="s">
        <v>84</v>
      </c>
      <c r="B76" s="8">
        <v>77.320280359999984</v>
      </c>
      <c r="C76" s="8">
        <v>28.370745460000002</v>
      </c>
      <c r="D76" s="8">
        <v>44.819138609999996</v>
      </c>
      <c r="E76" s="8">
        <f t="shared" si="45"/>
        <v>150.51016442999997</v>
      </c>
      <c r="F76" s="8">
        <v>49.524334160000002</v>
      </c>
      <c r="G76" s="8">
        <v>35.687978380000004</v>
      </c>
      <c r="H76" s="8">
        <v>56.195276929999984</v>
      </c>
      <c r="I76" s="8">
        <f t="shared" si="46"/>
        <v>141.40758946999998</v>
      </c>
      <c r="J76" s="8">
        <f t="shared" si="50"/>
        <v>291.91775389999998</v>
      </c>
      <c r="K76" s="8">
        <v>49.768974360000009</v>
      </c>
      <c r="L76" s="8">
        <v>45.471505910000012</v>
      </c>
      <c r="M76" s="8">
        <v>52.411473860000001</v>
      </c>
      <c r="N76" s="8">
        <f t="shared" si="47"/>
        <v>147.65195413000004</v>
      </c>
      <c r="O76" s="8">
        <v>74.178707680000002</v>
      </c>
      <c r="P76" s="8">
        <v>48.697292159999996</v>
      </c>
      <c r="Q76" s="8">
        <v>36.155893620000001</v>
      </c>
      <c r="R76" s="8">
        <f t="shared" si="48"/>
        <v>159.03189345999999</v>
      </c>
      <c r="S76" s="8">
        <f t="shared" si="51"/>
        <v>306.68384759000003</v>
      </c>
      <c r="T76" s="8">
        <f t="shared" si="49"/>
        <v>598.60160149000001</v>
      </c>
      <c r="U76" s="8"/>
      <c r="V76" s="8"/>
    </row>
    <row r="77" spans="1:22" ht="15" customHeight="1" x14ac:dyDescent="0.3">
      <c r="A77" s="12" t="s">
        <v>85</v>
      </c>
      <c r="B77" s="8">
        <v>95.796944049999993</v>
      </c>
      <c r="C77" s="8">
        <v>44.371960509999994</v>
      </c>
      <c r="D77" s="8">
        <v>44.163382409999983</v>
      </c>
      <c r="E77" s="8">
        <f t="shared" si="45"/>
        <v>184.33228696999998</v>
      </c>
      <c r="F77" s="8">
        <v>73.221493290000012</v>
      </c>
      <c r="G77" s="8">
        <v>47.787406020000006</v>
      </c>
      <c r="H77" s="8">
        <v>49.138192890000006</v>
      </c>
      <c r="I77" s="8">
        <f t="shared" si="46"/>
        <v>170.14709220000003</v>
      </c>
      <c r="J77" s="8">
        <f t="shared" si="50"/>
        <v>354.47937917000002</v>
      </c>
      <c r="K77" s="8">
        <v>54.414563482500014</v>
      </c>
      <c r="L77" s="8">
        <v>58.662929930000011</v>
      </c>
      <c r="M77" s="8">
        <v>52.358571380000001</v>
      </c>
      <c r="N77" s="8">
        <f t="shared" si="47"/>
        <v>165.43606479250002</v>
      </c>
      <c r="O77" s="8">
        <v>62.916383490000015</v>
      </c>
      <c r="P77" s="8">
        <v>56.156402590000006</v>
      </c>
      <c r="Q77" s="8">
        <v>55.84605415999998</v>
      </c>
      <c r="R77" s="8">
        <f t="shared" si="48"/>
        <v>174.91884024000001</v>
      </c>
      <c r="S77" s="8">
        <f t="shared" si="51"/>
        <v>340.35490503250003</v>
      </c>
      <c r="T77" s="8">
        <f t="shared" si="49"/>
        <v>694.83428420250004</v>
      </c>
      <c r="U77" s="8"/>
      <c r="V77" s="8"/>
    </row>
    <row r="78" spans="1:22" s="10" customFormat="1" ht="15" customHeight="1" x14ac:dyDescent="0.3">
      <c r="A78" s="3"/>
      <c r="B78" s="11"/>
      <c r="C78" s="11"/>
      <c r="D78" s="11"/>
      <c r="E78" s="11"/>
      <c r="F78" s="11"/>
      <c r="G78" s="11"/>
      <c r="H78" s="11"/>
      <c r="I78" s="11"/>
      <c r="J78" s="11"/>
      <c r="K78" s="11"/>
      <c r="L78" s="11"/>
      <c r="M78" s="11"/>
      <c r="N78" s="11"/>
      <c r="O78" s="11"/>
      <c r="P78" s="11"/>
      <c r="Q78" s="11"/>
      <c r="R78" s="11"/>
      <c r="S78" s="11"/>
      <c r="T78" s="11"/>
      <c r="U78" s="11"/>
      <c r="V78" s="11"/>
    </row>
    <row r="79" spans="1:22" s="10" customFormat="1" ht="15" customHeight="1" x14ac:dyDescent="0.25">
      <c r="A79" s="10" t="s">
        <v>86</v>
      </c>
      <c r="B79" s="11">
        <f>SUM(B80:B84)</f>
        <v>1090.3135844500002</v>
      </c>
      <c r="C79" s="11">
        <f t="shared" ref="C79:Q79" si="52">SUM(C80:C84)</f>
        <v>627.06413872999997</v>
      </c>
      <c r="D79" s="11">
        <f t="shared" si="52"/>
        <v>682.87087662999977</v>
      </c>
      <c r="E79" s="11">
        <f t="shared" ref="E79:E84" si="53">SUM(B79:D79)</f>
        <v>2400.2485998100001</v>
      </c>
      <c r="F79" s="11">
        <f t="shared" si="52"/>
        <v>1146.7198049399999</v>
      </c>
      <c r="G79" s="11">
        <f t="shared" si="52"/>
        <v>731.17548552000028</v>
      </c>
      <c r="H79" s="11">
        <f t="shared" si="52"/>
        <v>601.10902376999991</v>
      </c>
      <c r="I79" s="11">
        <f t="shared" ref="I79:I84" si="54">SUM(F79:H79)</f>
        <v>2479.0043142300001</v>
      </c>
      <c r="J79" s="11">
        <f t="shared" ref="J79:J84" si="55">+E79+I79</f>
        <v>4879.2529140400002</v>
      </c>
      <c r="K79" s="11">
        <f t="shared" si="52"/>
        <v>765.79756861000033</v>
      </c>
      <c r="L79" s="11">
        <f t="shared" si="52"/>
        <v>741.49582549000002</v>
      </c>
      <c r="M79" s="11">
        <f t="shared" si="52"/>
        <v>668.96739171000013</v>
      </c>
      <c r="N79" s="11">
        <f t="shared" ref="N79:N84" si="56">SUM(K79:M79)</f>
        <v>2176.2607858100005</v>
      </c>
      <c r="O79" s="11">
        <f t="shared" si="52"/>
        <v>818.89602449999927</v>
      </c>
      <c r="P79" s="11">
        <f t="shared" si="52"/>
        <v>831.75643596000066</v>
      </c>
      <c r="Q79" s="11">
        <f t="shared" si="52"/>
        <v>737.58508862980023</v>
      </c>
      <c r="R79" s="11">
        <f t="shared" ref="R79:R84" si="57">SUM(O79:Q79)</f>
        <v>2388.2375490898003</v>
      </c>
      <c r="S79" s="11">
        <f t="shared" ref="S79:S84" si="58">+N79+R79</f>
        <v>4564.4983348998012</v>
      </c>
      <c r="T79" s="11">
        <f t="shared" ref="T79:T84" si="59">+J79+S79</f>
        <v>9443.7512489398014</v>
      </c>
      <c r="U79" s="11"/>
      <c r="V79" s="11"/>
    </row>
    <row r="80" spans="1:22" ht="15" customHeight="1" x14ac:dyDescent="0.3">
      <c r="A80" s="12" t="s">
        <v>87</v>
      </c>
      <c r="B80" s="8">
        <v>183.45039043999998</v>
      </c>
      <c r="C80" s="8">
        <v>118.92002226999996</v>
      </c>
      <c r="D80" s="8">
        <v>114.92162250000001</v>
      </c>
      <c r="E80" s="8">
        <f t="shared" si="53"/>
        <v>417.29203520999994</v>
      </c>
      <c r="F80" s="8">
        <v>193.30408286000011</v>
      </c>
      <c r="G80" s="8">
        <v>116.22146999999995</v>
      </c>
      <c r="H80" s="8">
        <v>78.634823099999991</v>
      </c>
      <c r="I80" s="8">
        <f t="shared" si="54"/>
        <v>388.16037596000007</v>
      </c>
      <c r="J80" s="8">
        <f t="shared" si="55"/>
        <v>805.45241117</v>
      </c>
      <c r="K80" s="8">
        <v>100.46574236999997</v>
      </c>
      <c r="L80" s="8">
        <v>108.45968402</v>
      </c>
      <c r="M80" s="8">
        <v>125.82123610000005</v>
      </c>
      <c r="N80" s="8">
        <f t="shared" si="56"/>
        <v>334.74666249000006</v>
      </c>
      <c r="O80" s="8">
        <v>110.84613886999999</v>
      </c>
      <c r="P80" s="8">
        <v>125.80763565999996</v>
      </c>
      <c r="Q80" s="8">
        <v>106.52011956450002</v>
      </c>
      <c r="R80" s="8">
        <f t="shared" si="57"/>
        <v>343.17389409449999</v>
      </c>
      <c r="S80" s="8">
        <f t="shared" si="58"/>
        <v>677.92055658449999</v>
      </c>
      <c r="T80" s="8">
        <f t="shared" si="59"/>
        <v>1483.3729677545</v>
      </c>
      <c r="U80" s="8"/>
      <c r="V80" s="8"/>
    </row>
    <row r="81" spans="1:22" ht="15" customHeight="1" x14ac:dyDescent="0.3">
      <c r="A81" s="12" t="s">
        <v>88</v>
      </c>
      <c r="B81" s="8">
        <v>58.236073130000001</v>
      </c>
      <c r="C81" s="8">
        <v>30.953679230000006</v>
      </c>
      <c r="D81" s="8">
        <v>48.613875749999998</v>
      </c>
      <c r="E81" s="8">
        <f t="shared" si="53"/>
        <v>137.80362811000001</v>
      </c>
      <c r="F81" s="8">
        <v>86.560319490000012</v>
      </c>
      <c r="G81" s="8">
        <v>38.565683319999984</v>
      </c>
      <c r="H81" s="8">
        <v>35.82077357</v>
      </c>
      <c r="I81" s="8">
        <f t="shared" si="54"/>
        <v>160.94677637999999</v>
      </c>
      <c r="J81" s="8">
        <f t="shared" si="55"/>
        <v>298.75040448999999</v>
      </c>
      <c r="K81" s="8">
        <v>58.402253600000009</v>
      </c>
      <c r="L81" s="8">
        <v>35.989820980000012</v>
      </c>
      <c r="M81" s="8">
        <v>29.941247140000002</v>
      </c>
      <c r="N81" s="8">
        <f t="shared" si="56"/>
        <v>124.33332172000001</v>
      </c>
      <c r="O81" s="8">
        <v>51.678949690000017</v>
      </c>
      <c r="P81" s="8">
        <v>38.554249169999999</v>
      </c>
      <c r="Q81" s="8">
        <v>46.08068643</v>
      </c>
      <c r="R81" s="8">
        <f t="shared" si="57"/>
        <v>136.31388529000003</v>
      </c>
      <c r="S81" s="8">
        <f t="shared" si="58"/>
        <v>260.64720701000005</v>
      </c>
      <c r="T81" s="8">
        <f t="shared" si="59"/>
        <v>559.39761150000004</v>
      </c>
      <c r="U81" s="8"/>
      <c r="V81" s="8"/>
    </row>
    <row r="82" spans="1:22" ht="15" customHeight="1" x14ac:dyDescent="0.3">
      <c r="A82" s="12" t="s">
        <v>89</v>
      </c>
      <c r="B82" s="8">
        <v>118.11644461000004</v>
      </c>
      <c r="C82" s="8">
        <v>62.135793739999997</v>
      </c>
      <c r="D82" s="8">
        <v>66.903952080000025</v>
      </c>
      <c r="E82" s="8">
        <f t="shared" si="53"/>
        <v>247.15619043000004</v>
      </c>
      <c r="F82" s="8">
        <v>106.95839315999993</v>
      </c>
      <c r="G82" s="8">
        <v>76.805446880000019</v>
      </c>
      <c r="H82" s="8">
        <v>79.73453382000001</v>
      </c>
      <c r="I82" s="8">
        <f t="shared" si="54"/>
        <v>263.49837385999996</v>
      </c>
      <c r="J82" s="8">
        <f t="shared" si="55"/>
        <v>510.65456429</v>
      </c>
      <c r="K82" s="8">
        <v>90.526174879999971</v>
      </c>
      <c r="L82" s="8">
        <v>87.221796629999986</v>
      </c>
      <c r="M82" s="8">
        <v>84.890166379999997</v>
      </c>
      <c r="N82" s="8">
        <f t="shared" si="56"/>
        <v>262.63813788999994</v>
      </c>
      <c r="O82" s="8">
        <v>94.18257291999997</v>
      </c>
      <c r="P82" s="8">
        <v>96.221251079999988</v>
      </c>
      <c r="Q82" s="8">
        <v>98.329692553599969</v>
      </c>
      <c r="R82" s="8">
        <f t="shared" si="57"/>
        <v>288.73351655359994</v>
      </c>
      <c r="S82" s="8">
        <f t="shared" si="58"/>
        <v>551.37165444359994</v>
      </c>
      <c r="T82" s="8">
        <f t="shared" si="59"/>
        <v>1062.0262187336</v>
      </c>
      <c r="U82" s="8"/>
      <c r="V82" s="8"/>
    </row>
    <row r="83" spans="1:22" ht="15" customHeight="1" x14ac:dyDescent="0.3">
      <c r="A83" s="12" t="s">
        <v>90</v>
      </c>
      <c r="B83" s="8">
        <v>116.00223484000003</v>
      </c>
      <c r="C83" s="8">
        <v>50.218920329999989</v>
      </c>
      <c r="D83" s="8">
        <v>60.077649459999989</v>
      </c>
      <c r="E83" s="8">
        <f t="shared" si="53"/>
        <v>226.29880463000001</v>
      </c>
      <c r="F83" s="8">
        <v>88.290517780000002</v>
      </c>
      <c r="G83" s="8">
        <v>65.828579780000013</v>
      </c>
      <c r="H83" s="8">
        <v>54.376786899999992</v>
      </c>
      <c r="I83" s="8">
        <f t="shared" si="54"/>
        <v>208.49588445999998</v>
      </c>
      <c r="J83" s="8">
        <f t="shared" si="55"/>
        <v>434.79468909000002</v>
      </c>
      <c r="K83" s="8">
        <v>81.32235166000001</v>
      </c>
      <c r="L83" s="8">
        <v>64.598189390000002</v>
      </c>
      <c r="M83" s="8">
        <v>57.117624699999993</v>
      </c>
      <c r="N83" s="8">
        <f t="shared" si="56"/>
        <v>203.03816574999999</v>
      </c>
      <c r="O83" s="8">
        <v>76.218420619999989</v>
      </c>
      <c r="P83" s="8">
        <v>66.314180679999993</v>
      </c>
      <c r="Q83" s="8">
        <v>69.732975374199995</v>
      </c>
      <c r="R83" s="8">
        <f t="shared" si="57"/>
        <v>212.26557667419996</v>
      </c>
      <c r="S83" s="8">
        <f t="shared" si="58"/>
        <v>415.30374242419998</v>
      </c>
      <c r="T83" s="8">
        <f t="shared" si="59"/>
        <v>850.0984315142</v>
      </c>
      <c r="U83" s="8"/>
      <c r="V83" s="8"/>
    </row>
    <row r="84" spans="1:22" ht="18" customHeight="1" x14ac:dyDescent="0.3">
      <c r="A84" s="12" t="s">
        <v>91</v>
      </c>
      <c r="B84" s="8">
        <v>614.50844143000029</v>
      </c>
      <c r="C84" s="8">
        <v>364.83572316000004</v>
      </c>
      <c r="D84" s="8">
        <v>392.35377683999974</v>
      </c>
      <c r="E84" s="8">
        <f t="shared" si="53"/>
        <v>1371.6979414300001</v>
      </c>
      <c r="F84" s="8">
        <v>671.60649164999984</v>
      </c>
      <c r="G84" s="8">
        <v>433.75430554000036</v>
      </c>
      <c r="H84" s="8">
        <v>352.54210637999989</v>
      </c>
      <c r="I84" s="8">
        <f t="shared" si="54"/>
        <v>1457.90290357</v>
      </c>
      <c r="J84" s="8">
        <f t="shared" si="55"/>
        <v>2829.6008449999999</v>
      </c>
      <c r="K84" s="8">
        <v>435.08104610000032</v>
      </c>
      <c r="L84" s="8">
        <v>445.22633446999998</v>
      </c>
      <c r="M84" s="8">
        <v>371.19711739000019</v>
      </c>
      <c r="N84" s="8">
        <f t="shared" si="56"/>
        <v>1251.5044979600004</v>
      </c>
      <c r="O84" s="8">
        <v>485.96994239999935</v>
      </c>
      <c r="P84" s="8">
        <v>504.85911937000071</v>
      </c>
      <c r="Q84" s="8">
        <v>416.92161470750023</v>
      </c>
      <c r="R84" s="8">
        <f t="shared" si="57"/>
        <v>1407.7506764775003</v>
      </c>
      <c r="S84" s="8">
        <f t="shared" si="58"/>
        <v>2659.2551744375005</v>
      </c>
      <c r="T84" s="8">
        <f t="shared" si="59"/>
        <v>5488.8560194375004</v>
      </c>
      <c r="U84" s="8"/>
      <c r="V84" s="8"/>
    </row>
    <row r="85" spans="1:22" s="10" customFormat="1" ht="15" customHeight="1" x14ac:dyDescent="0.3">
      <c r="A85" s="3"/>
      <c r="B85" s="11"/>
      <c r="C85" s="11"/>
      <c r="D85" s="11"/>
      <c r="E85" s="11"/>
      <c r="F85" s="11"/>
      <c r="G85" s="11"/>
      <c r="H85" s="11"/>
      <c r="I85" s="11"/>
      <c r="J85" s="11"/>
      <c r="K85" s="11"/>
      <c r="L85" s="11"/>
      <c r="M85" s="11"/>
      <c r="N85" s="11"/>
      <c r="O85" s="11"/>
      <c r="P85" s="11"/>
      <c r="Q85" s="11"/>
      <c r="R85" s="11"/>
      <c r="S85" s="11"/>
      <c r="T85" s="11"/>
      <c r="U85" s="11"/>
      <c r="V85" s="11"/>
    </row>
    <row r="86" spans="1:22" s="10" customFormat="1" ht="15" customHeight="1" x14ac:dyDescent="0.25">
      <c r="A86" s="10" t="s">
        <v>92</v>
      </c>
      <c r="B86" s="11">
        <f>SUM(B87:B88)</f>
        <v>1036.7620531600001</v>
      </c>
      <c r="C86" s="11">
        <f t="shared" ref="C86:Q86" si="60">SUM(C87:C88)</f>
        <v>573.82570851000003</v>
      </c>
      <c r="D86" s="11">
        <f t="shared" si="60"/>
        <v>660.30727133000005</v>
      </c>
      <c r="E86" s="11">
        <f t="shared" ref="E86:E88" si="61">SUM(B86:D86)</f>
        <v>2270.8950329999998</v>
      </c>
      <c r="F86" s="11">
        <f t="shared" si="60"/>
        <v>1183.5536155300001</v>
      </c>
      <c r="G86" s="11">
        <f t="shared" si="60"/>
        <v>724.55203617000029</v>
      </c>
      <c r="H86" s="11">
        <f t="shared" si="60"/>
        <v>569.08004703000017</v>
      </c>
      <c r="I86" s="11">
        <f t="shared" ref="I86:I88" si="62">SUM(F86:H86)</f>
        <v>2477.1856987300007</v>
      </c>
      <c r="J86" s="11">
        <f t="shared" ref="J86:J88" si="63">+E86+I86</f>
        <v>4748.0807317300005</v>
      </c>
      <c r="K86" s="11">
        <f t="shared" si="60"/>
        <v>715.85616528999958</v>
      </c>
      <c r="L86" s="11">
        <f t="shared" si="60"/>
        <v>791.48364222000009</v>
      </c>
      <c r="M86" s="11">
        <f t="shared" si="60"/>
        <v>635.29391734000012</v>
      </c>
      <c r="N86" s="11">
        <f t="shared" ref="N86:N88" si="64">SUM(K86:M86)</f>
        <v>2142.6337248499999</v>
      </c>
      <c r="O86" s="11">
        <f t="shared" si="60"/>
        <v>834.42208689000097</v>
      </c>
      <c r="P86" s="11">
        <f t="shared" si="60"/>
        <v>843.15648469999962</v>
      </c>
      <c r="Q86" s="11">
        <f t="shared" si="60"/>
        <v>740.58855053109983</v>
      </c>
      <c r="R86" s="11">
        <f t="shared" ref="R86:R88" si="65">SUM(O86:Q86)</f>
        <v>2418.1671221211004</v>
      </c>
      <c r="S86" s="11">
        <f t="shared" ref="S86:S88" si="66">+N86+R86</f>
        <v>4560.8008469711003</v>
      </c>
      <c r="T86" s="11">
        <f t="shared" ref="T86:T88" si="67">+J86+S86</f>
        <v>9308.8815787011008</v>
      </c>
      <c r="U86" s="11"/>
      <c r="V86" s="11"/>
    </row>
    <row r="87" spans="1:22" ht="15" customHeight="1" x14ac:dyDescent="0.3">
      <c r="A87" s="12" t="s">
        <v>93</v>
      </c>
      <c r="B87" s="8">
        <v>801.06552641999974</v>
      </c>
      <c r="C87" s="8">
        <v>448.67059526000008</v>
      </c>
      <c r="D87" s="8">
        <v>533.78205243000002</v>
      </c>
      <c r="E87" s="8">
        <f t="shared" si="61"/>
        <v>1783.5181741099998</v>
      </c>
      <c r="F87" s="8">
        <v>968.99104521000015</v>
      </c>
      <c r="G87" s="8">
        <v>564.80602153000041</v>
      </c>
      <c r="H87" s="8">
        <v>434.37534006000021</v>
      </c>
      <c r="I87" s="8">
        <f t="shared" si="62"/>
        <v>1968.1724068000008</v>
      </c>
      <c r="J87" s="8">
        <f t="shared" si="63"/>
        <v>3751.6905809100008</v>
      </c>
      <c r="K87" s="8">
        <v>556.79118005999965</v>
      </c>
      <c r="L87" s="8">
        <v>631.76924505000011</v>
      </c>
      <c r="M87" s="8">
        <v>501.67992456000013</v>
      </c>
      <c r="N87" s="8">
        <f t="shared" si="64"/>
        <v>1690.2403496699999</v>
      </c>
      <c r="O87" s="8">
        <v>658.56715311000096</v>
      </c>
      <c r="P87" s="8">
        <v>654.88018565999971</v>
      </c>
      <c r="Q87" s="8">
        <v>579.66498155689976</v>
      </c>
      <c r="R87" s="8">
        <f t="shared" si="65"/>
        <v>1893.1123203269003</v>
      </c>
      <c r="S87" s="8">
        <f t="shared" si="66"/>
        <v>3583.3526699969002</v>
      </c>
      <c r="T87" s="8">
        <f t="shared" si="67"/>
        <v>7335.0432509069014</v>
      </c>
      <c r="U87" s="8"/>
      <c r="V87" s="8"/>
    </row>
    <row r="88" spans="1:22" ht="15" customHeight="1" x14ac:dyDescent="0.3">
      <c r="A88" s="12" t="s">
        <v>94</v>
      </c>
      <c r="B88" s="8">
        <v>235.69652674000022</v>
      </c>
      <c r="C88" s="8">
        <v>125.15511324999994</v>
      </c>
      <c r="D88" s="8">
        <v>126.52521889999998</v>
      </c>
      <c r="E88" s="8">
        <f t="shared" si="61"/>
        <v>487.37685889000016</v>
      </c>
      <c r="F88" s="8">
        <v>214.56257032000002</v>
      </c>
      <c r="G88" s="8">
        <v>159.74601463999991</v>
      </c>
      <c r="H88" s="8">
        <v>134.70470696999993</v>
      </c>
      <c r="I88" s="8">
        <f t="shared" si="62"/>
        <v>509.01329192999992</v>
      </c>
      <c r="J88" s="8">
        <f t="shared" si="63"/>
        <v>996.39015082000014</v>
      </c>
      <c r="K88" s="8">
        <v>159.06498522999988</v>
      </c>
      <c r="L88" s="8">
        <v>159.71439716999998</v>
      </c>
      <c r="M88" s="8">
        <v>133.61399277999999</v>
      </c>
      <c r="N88" s="8">
        <f t="shared" si="64"/>
        <v>452.39337517999985</v>
      </c>
      <c r="O88" s="8">
        <v>175.85493377999998</v>
      </c>
      <c r="P88" s="8">
        <v>188.27629903999991</v>
      </c>
      <c r="Q88" s="8">
        <v>160.92356897420001</v>
      </c>
      <c r="R88" s="8">
        <f t="shared" si="65"/>
        <v>525.05480179419988</v>
      </c>
      <c r="S88" s="8">
        <f t="shared" si="66"/>
        <v>977.44817697419967</v>
      </c>
      <c r="T88" s="8">
        <f t="shared" si="67"/>
        <v>1973.8383277941998</v>
      </c>
      <c r="U88" s="8"/>
      <c r="V88" s="8"/>
    </row>
    <row r="89" spans="1:22" s="10" customFormat="1" ht="15" customHeight="1" x14ac:dyDescent="0.3">
      <c r="A89" s="3"/>
      <c r="B89" s="11"/>
      <c r="C89" s="11"/>
      <c r="D89" s="11"/>
      <c r="E89" s="11"/>
      <c r="F89" s="11"/>
      <c r="G89" s="11"/>
      <c r="H89" s="11"/>
      <c r="I89" s="11"/>
      <c r="J89" s="11"/>
      <c r="K89" s="11"/>
      <c r="L89" s="11"/>
      <c r="M89" s="11"/>
      <c r="N89" s="11"/>
      <c r="O89" s="11"/>
      <c r="P89" s="11"/>
      <c r="Q89" s="11"/>
      <c r="R89" s="11"/>
      <c r="S89" s="11"/>
      <c r="T89" s="11"/>
      <c r="U89" s="11"/>
      <c r="V89" s="11"/>
    </row>
    <row r="90" spans="1:22" s="10" customFormat="1" ht="15" customHeight="1" x14ac:dyDescent="0.25">
      <c r="A90" s="10" t="s">
        <v>95</v>
      </c>
      <c r="B90" s="11">
        <f>SUM(B91:B94)</f>
        <v>5278.0675799600031</v>
      </c>
      <c r="C90" s="11">
        <f t="shared" ref="C90:Q90" si="68">SUM(C91:C94)</f>
        <v>3207.8459667799998</v>
      </c>
      <c r="D90" s="11">
        <f t="shared" si="68"/>
        <v>3711.8811578800014</v>
      </c>
      <c r="E90" s="11">
        <f t="shared" ref="E90:E94" si="69">SUM(B90:D90)</f>
        <v>12197.794704620004</v>
      </c>
      <c r="F90" s="11">
        <f t="shared" si="68"/>
        <v>7936.3918368800014</v>
      </c>
      <c r="G90" s="11">
        <f t="shared" si="68"/>
        <v>5733.2866093400025</v>
      </c>
      <c r="H90" s="11">
        <f t="shared" si="68"/>
        <v>4120.8997254699998</v>
      </c>
      <c r="I90" s="11">
        <f t="shared" ref="I90:I94" si="70">SUM(F90:H90)</f>
        <v>17790.578171690006</v>
      </c>
      <c r="J90" s="11">
        <f t="shared" ref="J90:J94" si="71">+E90+I90</f>
        <v>29988.372876310008</v>
      </c>
      <c r="K90" s="11">
        <f t="shared" si="68"/>
        <v>4873.1544728500048</v>
      </c>
      <c r="L90" s="11">
        <f t="shared" si="68"/>
        <v>6055.1612488299979</v>
      </c>
      <c r="M90" s="11">
        <f t="shared" si="68"/>
        <v>3616.2306268400007</v>
      </c>
      <c r="N90" s="11">
        <f t="shared" ref="N90:N94" si="72">SUM(K90:M90)</f>
        <v>14544.546348520003</v>
      </c>
      <c r="O90" s="11">
        <f t="shared" si="68"/>
        <v>5355.7690684599984</v>
      </c>
      <c r="P90" s="11">
        <f t="shared" si="68"/>
        <v>6222.2995997299986</v>
      </c>
      <c r="Q90" s="11">
        <f t="shared" si="68"/>
        <v>4683.7109619898001</v>
      </c>
      <c r="R90" s="11">
        <f t="shared" ref="R90:R94" si="73">SUM(O90:Q90)</f>
        <v>16261.779630179797</v>
      </c>
      <c r="S90" s="11">
        <f t="shared" ref="S90:S94" si="74">+N90+R90</f>
        <v>30806.325978699802</v>
      </c>
      <c r="T90" s="11">
        <f t="shared" ref="T90:T94" si="75">+J90+S90</f>
        <v>60794.69885500981</v>
      </c>
      <c r="U90" s="11"/>
      <c r="V90" s="11"/>
    </row>
    <row r="91" spans="1:22" ht="15" customHeight="1" x14ac:dyDescent="0.3">
      <c r="A91" s="12" t="s">
        <v>96</v>
      </c>
      <c r="B91" s="8">
        <v>198.13190112000007</v>
      </c>
      <c r="C91" s="8">
        <v>127.73819777000004</v>
      </c>
      <c r="D91" s="8">
        <v>152.72898875000001</v>
      </c>
      <c r="E91" s="8">
        <f t="shared" si="69"/>
        <v>478.59908764000011</v>
      </c>
      <c r="F91" s="8">
        <v>184.47553234999987</v>
      </c>
      <c r="G91" s="8">
        <v>143.91132324999998</v>
      </c>
      <c r="H91" s="8">
        <v>153.23577671999993</v>
      </c>
      <c r="I91" s="8">
        <f t="shared" si="70"/>
        <v>481.62263231999981</v>
      </c>
      <c r="J91" s="8">
        <f t="shared" si="71"/>
        <v>960.22171995999997</v>
      </c>
      <c r="K91" s="8">
        <v>170.51457725000003</v>
      </c>
      <c r="L91" s="8">
        <v>179.26595718999988</v>
      </c>
      <c r="M91" s="8">
        <v>246.32479528999991</v>
      </c>
      <c r="N91" s="8">
        <f t="shared" si="72"/>
        <v>596.10532972999977</v>
      </c>
      <c r="O91" s="8">
        <v>239.22681301999998</v>
      </c>
      <c r="P91" s="8">
        <v>212.40269685999999</v>
      </c>
      <c r="Q91" s="8">
        <v>167.76391915999997</v>
      </c>
      <c r="R91" s="8">
        <f t="shared" si="73"/>
        <v>619.39342904</v>
      </c>
      <c r="S91" s="8">
        <f t="shared" si="74"/>
        <v>1215.4987587699998</v>
      </c>
      <c r="T91" s="8">
        <f t="shared" si="75"/>
        <v>2175.7204787299997</v>
      </c>
      <c r="U91" s="8"/>
      <c r="V91" s="8"/>
    </row>
    <row r="92" spans="1:22" ht="15" customHeight="1" x14ac:dyDescent="0.3">
      <c r="A92" s="12" t="s">
        <v>97</v>
      </c>
      <c r="B92" s="8">
        <v>1093.9357401300008</v>
      </c>
      <c r="C92" s="8">
        <v>856.04639072999976</v>
      </c>
      <c r="D92" s="8">
        <v>722.27459807000037</v>
      </c>
      <c r="E92" s="8">
        <f t="shared" si="69"/>
        <v>2672.2567289300009</v>
      </c>
      <c r="F92" s="8">
        <v>1452.4098270899999</v>
      </c>
      <c r="G92" s="8">
        <v>908.35528084000066</v>
      </c>
      <c r="H92" s="8">
        <v>899.6296796699994</v>
      </c>
      <c r="I92" s="8">
        <f t="shared" si="70"/>
        <v>3260.3947875999997</v>
      </c>
      <c r="J92" s="8">
        <f t="shared" si="71"/>
        <v>5932.6515165300007</v>
      </c>
      <c r="K92" s="8">
        <v>1098.7427516500013</v>
      </c>
      <c r="L92" s="8">
        <v>1099.48778165</v>
      </c>
      <c r="M92" s="8">
        <v>843.66012200000091</v>
      </c>
      <c r="N92" s="8">
        <f t="shared" si="72"/>
        <v>3041.8906553000024</v>
      </c>
      <c r="O92" s="8">
        <v>1142.8430755199993</v>
      </c>
      <c r="P92" s="8">
        <v>1091.6176938299998</v>
      </c>
      <c r="Q92" s="8">
        <v>1083.7117911830996</v>
      </c>
      <c r="R92" s="8">
        <f t="shared" si="73"/>
        <v>3318.1725605330989</v>
      </c>
      <c r="S92" s="8">
        <f t="shared" si="74"/>
        <v>6360.0632158331009</v>
      </c>
      <c r="T92" s="8">
        <f t="shared" si="75"/>
        <v>12292.714732363102</v>
      </c>
      <c r="U92" s="8"/>
      <c r="V92" s="8"/>
    </row>
    <row r="93" spans="1:22" ht="15" customHeight="1" x14ac:dyDescent="0.3">
      <c r="A93" s="12" t="s">
        <v>98</v>
      </c>
      <c r="B93" s="8">
        <v>1336.3283877800009</v>
      </c>
      <c r="C93" s="8">
        <v>741.08172651999962</v>
      </c>
      <c r="D93" s="8">
        <v>878.50933726000039</v>
      </c>
      <c r="E93" s="8">
        <f t="shared" si="69"/>
        <v>2955.9194515600011</v>
      </c>
      <c r="F93" s="8">
        <v>1742.1546107499998</v>
      </c>
      <c r="G93" s="8">
        <v>1084.8328048500011</v>
      </c>
      <c r="H93" s="8">
        <v>999.5115595499999</v>
      </c>
      <c r="I93" s="8">
        <f t="shared" si="70"/>
        <v>3826.4989751500007</v>
      </c>
      <c r="J93" s="8">
        <f t="shared" si="71"/>
        <v>6782.4184267100018</v>
      </c>
      <c r="K93" s="8">
        <v>1093.8526173000023</v>
      </c>
      <c r="L93" s="8">
        <v>1172.367088969999</v>
      </c>
      <c r="M93" s="8">
        <v>875.86870468000006</v>
      </c>
      <c r="N93" s="8">
        <f t="shared" si="72"/>
        <v>3142.0884109500016</v>
      </c>
      <c r="O93" s="8">
        <v>1292.1617815799998</v>
      </c>
      <c r="P93" s="8">
        <v>1487.3186560999995</v>
      </c>
      <c r="Q93" s="8">
        <v>891.71617785669946</v>
      </c>
      <c r="R93" s="8">
        <f t="shared" si="73"/>
        <v>3671.196615536699</v>
      </c>
      <c r="S93" s="8">
        <f t="shared" si="74"/>
        <v>6813.2850264867011</v>
      </c>
      <c r="T93" s="8">
        <f t="shared" si="75"/>
        <v>13595.703453196704</v>
      </c>
      <c r="U93" s="8"/>
      <c r="V93" s="8"/>
    </row>
    <row r="94" spans="1:22" ht="18" customHeight="1" x14ac:dyDescent="0.3">
      <c r="A94" s="12" t="s">
        <v>99</v>
      </c>
      <c r="B94" s="8">
        <v>2649.6715509300006</v>
      </c>
      <c r="C94" s="8">
        <v>1482.9796517600003</v>
      </c>
      <c r="D94" s="8">
        <v>1958.368233800001</v>
      </c>
      <c r="E94" s="8">
        <f t="shared" si="69"/>
        <v>6091.0194364900017</v>
      </c>
      <c r="F94" s="8">
        <v>4557.3518666900018</v>
      </c>
      <c r="G94" s="8">
        <v>3596.1872004000006</v>
      </c>
      <c r="H94" s="8">
        <v>2068.5227095300006</v>
      </c>
      <c r="I94" s="8">
        <f t="shared" si="70"/>
        <v>10222.061776620003</v>
      </c>
      <c r="J94" s="8">
        <f t="shared" si="71"/>
        <v>16313.081213110005</v>
      </c>
      <c r="K94" s="8">
        <v>2510.044526650001</v>
      </c>
      <c r="L94" s="8">
        <v>3604.0404210199986</v>
      </c>
      <c r="M94" s="8">
        <v>1650.3770048699998</v>
      </c>
      <c r="N94" s="8">
        <f t="shared" si="72"/>
        <v>7764.4619525399994</v>
      </c>
      <c r="O94" s="8">
        <v>2681.5373983399995</v>
      </c>
      <c r="P94" s="8">
        <v>3430.9605529400001</v>
      </c>
      <c r="Q94" s="8">
        <v>2540.5190737900016</v>
      </c>
      <c r="R94" s="8">
        <f t="shared" si="73"/>
        <v>8653.0170250700012</v>
      </c>
      <c r="S94" s="8">
        <f t="shared" si="74"/>
        <v>16417.478977610001</v>
      </c>
      <c r="T94" s="8">
        <f t="shared" si="75"/>
        <v>32730.560190720003</v>
      </c>
      <c r="U94" s="8"/>
      <c r="V94" s="8"/>
    </row>
    <row r="95" spans="1:22" ht="15" customHeight="1" x14ac:dyDescent="0.3">
      <c r="A95" s="12"/>
      <c r="B95" s="8"/>
      <c r="C95" s="8"/>
      <c r="D95" s="8"/>
      <c r="E95" s="8"/>
      <c r="F95" s="8"/>
      <c r="G95" s="8"/>
      <c r="H95" s="8"/>
      <c r="I95" s="8"/>
      <c r="J95" s="8"/>
      <c r="K95" s="8"/>
      <c r="L95" s="8"/>
      <c r="M95" s="8"/>
      <c r="N95" s="8"/>
      <c r="O95" s="8"/>
      <c r="P95" s="8"/>
      <c r="Q95" s="8"/>
      <c r="R95" s="8"/>
      <c r="S95" s="8"/>
      <c r="T95" s="8"/>
      <c r="U95" s="8"/>
      <c r="V95" s="8"/>
    </row>
    <row r="96" spans="1:22" s="10" customFormat="1" ht="15" customHeight="1" x14ac:dyDescent="0.25">
      <c r="A96" s="13" t="s">
        <v>100</v>
      </c>
      <c r="B96" s="11">
        <f>SUM(B97:B102)</f>
        <v>632.82436142999995</v>
      </c>
      <c r="C96" s="11">
        <f t="shared" ref="C96:Q96" si="76">SUM(C97:C102)</f>
        <v>380.11032443000011</v>
      </c>
      <c r="D96" s="11">
        <f t="shared" si="76"/>
        <v>402.63444677999996</v>
      </c>
      <c r="E96" s="11">
        <f t="shared" ref="E96:E102" si="77">SUM(B96:D96)</f>
        <v>1415.5691326400001</v>
      </c>
      <c r="F96" s="11">
        <f t="shared" si="76"/>
        <v>646.23452452000015</v>
      </c>
      <c r="G96" s="11">
        <f t="shared" si="76"/>
        <v>493.37081709000006</v>
      </c>
      <c r="H96" s="11">
        <f t="shared" si="76"/>
        <v>489.45002333999992</v>
      </c>
      <c r="I96" s="11">
        <f t="shared" ref="I96:I102" si="78">SUM(F96:H96)</f>
        <v>1629.0553649500002</v>
      </c>
      <c r="J96" s="11">
        <f t="shared" ref="J96:J102" si="79">+E96+I96</f>
        <v>3044.6244975900004</v>
      </c>
      <c r="K96" s="11">
        <f t="shared" si="76"/>
        <v>558.37245573999996</v>
      </c>
      <c r="L96" s="11">
        <f t="shared" si="76"/>
        <v>518.92552959999989</v>
      </c>
      <c r="M96" s="11">
        <f t="shared" si="76"/>
        <v>449.48059750000004</v>
      </c>
      <c r="N96" s="11">
        <f t="shared" ref="N96:N102" si="80">SUM(K96:M96)</f>
        <v>1526.7785828399997</v>
      </c>
      <c r="O96" s="11">
        <f t="shared" si="76"/>
        <v>574.75619558000017</v>
      </c>
      <c r="P96" s="11">
        <f t="shared" si="76"/>
        <v>531.4978877100001</v>
      </c>
      <c r="Q96" s="11">
        <f t="shared" si="76"/>
        <v>544.64989362899996</v>
      </c>
      <c r="R96" s="11">
        <f t="shared" ref="R96:R102" si="81">SUM(O96:Q96)</f>
        <v>1650.9039769190003</v>
      </c>
      <c r="S96" s="11">
        <f t="shared" ref="S96:S102" si="82">+N96+R96</f>
        <v>3177.682559759</v>
      </c>
      <c r="T96" s="11">
        <f t="shared" ref="T96:T102" si="83">+J96+S96</f>
        <v>6222.3070573490004</v>
      </c>
      <c r="U96" s="11"/>
      <c r="V96" s="11"/>
    </row>
    <row r="97" spans="1:22" ht="15" customHeight="1" x14ac:dyDescent="0.3">
      <c r="A97" s="12" t="s">
        <v>101</v>
      </c>
      <c r="B97" s="8">
        <v>39.834631080000001</v>
      </c>
      <c r="C97" s="8">
        <v>26.167090330000004</v>
      </c>
      <c r="D97" s="8">
        <v>28.766027970000007</v>
      </c>
      <c r="E97" s="8">
        <f t="shared" si="77"/>
        <v>94.767749380000012</v>
      </c>
      <c r="F97" s="8">
        <v>44.299147890000008</v>
      </c>
      <c r="G97" s="8">
        <v>33.199182620000002</v>
      </c>
      <c r="H97" s="8">
        <v>36.183175130000002</v>
      </c>
      <c r="I97" s="8">
        <f t="shared" si="78"/>
        <v>113.68150564000001</v>
      </c>
      <c r="J97" s="8">
        <f t="shared" si="79"/>
        <v>208.44925502000001</v>
      </c>
      <c r="K97" s="8">
        <v>37.009498990000004</v>
      </c>
      <c r="L97" s="8">
        <v>39.171317999999992</v>
      </c>
      <c r="M97" s="8">
        <v>34.202965619999993</v>
      </c>
      <c r="N97" s="8">
        <f t="shared" si="80"/>
        <v>110.38378261</v>
      </c>
      <c r="O97" s="8">
        <v>48.405168259999996</v>
      </c>
      <c r="P97" s="8">
        <v>41.319740340000003</v>
      </c>
      <c r="Q97" s="8">
        <v>63.289278119999985</v>
      </c>
      <c r="R97" s="8">
        <f t="shared" si="81"/>
        <v>153.01418671999997</v>
      </c>
      <c r="S97" s="8">
        <f t="shared" si="82"/>
        <v>263.39796932999997</v>
      </c>
      <c r="T97" s="8">
        <f t="shared" si="83"/>
        <v>471.84722434999998</v>
      </c>
      <c r="U97" s="8"/>
      <c r="V97" s="8"/>
    </row>
    <row r="98" spans="1:22" ht="15" customHeight="1" x14ac:dyDescent="0.3">
      <c r="A98" s="12" t="s">
        <v>102</v>
      </c>
      <c r="B98" s="8">
        <v>110.37967478999997</v>
      </c>
      <c r="C98" s="8">
        <v>72.370411520000005</v>
      </c>
      <c r="D98" s="8">
        <v>86.519945919999984</v>
      </c>
      <c r="E98" s="8">
        <f t="shared" si="77"/>
        <v>269.27003222999997</v>
      </c>
      <c r="F98" s="8">
        <v>194.35500643000003</v>
      </c>
      <c r="G98" s="8">
        <v>99.59980276999994</v>
      </c>
      <c r="H98" s="8">
        <v>91.711193929999979</v>
      </c>
      <c r="I98" s="8">
        <f t="shared" si="78"/>
        <v>385.66600312999998</v>
      </c>
      <c r="J98" s="8">
        <f t="shared" si="79"/>
        <v>654.93603536000001</v>
      </c>
      <c r="K98" s="8">
        <v>126.86204405999999</v>
      </c>
      <c r="L98" s="8">
        <v>124.71216727000001</v>
      </c>
      <c r="M98" s="8">
        <v>88.739727379999977</v>
      </c>
      <c r="N98" s="8">
        <f t="shared" si="80"/>
        <v>340.31393871</v>
      </c>
      <c r="O98" s="8">
        <v>122.80363163000003</v>
      </c>
      <c r="P98" s="8">
        <v>126.21790614000004</v>
      </c>
      <c r="Q98" s="8">
        <v>108.1618758259999</v>
      </c>
      <c r="R98" s="8">
        <f t="shared" si="81"/>
        <v>357.18341359599998</v>
      </c>
      <c r="S98" s="8">
        <f t="shared" si="82"/>
        <v>697.49735230600004</v>
      </c>
      <c r="T98" s="8">
        <f t="shared" si="83"/>
        <v>1352.433387666</v>
      </c>
      <c r="U98" s="8"/>
      <c r="V98" s="8"/>
    </row>
    <row r="99" spans="1:22" ht="15" customHeight="1" x14ac:dyDescent="0.3">
      <c r="A99" s="12" t="s">
        <v>103</v>
      </c>
      <c r="B99" s="8">
        <v>54.925603840000008</v>
      </c>
      <c r="C99" s="8">
        <v>43.404201849999993</v>
      </c>
      <c r="D99" s="8">
        <v>30.505890549999993</v>
      </c>
      <c r="E99" s="8">
        <f t="shared" si="77"/>
        <v>128.83569624</v>
      </c>
      <c r="F99" s="8">
        <v>51.903454939999996</v>
      </c>
      <c r="G99" s="8">
        <v>44.493501489999986</v>
      </c>
      <c r="H99" s="8">
        <v>46.117173610000002</v>
      </c>
      <c r="I99" s="8">
        <f t="shared" si="78"/>
        <v>142.51413004</v>
      </c>
      <c r="J99" s="8">
        <f t="shared" si="79"/>
        <v>271.34982628</v>
      </c>
      <c r="K99" s="8">
        <v>48.679170070000012</v>
      </c>
      <c r="L99" s="8">
        <v>42.91189958999999</v>
      </c>
      <c r="M99" s="8">
        <v>37.629924009999989</v>
      </c>
      <c r="N99" s="8">
        <f t="shared" si="80"/>
        <v>129.22099366999998</v>
      </c>
      <c r="O99" s="8">
        <v>49.219791150000006</v>
      </c>
      <c r="P99" s="8">
        <v>44.264095220000016</v>
      </c>
      <c r="Q99" s="8">
        <v>38.996905349999992</v>
      </c>
      <c r="R99" s="8">
        <f t="shared" si="81"/>
        <v>132.48079172000001</v>
      </c>
      <c r="S99" s="8">
        <f t="shared" si="82"/>
        <v>261.70178539</v>
      </c>
      <c r="T99" s="8">
        <f t="shared" si="83"/>
        <v>533.05161167000006</v>
      </c>
      <c r="U99" s="8"/>
      <c r="V99" s="8"/>
    </row>
    <row r="100" spans="1:22" ht="15" customHeight="1" x14ac:dyDescent="0.3">
      <c r="A100" s="12" t="s">
        <v>104</v>
      </c>
      <c r="B100" s="8">
        <v>88.304656150000042</v>
      </c>
      <c r="C100" s="8">
        <v>53.480162419999978</v>
      </c>
      <c r="D100" s="8">
        <v>49.338527079999992</v>
      </c>
      <c r="E100" s="8">
        <f t="shared" si="77"/>
        <v>191.12334565000003</v>
      </c>
      <c r="F100" s="8">
        <v>67.297189880000005</v>
      </c>
      <c r="G100" s="8">
        <v>84.417694289999986</v>
      </c>
      <c r="H100" s="8">
        <v>61.33939731000001</v>
      </c>
      <c r="I100" s="8">
        <f t="shared" si="78"/>
        <v>213.05428148000001</v>
      </c>
      <c r="J100" s="8">
        <f t="shared" si="79"/>
        <v>404.17762713000002</v>
      </c>
      <c r="K100" s="8">
        <v>66.927482150000003</v>
      </c>
      <c r="L100" s="8">
        <v>64.610080989999972</v>
      </c>
      <c r="M100" s="8">
        <v>67.502377030000048</v>
      </c>
      <c r="N100" s="8">
        <f t="shared" si="80"/>
        <v>199.03994017000002</v>
      </c>
      <c r="O100" s="8">
        <v>71.27071316</v>
      </c>
      <c r="P100" s="8">
        <v>66.298879720000002</v>
      </c>
      <c r="Q100" s="8">
        <v>66.431045206600004</v>
      </c>
      <c r="R100" s="8">
        <f t="shared" si="81"/>
        <v>204.00063808660002</v>
      </c>
      <c r="S100" s="8">
        <f t="shared" si="82"/>
        <v>403.04057825660004</v>
      </c>
      <c r="T100" s="8">
        <f t="shared" si="83"/>
        <v>807.21820538660006</v>
      </c>
      <c r="U100" s="8"/>
      <c r="V100" s="8"/>
    </row>
    <row r="101" spans="1:22" ht="15" customHeight="1" x14ac:dyDescent="0.3">
      <c r="A101" s="12" t="s">
        <v>105</v>
      </c>
      <c r="B101" s="8">
        <v>59.330244719999996</v>
      </c>
      <c r="C101" s="8">
        <v>31.582949200000002</v>
      </c>
      <c r="D101" s="8">
        <v>30.195902659999998</v>
      </c>
      <c r="E101" s="8">
        <f t="shared" si="77"/>
        <v>121.10909658</v>
      </c>
      <c r="F101" s="8">
        <v>50.87076582000001</v>
      </c>
      <c r="G101" s="8">
        <v>32.305268359999999</v>
      </c>
      <c r="H101" s="8">
        <v>38.302967049999999</v>
      </c>
      <c r="I101" s="8">
        <f t="shared" si="78"/>
        <v>121.47900123000002</v>
      </c>
      <c r="J101" s="8">
        <f t="shared" si="79"/>
        <v>242.58809781000002</v>
      </c>
      <c r="K101" s="8">
        <v>41.189184170000011</v>
      </c>
      <c r="L101" s="8">
        <v>34.369431089999999</v>
      </c>
      <c r="M101" s="8">
        <v>38.912554879999995</v>
      </c>
      <c r="N101" s="8">
        <f t="shared" si="80"/>
        <v>114.47117014</v>
      </c>
      <c r="O101" s="8">
        <v>39.916882990000026</v>
      </c>
      <c r="P101" s="8">
        <v>43.063178450000009</v>
      </c>
      <c r="Q101" s="8">
        <v>38.032250570800002</v>
      </c>
      <c r="R101" s="8">
        <f t="shared" si="81"/>
        <v>121.01231201080004</v>
      </c>
      <c r="S101" s="8">
        <f t="shared" si="82"/>
        <v>235.48348215080006</v>
      </c>
      <c r="T101" s="8">
        <f t="shared" si="83"/>
        <v>478.07157996080008</v>
      </c>
      <c r="U101" s="8"/>
      <c r="V101" s="8"/>
    </row>
    <row r="102" spans="1:22" ht="18" customHeight="1" x14ac:dyDescent="0.3">
      <c r="A102" s="12" t="s">
        <v>106</v>
      </c>
      <c r="B102" s="8">
        <v>280.04955085</v>
      </c>
      <c r="C102" s="8">
        <v>153.1055091100001</v>
      </c>
      <c r="D102" s="8">
        <v>177.30815259999997</v>
      </c>
      <c r="E102" s="8">
        <f t="shared" si="77"/>
        <v>610.4632125600001</v>
      </c>
      <c r="F102" s="8">
        <v>237.50895955999999</v>
      </c>
      <c r="G102" s="8">
        <v>199.35536756000013</v>
      </c>
      <c r="H102" s="8">
        <v>215.79611630999995</v>
      </c>
      <c r="I102" s="8">
        <f t="shared" si="78"/>
        <v>652.66044342999999</v>
      </c>
      <c r="J102" s="8">
        <f t="shared" si="79"/>
        <v>1263.1236559900001</v>
      </c>
      <c r="K102" s="8">
        <v>237.70507629999994</v>
      </c>
      <c r="L102" s="8">
        <v>213.15063266000001</v>
      </c>
      <c r="M102" s="8">
        <v>182.49304858000005</v>
      </c>
      <c r="N102" s="8">
        <f t="shared" si="80"/>
        <v>633.34875753999995</v>
      </c>
      <c r="O102" s="8">
        <v>243.14000839000011</v>
      </c>
      <c r="P102" s="8">
        <v>210.33408784000002</v>
      </c>
      <c r="Q102" s="8">
        <v>229.73853855560012</v>
      </c>
      <c r="R102" s="8">
        <f t="shared" si="81"/>
        <v>683.21263478560024</v>
      </c>
      <c r="S102" s="8">
        <f t="shared" si="82"/>
        <v>1316.5613923256001</v>
      </c>
      <c r="T102" s="8">
        <f t="shared" si="83"/>
        <v>2579.6850483156004</v>
      </c>
      <c r="U102" s="8"/>
      <c r="V102" s="8"/>
    </row>
    <row r="103" spans="1:22" s="10" customFormat="1" ht="15" customHeight="1" x14ac:dyDescent="0.3">
      <c r="A103" s="12"/>
      <c r="B103" s="11"/>
      <c r="C103" s="11"/>
      <c r="D103" s="11"/>
      <c r="E103" s="11"/>
      <c r="F103" s="11"/>
      <c r="G103" s="11"/>
      <c r="H103" s="11"/>
      <c r="I103" s="11"/>
      <c r="J103" s="11"/>
      <c r="K103" s="11"/>
      <c r="L103" s="11"/>
      <c r="M103" s="11"/>
      <c r="N103" s="11"/>
      <c r="O103" s="11"/>
      <c r="P103" s="11"/>
      <c r="Q103" s="11"/>
      <c r="R103" s="11"/>
      <c r="S103" s="11"/>
      <c r="T103" s="11"/>
      <c r="U103" s="11"/>
      <c r="V103" s="11"/>
    </row>
    <row r="104" spans="1:22" s="10" customFormat="1" ht="15" customHeight="1" x14ac:dyDescent="0.25">
      <c r="A104" s="13" t="s">
        <v>107</v>
      </c>
      <c r="B104" s="11">
        <f>SUM(B105:B109)</f>
        <v>564.72793145000003</v>
      </c>
      <c r="C104" s="11">
        <f t="shared" ref="C104:Q104" si="84">SUM(C105:C109)</f>
        <v>284.27405312999997</v>
      </c>
      <c r="D104" s="11">
        <f t="shared" si="84"/>
        <v>296.91216034000001</v>
      </c>
      <c r="E104" s="11">
        <f t="shared" ref="E104:E107" si="85">SUM(B104:D104)</f>
        <v>1145.9141449200001</v>
      </c>
      <c r="F104" s="11">
        <f t="shared" si="84"/>
        <v>498.58272302</v>
      </c>
      <c r="G104" s="11">
        <f t="shared" si="84"/>
        <v>372.03446182000005</v>
      </c>
      <c r="H104" s="11">
        <f t="shared" si="84"/>
        <v>306.28460348999994</v>
      </c>
      <c r="I104" s="11">
        <f t="shared" ref="I104:I107" si="86">SUM(F104:H104)</f>
        <v>1176.90178833</v>
      </c>
      <c r="J104" s="11">
        <f t="shared" ref="J104:J107" si="87">+E104+I104</f>
        <v>2322.8159332499999</v>
      </c>
      <c r="K104" s="11">
        <f t="shared" si="84"/>
        <v>429.85978871999987</v>
      </c>
      <c r="L104" s="11">
        <f t="shared" si="84"/>
        <v>394.42445315999998</v>
      </c>
      <c r="M104" s="11">
        <f t="shared" si="84"/>
        <v>331.15504495999994</v>
      </c>
      <c r="N104" s="11">
        <f t="shared" ref="N104:N107" si="88">SUM(K104:M104)</f>
        <v>1155.4392868399998</v>
      </c>
      <c r="O104" s="11">
        <f t="shared" si="84"/>
        <v>417.85588848999993</v>
      </c>
      <c r="P104" s="11">
        <f t="shared" si="84"/>
        <v>439.8101687100002</v>
      </c>
      <c r="Q104" s="11">
        <f t="shared" si="84"/>
        <v>389.42277436779989</v>
      </c>
      <c r="R104" s="11">
        <f t="shared" ref="R104:R107" si="89">SUM(O104:Q104)</f>
        <v>1247.0888315677998</v>
      </c>
      <c r="S104" s="11">
        <f t="shared" ref="S104:S107" si="90">+N104+R104</f>
        <v>2402.5281184077994</v>
      </c>
      <c r="T104" s="11">
        <f t="shared" ref="T104:T107" si="91">+J104+S104</f>
        <v>4725.3440516577994</v>
      </c>
      <c r="U104" s="11"/>
      <c r="V104" s="11"/>
    </row>
    <row r="105" spans="1:22" ht="15" customHeight="1" x14ac:dyDescent="0.3">
      <c r="A105" s="12" t="s">
        <v>108</v>
      </c>
      <c r="B105" s="8">
        <v>161.88952755000005</v>
      </c>
      <c r="C105" s="8">
        <v>76.350929239999985</v>
      </c>
      <c r="D105" s="8">
        <v>80.678878349999991</v>
      </c>
      <c r="E105" s="8">
        <f t="shared" si="85"/>
        <v>318.91933514000004</v>
      </c>
      <c r="F105" s="8">
        <v>134.38712237000007</v>
      </c>
      <c r="G105" s="8">
        <v>101.84066277000001</v>
      </c>
      <c r="H105" s="8">
        <v>76.858018110000003</v>
      </c>
      <c r="I105" s="8">
        <f t="shared" si="86"/>
        <v>313.08580325000008</v>
      </c>
      <c r="J105" s="8">
        <f t="shared" si="87"/>
        <v>632.00513839000018</v>
      </c>
      <c r="K105" s="8">
        <v>130.15008573999998</v>
      </c>
      <c r="L105" s="8">
        <v>99.052580320000004</v>
      </c>
      <c r="M105" s="8">
        <v>79.596353090000022</v>
      </c>
      <c r="N105" s="8">
        <f t="shared" si="88"/>
        <v>308.79901914999999</v>
      </c>
      <c r="O105" s="8">
        <v>128.25089306999996</v>
      </c>
      <c r="P105" s="8">
        <v>132.35914081000004</v>
      </c>
      <c r="Q105" s="8">
        <v>79.464209695999983</v>
      </c>
      <c r="R105" s="8">
        <f t="shared" si="89"/>
        <v>340.07424357599996</v>
      </c>
      <c r="S105" s="8">
        <f t="shared" si="90"/>
        <v>648.87326272599989</v>
      </c>
      <c r="T105" s="8">
        <f t="shared" si="91"/>
        <v>1280.8784011160001</v>
      </c>
      <c r="U105" s="8"/>
      <c r="V105" s="8"/>
    </row>
    <row r="106" spans="1:22" ht="15" customHeight="1" x14ac:dyDescent="0.3">
      <c r="A106" s="12" t="s">
        <v>109</v>
      </c>
      <c r="B106" s="8">
        <v>121.24557920000002</v>
      </c>
      <c r="C106" s="8">
        <v>60.368581909999996</v>
      </c>
      <c r="D106" s="8">
        <v>57.394186029999986</v>
      </c>
      <c r="E106" s="8">
        <f t="shared" si="85"/>
        <v>239.00834714000001</v>
      </c>
      <c r="F106" s="8">
        <v>95.805815330000001</v>
      </c>
      <c r="G106" s="8">
        <v>77.390005699999989</v>
      </c>
      <c r="H106" s="8">
        <v>74.237126389999972</v>
      </c>
      <c r="I106" s="8">
        <f t="shared" si="86"/>
        <v>247.43294741999995</v>
      </c>
      <c r="J106" s="8">
        <f t="shared" si="87"/>
        <v>486.44129455999996</v>
      </c>
      <c r="K106" s="8">
        <v>106.06464166999999</v>
      </c>
      <c r="L106" s="8">
        <v>87.486979189999971</v>
      </c>
      <c r="M106" s="8">
        <v>74.306609819999977</v>
      </c>
      <c r="N106" s="8">
        <f t="shared" si="88"/>
        <v>267.85823067999991</v>
      </c>
      <c r="O106" s="8">
        <v>71.869707079999969</v>
      </c>
      <c r="P106" s="8">
        <v>84.892439610000025</v>
      </c>
      <c r="Q106" s="8">
        <v>80.806774951099996</v>
      </c>
      <c r="R106" s="8">
        <f t="shared" si="89"/>
        <v>237.56892164110002</v>
      </c>
      <c r="S106" s="8">
        <f t="shared" si="90"/>
        <v>505.42715232109992</v>
      </c>
      <c r="T106" s="8">
        <f t="shared" si="91"/>
        <v>991.86844688109989</v>
      </c>
      <c r="U106" s="8"/>
      <c r="V106" s="8"/>
    </row>
    <row r="107" spans="1:22" ht="15" customHeight="1" x14ac:dyDescent="0.3">
      <c r="A107" s="12" t="s">
        <v>110</v>
      </c>
      <c r="B107" s="8">
        <v>55.876087269999999</v>
      </c>
      <c r="C107" s="8">
        <v>25.280605410000003</v>
      </c>
      <c r="D107" s="8">
        <v>21.064747509999997</v>
      </c>
      <c r="E107" s="8">
        <f t="shared" si="85"/>
        <v>102.22144019000001</v>
      </c>
      <c r="F107" s="8">
        <v>39.270973620000007</v>
      </c>
      <c r="G107" s="8">
        <v>30.471958140000002</v>
      </c>
      <c r="H107" s="8">
        <v>27.87881204</v>
      </c>
      <c r="I107" s="8">
        <f t="shared" si="86"/>
        <v>97.621743800000004</v>
      </c>
      <c r="J107" s="8">
        <f t="shared" si="87"/>
        <v>199.84318399</v>
      </c>
      <c r="K107" s="8">
        <v>30.750566500000001</v>
      </c>
      <c r="L107" s="8">
        <v>30.337502859999997</v>
      </c>
      <c r="M107" s="8">
        <v>31.84894603</v>
      </c>
      <c r="N107" s="8">
        <f t="shared" si="88"/>
        <v>92.937015389999999</v>
      </c>
      <c r="O107" s="8">
        <v>31.679540859999996</v>
      </c>
      <c r="P107" s="8">
        <v>30.360855409999996</v>
      </c>
      <c r="Q107" s="8">
        <v>54.093540694699996</v>
      </c>
      <c r="R107" s="8">
        <f t="shared" si="89"/>
        <v>116.13393696469998</v>
      </c>
      <c r="S107" s="8">
        <f t="shared" si="90"/>
        <v>209.07095235469998</v>
      </c>
      <c r="T107" s="8">
        <f t="shared" si="91"/>
        <v>408.91413634469995</v>
      </c>
      <c r="U107" s="8"/>
      <c r="V107" s="8"/>
    </row>
    <row r="108" spans="1:22" ht="18" customHeight="1" x14ac:dyDescent="0.3">
      <c r="A108" s="12" t="s">
        <v>111</v>
      </c>
      <c r="B108" s="8"/>
      <c r="C108" s="8"/>
      <c r="D108" s="8"/>
      <c r="E108" s="8"/>
      <c r="F108" s="8"/>
      <c r="G108" s="8"/>
      <c r="H108" s="8"/>
      <c r="I108" s="8"/>
      <c r="J108" s="8"/>
      <c r="K108" s="8"/>
      <c r="L108" s="8"/>
      <c r="M108" s="8"/>
      <c r="N108" s="8"/>
      <c r="O108" s="8"/>
      <c r="P108" s="8"/>
      <c r="Q108" s="8"/>
      <c r="R108" s="8"/>
      <c r="S108" s="8"/>
      <c r="T108" s="8"/>
      <c r="U108" s="8"/>
      <c r="V108" s="8"/>
    </row>
    <row r="109" spans="1:22" ht="15" customHeight="1" x14ac:dyDescent="0.3">
      <c r="A109" s="12" t="s">
        <v>112</v>
      </c>
      <c r="B109" s="8">
        <v>225.71673742999997</v>
      </c>
      <c r="C109" s="8">
        <v>122.27393657000002</v>
      </c>
      <c r="D109" s="8">
        <v>137.77434845000005</v>
      </c>
      <c r="E109" s="8">
        <f>SUM(B109:D109)</f>
        <v>485.76502245000006</v>
      </c>
      <c r="F109" s="8">
        <v>229.11881169999995</v>
      </c>
      <c r="G109" s="8">
        <v>162.33183521000007</v>
      </c>
      <c r="H109" s="8">
        <v>127.31064694999996</v>
      </c>
      <c r="I109" s="8">
        <f>SUM(F109:H109)</f>
        <v>518.76129386000002</v>
      </c>
      <c r="J109" s="8">
        <f t="shared" ref="J109" si="92">+E109+I109</f>
        <v>1004.5263163100001</v>
      </c>
      <c r="K109" s="8">
        <v>162.89449480999994</v>
      </c>
      <c r="L109" s="8">
        <v>177.54739078999998</v>
      </c>
      <c r="M109" s="8">
        <v>145.40313601999998</v>
      </c>
      <c r="N109" s="8">
        <f>SUM(K109:M109)</f>
        <v>485.8450216199999</v>
      </c>
      <c r="O109" s="8">
        <v>186.05574748000001</v>
      </c>
      <c r="P109" s="8">
        <v>192.1977328800001</v>
      </c>
      <c r="Q109" s="8">
        <v>175.05824902599994</v>
      </c>
      <c r="R109" s="8">
        <f>SUM(O109:Q109)</f>
        <v>553.31172938600002</v>
      </c>
      <c r="S109" s="8">
        <f t="shared" ref="S109" si="93">+N109+R109</f>
        <v>1039.1567510059999</v>
      </c>
      <c r="T109" s="8">
        <f>+J109+S109</f>
        <v>2043.683067316</v>
      </c>
      <c r="U109" s="8"/>
      <c r="V109" s="8"/>
    </row>
    <row r="110" spans="1:22" s="10" customFormat="1" ht="15" customHeight="1" x14ac:dyDescent="0.3">
      <c r="A110" s="12"/>
      <c r="B110" s="11"/>
      <c r="C110" s="11"/>
      <c r="D110" s="11"/>
      <c r="E110" s="11"/>
      <c r="F110" s="11"/>
      <c r="G110" s="11"/>
      <c r="H110" s="11"/>
      <c r="I110" s="11"/>
      <c r="J110" s="11"/>
      <c r="K110" s="11"/>
      <c r="L110" s="11"/>
      <c r="M110" s="11"/>
      <c r="N110" s="11"/>
      <c r="O110" s="11"/>
      <c r="P110" s="11"/>
      <c r="Q110" s="11"/>
      <c r="R110" s="11"/>
      <c r="S110" s="11"/>
      <c r="T110" s="11"/>
      <c r="U110" s="11"/>
      <c r="V110" s="11"/>
    </row>
    <row r="111" spans="1:22" s="10" customFormat="1" ht="15" customHeight="1" x14ac:dyDescent="0.25">
      <c r="A111" s="13" t="s">
        <v>113</v>
      </c>
      <c r="B111" s="11">
        <f>SUM(B112:B116)</f>
        <v>982.19433438999965</v>
      </c>
      <c r="C111" s="11">
        <f t="shared" ref="C111:Q111" si="94">SUM(C112:C116)</f>
        <v>604.41454267000017</v>
      </c>
      <c r="D111" s="11">
        <f t="shared" si="94"/>
        <v>600.70039709999992</v>
      </c>
      <c r="E111" s="11">
        <f t="shared" ref="E111:E116" si="95">SUM(B111:D111)</f>
        <v>2187.3092741599999</v>
      </c>
      <c r="F111" s="11">
        <f t="shared" si="94"/>
        <v>1063.3178863799999</v>
      </c>
      <c r="G111" s="11">
        <f t="shared" si="94"/>
        <v>859.9305130299997</v>
      </c>
      <c r="H111" s="11">
        <f t="shared" si="94"/>
        <v>634.07543465000003</v>
      </c>
      <c r="I111" s="11">
        <f t="shared" ref="I111:I116" si="96">SUM(F111:H111)</f>
        <v>2557.3238340599996</v>
      </c>
      <c r="J111" s="11">
        <f t="shared" ref="J111:J116" si="97">+E111+I111</f>
        <v>4744.6331082199995</v>
      </c>
      <c r="K111" s="11">
        <f t="shared" si="94"/>
        <v>710.66232564999996</v>
      </c>
      <c r="L111" s="11">
        <f t="shared" si="94"/>
        <v>769.29837579999992</v>
      </c>
      <c r="M111" s="11">
        <f t="shared" si="94"/>
        <v>601.52950720000001</v>
      </c>
      <c r="N111" s="11">
        <f t="shared" ref="N111:N116" si="98">SUM(K111:M111)</f>
        <v>2081.4902086499997</v>
      </c>
      <c r="O111" s="11">
        <f t="shared" si="94"/>
        <v>762.03209950999997</v>
      </c>
      <c r="P111" s="11">
        <f t="shared" si="94"/>
        <v>846.90275251999958</v>
      </c>
      <c r="Q111" s="11">
        <f t="shared" si="94"/>
        <v>779.42110441270017</v>
      </c>
      <c r="R111" s="11">
        <f t="shared" ref="R111:R116" si="99">SUM(O111:Q111)</f>
        <v>2388.3559564426996</v>
      </c>
      <c r="S111" s="11">
        <f t="shared" ref="S111:S116" si="100">+N111+R111</f>
        <v>4469.8461650926993</v>
      </c>
      <c r="T111" s="11">
        <f t="shared" ref="T111:T116" si="101">+J111+S111</f>
        <v>9214.4792733126997</v>
      </c>
      <c r="U111" s="11"/>
      <c r="V111" s="11"/>
    </row>
    <row r="112" spans="1:22" ht="15" customHeight="1" x14ac:dyDescent="0.3">
      <c r="A112" s="12" t="s">
        <v>114</v>
      </c>
      <c r="B112" s="8">
        <v>198.60116047999998</v>
      </c>
      <c r="C112" s="8">
        <v>110.07743936000001</v>
      </c>
      <c r="D112" s="8">
        <v>120.59429942000001</v>
      </c>
      <c r="E112" s="8">
        <f t="shared" si="95"/>
        <v>429.27289926000003</v>
      </c>
      <c r="F112" s="8">
        <v>184.03223073000001</v>
      </c>
      <c r="G112" s="8">
        <v>152.67435876999997</v>
      </c>
      <c r="H112" s="8">
        <v>117.49792462000008</v>
      </c>
      <c r="I112" s="8">
        <f t="shared" si="96"/>
        <v>454.20451412</v>
      </c>
      <c r="J112" s="8">
        <f t="shared" si="97"/>
        <v>883.47741338000003</v>
      </c>
      <c r="K112" s="8">
        <v>135.28912982</v>
      </c>
      <c r="L112" s="8">
        <v>132.78492759999992</v>
      </c>
      <c r="M112" s="8">
        <v>124.74360024000001</v>
      </c>
      <c r="N112" s="8">
        <f t="shared" si="98"/>
        <v>392.8176576599999</v>
      </c>
      <c r="O112" s="8">
        <v>141.48715875999991</v>
      </c>
      <c r="P112" s="8">
        <v>168.69911723999985</v>
      </c>
      <c r="Q112" s="8">
        <v>128.11631380999995</v>
      </c>
      <c r="R112" s="8">
        <f t="shared" si="99"/>
        <v>438.30258980999974</v>
      </c>
      <c r="S112" s="8">
        <f t="shared" si="100"/>
        <v>831.12024746999964</v>
      </c>
      <c r="T112" s="8">
        <f t="shared" si="101"/>
        <v>1714.5976608499996</v>
      </c>
      <c r="U112" s="8"/>
      <c r="V112" s="8"/>
    </row>
    <row r="113" spans="1:22" ht="15" customHeight="1" x14ac:dyDescent="0.3">
      <c r="A113" s="12" t="s">
        <v>115</v>
      </c>
      <c r="B113" s="8">
        <v>125.54614953999999</v>
      </c>
      <c r="C113" s="8">
        <v>98.98124588000006</v>
      </c>
      <c r="D113" s="8">
        <v>85.436531329999994</v>
      </c>
      <c r="E113" s="8">
        <f t="shared" si="95"/>
        <v>309.96392675000004</v>
      </c>
      <c r="F113" s="8">
        <v>161.01807109999996</v>
      </c>
      <c r="G113" s="8">
        <v>123.08757780000005</v>
      </c>
      <c r="H113" s="8">
        <v>87.464132640000017</v>
      </c>
      <c r="I113" s="8">
        <f t="shared" si="96"/>
        <v>371.56978154000001</v>
      </c>
      <c r="J113" s="8">
        <f t="shared" si="97"/>
        <v>681.53370829000005</v>
      </c>
      <c r="K113" s="8">
        <v>105.05724901000001</v>
      </c>
      <c r="L113" s="8">
        <v>109.18245485999996</v>
      </c>
      <c r="M113" s="8">
        <v>80.509600369999987</v>
      </c>
      <c r="N113" s="8">
        <f t="shared" si="98"/>
        <v>294.74930423999996</v>
      </c>
      <c r="O113" s="8">
        <v>120.08967990000002</v>
      </c>
      <c r="P113" s="8">
        <v>108.28532017000006</v>
      </c>
      <c r="Q113" s="8">
        <v>100.71878320999998</v>
      </c>
      <c r="R113" s="8">
        <f t="shared" si="99"/>
        <v>329.09378328000008</v>
      </c>
      <c r="S113" s="8">
        <f t="shared" si="100"/>
        <v>623.84308752000004</v>
      </c>
      <c r="T113" s="8">
        <f t="shared" si="101"/>
        <v>1305.3767958100002</v>
      </c>
      <c r="U113" s="8"/>
      <c r="V113" s="8"/>
    </row>
    <row r="114" spans="1:22" ht="15" customHeight="1" x14ac:dyDescent="0.3">
      <c r="A114" s="12" t="s">
        <v>116</v>
      </c>
      <c r="B114" s="8">
        <v>98.07376122999996</v>
      </c>
      <c r="C114" s="8">
        <v>64.050817230000007</v>
      </c>
      <c r="D114" s="8">
        <v>59.040403440000013</v>
      </c>
      <c r="E114" s="8">
        <f t="shared" si="95"/>
        <v>221.16498189999996</v>
      </c>
      <c r="F114" s="8">
        <v>88.061400880000036</v>
      </c>
      <c r="G114" s="8">
        <v>63.908176930000018</v>
      </c>
      <c r="H114" s="8">
        <v>62.031628960000006</v>
      </c>
      <c r="I114" s="8">
        <f t="shared" si="96"/>
        <v>214.00120677000007</v>
      </c>
      <c r="J114" s="8">
        <f t="shared" si="97"/>
        <v>435.16618867</v>
      </c>
      <c r="K114" s="8">
        <v>72.845084609999986</v>
      </c>
      <c r="L114" s="8">
        <v>76.205443559999964</v>
      </c>
      <c r="M114" s="8">
        <v>60.321864930000004</v>
      </c>
      <c r="N114" s="8">
        <f t="shared" si="98"/>
        <v>209.37239309999995</v>
      </c>
      <c r="O114" s="8">
        <v>89.324119209999978</v>
      </c>
      <c r="P114" s="8">
        <v>86.212067859999891</v>
      </c>
      <c r="Q114" s="8">
        <v>91.674477682700044</v>
      </c>
      <c r="R114" s="8">
        <f t="shared" si="99"/>
        <v>267.21066475269993</v>
      </c>
      <c r="S114" s="8">
        <f t="shared" si="100"/>
        <v>476.58305785269988</v>
      </c>
      <c r="T114" s="8">
        <f t="shared" si="101"/>
        <v>911.74924652269988</v>
      </c>
      <c r="U114" s="8"/>
      <c r="V114" s="8"/>
    </row>
    <row r="115" spans="1:22" ht="18" customHeight="1" x14ac:dyDescent="0.3">
      <c r="A115" s="12" t="s">
        <v>117</v>
      </c>
      <c r="B115" s="8">
        <v>42.375601180000004</v>
      </c>
      <c r="C115" s="8">
        <v>27.764797190000007</v>
      </c>
      <c r="D115" s="8">
        <v>21.741560449999998</v>
      </c>
      <c r="E115" s="8">
        <f t="shared" si="95"/>
        <v>91.881958820000008</v>
      </c>
      <c r="F115" s="8">
        <v>48.604562109999996</v>
      </c>
      <c r="G115" s="8">
        <v>29.989773660000008</v>
      </c>
      <c r="H115" s="8">
        <v>28.166031559999993</v>
      </c>
      <c r="I115" s="8">
        <f t="shared" si="96"/>
        <v>106.76036732999999</v>
      </c>
      <c r="J115" s="8">
        <f t="shared" si="97"/>
        <v>198.64232615</v>
      </c>
      <c r="K115" s="8">
        <v>30.955238239999996</v>
      </c>
      <c r="L115" s="8">
        <v>30.618827700000011</v>
      </c>
      <c r="M115" s="8">
        <v>28.122412470000011</v>
      </c>
      <c r="N115" s="8">
        <f t="shared" si="98"/>
        <v>89.696478410000026</v>
      </c>
      <c r="O115" s="8">
        <v>34.176958789999993</v>
      </c>
      <c r="P115" s="8">
        <v>31.22297420999999</v>
      </c>
      <c r="Q115" s="8">
        <v>32.606906700000003</v>
      </c>
      <c r="R115" s="8">
        <f t="shared" si="99"/>
        <v>98.006839699999972</v>
      </c>
      <c r="S115" s="8">
        <f t="shared" si="100"/>
        <v>187.70331811</v>
      </c>
      <c r="T115" s="8">
        <f t="shared" si="101"/>
        <v>386.34564425999997</v>
      </c>
      <c r="U115" s="8"/>
      <c r="V115" s="8"/>
    </row>
    <row r="116" spans="1:22" ht="18" customHeight="1" x14ac:dyDescent="0.3">
      <c r="A116" s="12" t="s">
        <v>118</v>
      </c>
      <c r="B116" s="8">
        <v>517.59766195999975</v>
      </c>
      <c r="C116" s="8">
        <v>303.54024301000004</v>
      </c>
      <c r="D116" s="8">
        <v>313.88760245999993</v>
      </c>
      <c r="E116" s="8">
        <f t="shared" si="95"/>
        <v>1135.0255074299998</v>
      </c>
      <c r="F116" s="8">
        <v>581.6016215599999</v>
      </c>
      <c r="G116" s="8">
        <v>490.27062586999961</v>
      </c>
      <c r="H116" s="8">
        <v>338.91571686999998</v>
      </c>
      <c r="I116" s="8">
        <f t="shared" si="96"/>
        <v>1410.7879642999997</v>
      </c>
      <c r="J116" s="8">
        <f t="shared" si="97"/>
        <v>2545.8134717299995</v>
      </c>
      <c r="K116" s="8">
        <v>366.51562396999992</v>
      </c>
      <c r="L116" s="8">
        <v>420.50672208000003</v>
      </c>
      <c r="M116" s="8">
        <v>307.83202919000001</v>
      </c>
      <c r="N116" s="8">
        <f t="shared" si="98"/>
        <v>1094.8543752399999</v>
      </c>
      <c r="O116" s="8">
        <v>376.95418285000005</v>
      </c>
      <c r="P116" s="8">
        <v>452.48327303999974</v>
      </c>
      <c r="Q116" s="8">
        <v>426.30462301000017</v>
      </c>
      <c r="R116" s="8">
        <f t="shared" si="99"/>
        <v>1255.7420789</v>
      </c>
      <c r="S116" s="8">
        <f t="shared" si="100"/>
        <v>2350.5964541399999</v>
      </c>
      <c r="T116" s="8">
        <f t="shared" si="101"/>
        <v>4896.4099258699989</v>
      </c>
      <c r="U116" s="8"/>
      <c r="V116" s="8"/>
    </row>
    <row r="117" spans="1:22" s="10" customFormat="1" ht="15" customHeight="1" x14ac:dyDescent="0.3">
      <c r="A117" s="12"/>
      <c r="B117" s="11"/>
      <c r="C117" s="11"/>
      <c r="D117" s="11"/>
      <c r="E117" s="11"/>
      <c r="F117" s="11"/>
      <c r="G117" s="11"/>
      <c r="H117" s="11"/>
      <c r="I117" s="11"/>
      <c r="J117" s="11"/>
      <c r="K117" s="11"/>
      <c r="L117" s="11"/>
      <c r="M117" s="11"/>
      <c r="N117" s="11"/>
      <c r="O117" s="11"/>
      <c r="P117" s="11"/>
      <c r="Q117" s="11"/>
      <c r="R117" s="11"/>
      <c r="S117" s="11"/>
      <c r="T117" s="11"/>
      <c r="U117" s="11"/>
      <c r="V117" s="11"/>
    </row>
    <row r="118" spans="1:22" s="10" customFormat="1" ht="15" customHeight="1" x14ac:dyDescent="0.25">
      <c r="A118" s="13" t="s">
        <v>119</v>
      </c>
      <c r="B118" s="11">
        <f>SUM(B119:B123)</f>
        <v>2891.6893108199993</v>
      </c>
      <c r="C118" s="11">
        <f t="shared" ref="C118:Q118" si="102">SUM(C119:C123)</f>
        <v>1637.3280427400005</v>
      </c>
      <c r="D118" s="11">
        <f t="shared" si="102"/>
        <v>1860.6725211600005</v>
      </c>
      <c r="E118" s="11">
        <f t="shared" ref="E118:E123" si="103">SUM(B118:D118)</f>
        <v>6389.6898747200003</v>
      </c>
      <c r="F118" s="11">
        <f t="shared" si="102"/>
        <v>3812.6472118699985</v>
      </c>
      <c r="G118" s="11">
        <f t="shared" si="102"/>
        <v>2911.1418256099996</v>
      </c>
      <c r="H118" s="11">
        <f t="shared" si="102"/>
        <v>2219.7724557699994</v>
      </c>
      <c r="I118" s="11">
        <f t="shared" ref="I118:I123" si="104">SUM(F118:H118)</f>
        <v>8943.5614932499975</v>
      </c>
      <c r="J118" s="11">
        <f t="shared" ref="J118:J123" si="105">+E118+I118</f>
        <v>15333.251367969999</v>
      </c>
      <c r="K118" s="11">
        <f t="shared" si="102"/>
        <v>3196.2854533100008</v>
      </c>
      <c r="L118" s="11">
        <f t="shared" si="102"/>
        <v>3292.8906154400011</v>
      </c>
      <c r="M118" s="11">
        <f t="shared" si="102"/>
        <v>2301.23962226</v>
      </c>
      <c r="N118" s="11">
        <f t="shared" ref="N118:N123" si="106">SUM(K118:M118)</f>
        <v>8790.4156910100028</v>
      </c>
      <c r="O118" s="11">
        <f t="shared" si="102"/>
        <v>2659.5507600999999</v>
      </c>
      <c r="P118" s="11">
        <f t="shared" si="102"/>
        <v>3236.7954378299992</v>
      </c>
      <c r="Q118" s="11">
        <f t="shared" si="102"/>
        <v>2827.97251003675</v>
      </c>
      <c r="R118" s="11">
        <f t="shared" ref="R118:R123" si="107">SUM(O118:Q118)</f>
        <v>8724.3187079667496</v>
      </c>
      <c r="S118" s="11">
        <f t="shared" ref="S118:S123" si="108">+N118+R118</f>
        <v>17514.734398976754</v>
      </c>
      <c r="T118" s="11">
        <f t="shared" ref="T118:T123" si="109">+J118+S118</f>
        <v>32847.985766946753</v>
      </c>
      <c r="U118" s="11"/>
      <c r="V118" s="11"/>
    </row>
    <row r="119" spans="1:22" ht="15" customHeight="1" x14ac:dyDescent="0.3">
      <c r="A119" s="12" t="s">
        <v>120</v>
      </c>
      <c r="B119" s="8">
        <v>279.82070252999995</v>
      </c>
      <c r="C119" s="8">
        <v>155.97026700000006</v>
      </c>
      <c r="D119" s="8">
        <v>176.09277868999999</v>
      </c>
      <c r="E119" s="8">
        <f t="shared" si="103"/>
        <v>611.88374821999992</v>
      </c>
      <c r="F119" s="8">
        <v>346.94498031000001</v>
      </c>
      <c r="G119" s="8">
        <v>247.36403712000012</v>
      </c>
      <c r="H119" s="8">
        <v>185.20886205000005</v>
      </c>
      <c r="I119" s="8">
        <f t="shared" si="104"/>
        <v>779.51787948000015</v>
      </c>
      <c r="J119" s="8">
        <f t="shared" si="105"/>
        <v>1391.4016277000001</v>
      </c>
      <c r="K119" s="8">
        <v>231.49561652999998</v>
      </c>
      <c r="L119" s="8">
        <v>280.64427646000007</v>
      </c>
      <c r="M119" s="8">
        <v>196.40570163999999</v>
      </c>
      <c r="N119" s="8">
        <f t="shared" si="106"/>
        <v>708.54559462999998</v>
      </c>
      <c r="O119" s="8">
        <v>242.66554173</v>
      </c>
      <c r="P119" s="8">
        <v>275.90702407000009</v>
      </c>
      <c r="Q119" s="8">
        <v>218.48889067180019</v>
      </c>
      <c r="R119" s="8">
        <f t="shared" si="107"/>
        <v>737.06145647180028</v>
      </c>
      <c r="S119" s="8">
        <f t="shared" si="108"/>
        <v>1445.6070511018002</v>
      </c>
      <c r="T119" s="8">
        <f t="shared" si="109"/>
        <v>2837.0086788018002</v>
      </c>
      <c r="U119" s="8"/>
      <c r="V119" s="8"/>
    </row>
    <row r="120" spans="1:22" ht="15" customHeight="1" x14ac:dyDescent="0.3">
      <c r="A120" s="12" t="s">
        <v>121</v>
      </c>
      <c r="B120" s="8">
        <v>85.472804880000012</v>
      </c>
      <c r="C120" s="8">
        <v>54.24712057</v>
      </c>
      <c r="D120" s="8">
        <v>58.114343649999967</v>
      </c>
      <c r="E120" s="8">
        <f t="shared" si="103"/>
        <v>197.83426909999997</v>
      </c>
      <c r="F120" s="8">
        <v>94.681285200000005</v>
      </c>
      <c r="G120" s="8">
        <v>70.022876590000024</v>
      </c>
      <c r="H120" s="8">
        <v>64.212168889999973</v>
      </c>
      <c r="I120" s="8">
        <f t="shared" si="104"/>
        <v>228.91633067999999</v>
      </c>
      <c r="J120" s="8">
        <f t="shared" si="105"/>
        <v>426.75059977999996</v>
      </c>
      <c r="K120" s="8">
        <v>68.185238730000023</v>
      </c>
      <c r="L120" s="8">
        <v>82.750690980000044</v>
      </c>
      <c r="M120" s="8">
        <v>61.206240589999979</v>
      </c>
      <c r="N120" s="8">
        <f t="shared" si="106"/>
        <v>212.14217030000003</v>
      </c>
      <c r="O120" s="8">
        <v>80.109153500000005</v>
      </c>
      <c r="P120" s="8">
        <v>82.230360000000005</v>
      </c>
      <c r="Q120" s="8">
        <v>64.347890901000028</v>
      </c>
      <c r="R120" s="8">
        <f t="shared" si="107"/>
        <v>226.68740440100004</v>
      </c>
      <c r="S120" s="8">
        <f t="shared" si="108"/>
        <v>438.82957470100007</v>
      </c>
      <c r="T120" s="8">
        <f t="shared" si="109"/>
        <v>865.58017448100009</v>
      </c>
      <c r="U120" s="8"/>
      <c r="V120" s="8"/>
    </row>
    <row r="121" spans="1:22" ht="15" customHeight="1" x14ac:dyDescent="0.3">
      <c r="A121" s="12" t="s">
        <v>122</v>
      </c>
      <c r="B121" s="8">
        <v>52.23658214999999</v>
      </c>
      <c r="C121" s="8">
        <v>32.842029599999996</v>
      </c>
      <c r="D121" s="8">
        <v>29.82977309999999</v>
      </c>
      <c r="E121" s="8">
        <f t="shared" si="103"/>
        <v>114.90838484999998</v>
      </c>
      <c r="F121" s="8">
        <v>51.164615079999997</v>
      </c>
      <c r="G121" s="8">
        <v>35.968588479999994</v>
      </c>
      <c r="H121" s="8">
        <v>30.234677050000002</v>
      </c>
      <c r="I121" s="8">
        <f t="shared" si="104"/>
        <v>117.36788061</v>
      </c>
      <c r="J121" s="8">
        <f t="shared" si="105"/>
        <v>232.27626545999999</v>
      </c>
      <c r="K121" s="8">
        <v>40.226506400000012</v>
      </c>
      <c r="L121" s="8">
        <v>42.277907100000007</v>
      </c>
      <c r="M121" s="8">
        <v>36.920664289999984</v>
      </c>
      <c r="N121" s="8">
        <f t="shared" si="106"/>
        <v>119.42507779000002</v>
      </c>
      <c r="O121" s="8">
        <v>40.798963210000011</v>
      </c>
      <c r="P121" s="8">
        <v>50.029281230000009</v>
      </c>
      <c r="Q121" s="8">
        <v>40.320615582049996</v>
      </c>
      <c r="R121" s="8">
        <f t="shared" si="107"/>
        <v>131.14886002205003</v>
      </c>
      <c r="S121" s="8">
        <f t="shared" si="108"/>
        <v>250.57393781205005</v>
      </c>
      <c r="T121" s="8">
        <f t="shared" si="109"/>
        <v>482.85020327205007</v>
      </c>
      <c r="U121" s="8"/>
      <c r="V121" s="8"/>
    </row>
    <row r="122" spans="1:22" ht="15" customHeight="1" x14ac:dyDescent="0.3">
      <c r="A122" s="12" t="s">
        <v>123</v>
      </c>
      <c r="B122" s="8">
        <v>976.26016155000002</v>
      </c>
      <c r="C122" s="8">
        <v>668.46932055000048</v>
      </c>
      <c r="D122" s="8">
        <v>876.57890874999987</v>
      </c>
      <c r="E122" s="8">
        <f t="shared" si="103"/>
        <v>2521.3083908500003</v>
      </c>
      <c r="F122" s="8">
        <v>1411.3669552699985</v>
      </c>
      <c r="G122" s="8">
        <v>1014.4516717399997</v>
      </c>
      <c r="H122" s="8">
        <v>807.09027301999959</v>
      </c>
      <c r="I122" s="8">
        <f t="shared" si="104"/>
        <v>3232.9089000299978</v>
      </c>
      <c r="J122" s="8">
        <f t="shared" si="105"/>
        <v>5754.2172908799985</v>
      </c>
      <c r="K122" s="8">
        <v>1291.031208840001</v>
      </c>
      <c r="L122" s="8">
        <v>1227.9602143000006</v>
      </c>
      <c r="M122" s="8">
        <v>1052.4520616299997</v>
      </c>
      <c r="N122" s="8">
        <f t="shared" si="106"/>
        <v>3571.4434847700013</v>
      </c>
      <c r="O122" s="8">
        <v>1021.2347820800001</v>
      </c>
      <c r="P122" s="8">
        <v>1106.6924363800003</v>
      </c>
      <c r="Q122" s="8">
        <v>974.51557046189998</v>
      </c>
      <c r="R122" s="8">
        <f t="shared" si="107"/>
        <v>3102.4427889219005</v>
      </c>
      <c r="S122" s="8">
        <f t="shared" si="108"/>
        <v>6673.8862736919018</v>
      </c>
      <c r="T122" s="8">
        <f t="shared" si="109"/>
        <v>12428.1035645719</v>
      </c>
      <c r="U122" s="8"/>
      <c r="V122" s="8"/>
    </row>
    <row r="123" spans="1:22" ht="18" customHeight="1" x14ac:dyDescent="0.3">
      <c r="A123" s="12" t="s">
        <v>124</v>
      </c>
      <c r="B123" s="8">
        <v>1497.8990597099994</v>
      </c>
      <c r="C123" s="8">
        <v>725.79930502000002</v>
      </c>
      <c r="D123" s="8">
        <v>720.05671697000059</v>
      </c>
      <c r="E123" s="8">
        <f t="shared" si="103"/>
        <v>2943.7550817000001</v>
      </c>
      <c r="F123" s="8">
        <v>1908.4893760100003</v>
      </c>
      <c r="G123" s="8">
        <v>1543.3346516799995</v>
      </c>
      <c r="H123" s="8">
        <v>1133.0264747599999</v>
      </c>
      <c r="I123" s="8">
        <f t="shared" si="104"/>
        <v>4584.8505024499991</v>
      </c>
      <c r="J123" s="8">
        <f t="shared" si="105"/>
        <v>7528.6055841499992</v>
      </c>
      <c r="K123" s="8">
        <v>1565.3468828100001</v>
      </c>
      <c r="L123" s="8">
        <v>1659.2575266000003</v>
      </c>
      <c r="M123" s="8">
        <v>954.25495411000043</v>
      </c>
      <c r="N123" s="8">
        <f t="shared" si="106"/>
        <v>4178.8593635200014</v>
      </c>
      <c r="O123" s="8">
        <v>1274.7423195799995</v>
      </c>
      <c r="P123" s="8">
        <v>1721.9363361499989</v>
      </c>
      <c r="Q123" s="8">
        <v>1530.2995424199999</v>
      </c>
      <c r="R123" s="8">
        <f t="shared" si="107"/>
        <v>4526.9781981499982</v>
      </c>
      <c r="S123" s="8">
        <f t="shared" si="108"/>
        <v>8705.8375616699996</v>
      </c>
      <c r="T123" s="8">
        <f t="shared" si="109"/>
        <v>16234.443145819998</v>
      </c>
      <c r="U123" s="8"/>
      <c r="V123" s="8"/>
    </row>
    <row r="124" spans="1:22" s="10" customFormat="1" ht="15" customHeight="1" x14ac:dyDescent="0.3">
      <c r="A124" s="12"/>
      <c r="B124" s="11"/>
      <c r="C124" s="11"/>
      <c r="D124" s="11"/>
      <c r="E124" s="11"/>
      <c r="F124" s="11"/>
      <c r="G124" s="11"/>
      <c r="H124" s="11"/>
      <c r="I124" s="11"/>
      <c r="J124" s="11"/>
      <c r="K124" s="11"/>
      <c r="L124" s="11"/>
      <c r="M124" s="11"/>
      <c r="N124" s="11"/>
      <c r="O124" s="11"/>
      <c r="P124" s="11"/>
      <c r="Q124" s="11"/>
      <c r="R124" s="11"/>
      <c r="S124" s="11"/>
      <c r="T124" s="11"/>
      <c r="U124" s="11"/>
      <c r="V124" s="11"/>
    </row>
    <row r="125" spans="1:22" s="10" customFormat="1" ht="15" customHeight="1" x14ac:dyDescent="0.25">
      <c r="A125" s="13" t="s">
        <v>125</v>
      </c>
      <c r="B125" s="11">
        <f>SUM(B126:B129)</f>
        <v>589.44370822000008</v>
      </c>
      <c r="C125" s="11">
        <f t="shared" ref="C125:Q125" si="110">SUM(C126:C129)</f>
        <v>363.31265568999987</v>
      </c>
      <c r="D125" s="11">
        <f t="shared" si="110"/>
        <v>347.88224884999988</v>
      </c>
      <c r="E125" s="11">
        <f t="shared" ref="E125:E129" si="111">SUM(B125:D125)</f>
        <v>1300.6386127599999</v>
      </c>
      <c r="F125" s="11">
        <f t="shared" si="110"/>
        <v>715.6398967800003</v>
      </c>
      <c r="G125" s="11">
        <f t="shared" si="110"/>
        <v>488.61067018999989</v>
      </c>
      <c r="H125" s="11">
        <f t="shared" si="110"/>
        <v>414.35089013999988</v>
      </c>
      <c r="I125" s="11">
        <f t="shared" ref="I125:I129" si="112">SUM(F125:H125)</f>
        <v>1618.60145711</v>
      </c>
      <c r="J125" s="11">
        <f t="shared" ref="J125:J129" si="113">+E125+I125</f>
        <v>2919.2400698699998</v>
      </c>
      <c r="K125" s="11">
        <f t="shared" si="110"/>
        <v>489.91372117999998</v>
      </c>
      <c r="L125" s="11">
        <f t="shared" si="110"/>
        <v>521.48307282999997</v>
      </c>
      <c r="M125" s="11">
        <f t="shared" si="110"/>
        <v>399.17916244000003</v>
      </c>
      <c r="N125" s="11">
        <f t="shared" ref="N125:N129" si="114">SUM(K125:M125)</f>
        <v>1410.5759564499999</v>
      </c>
      <c r="O125" s="11">
        <f t="shared" si="110"/>
        <v>516.04999986999997</v>
      </c>
      <c r="P125" s="11">
        <f t="shared" si="110"/>
        <v>534.34168390000002</v>
      </c>
      <c r="Q125" s="11">
        <f t="shared" si="110"/>
        <v>499.58989162964986</v>
      </c>
      <c r="R125" s="11">
        <f t="shared" ref="R125:R129" si="115">SUM(O125:Q125)</f>
        <v>1549.9815753996497</v>
      </c>
      <c r="S125" s="11">
        <f t="shared" ref="S125:S129" si="116">+N125+R125</f>
        <v>2960.5575318496494</v>
      </c>
      <c r="T125" s="11">
        <f t="shared" ref="T125:T129" si="117">+J125+S125</f>
        <v>5879.7976017196488</v>
      </c>
      <c r="U125" s="11"/>
      <c r="V125" s="11"/>
    </row>
    <row r="126" spans="1:22" ht="15" customHeight="1" x14ac:dyDescent="0.3">
      <c r="A126" s="12" t="s">
        <v>126</v>
      </c>
      <c r="B126" s="8">
        <v>109.21554266000003</v>
      </c>
      <c r="C126" s="8">
        <v>65.905251949999993</v>
      </c>
      <c r="D126" s="8">
        <v>69.244708489999979</v>
      </c>
      <c r="E126" s="8">
        <f t="shared" si="111"/>
        <v>244.36550310000001</v>
      </c>
      <c r="F126" s="8">
        <v>130.98352784000005</v>
      </c>
      <c r="G126" s="8">
        <v>87.78422658999996</v>
      </c>
      <c r="H126" s="8">
        <v>87.756010410000002</v>
      </c>
      <c r="I126" s="8">
        <f t="shared" si="112"/>
        <v>306.52376484000001</v>
      </c>
      <c r="J126" s="8">
        <f t="shared" si="113"/>
        <v>550.88926794000008</v>
      </c>
      <c r="K126" s="8">
        <v>115.60829636999995</v>
      </c>
      <c r="L126" s="8">
        <v>91.269456309999981</v>
      </c>
      <c r="M126" s="8">
        <v>69.676397909999977</v>
      </c>
      <c r="N126" s="8">
        <f t="shared" si="114"/>
        <v>276.55415058999989</v>
      </c>
      <c r="O126" s="8">
        <v>104.21376071000005</v>
      </c>
      <c r="P126" s="8">
        <v>95.689920089999958</v>
      </c>
      <c r="Q126" s="8">
        <v>94.620718164649986</v>
      </c>
      <c r="R126" s="8">
        <f t="shared" si="115"/>
        <v>294.52439896465</v>
      </c>
      <c r="S126" s="8">
        <f t="shared" si="116"/>
        <v>571.07854955464995</v>
      </c>
      <c r="T126" s="8">
        <f t="shared" si="117"/>
        <v>1121.96781749465</v>
      </c>
      <c r="U126" s="8"/>
      <c r="V126" s="8"/>
    </row>
    <row r="127" spans="1:22" ht="15" customHeight="1" x14ac:dyDescent="0.3">
      <c r="A127" s="12" t="s">
        <v>127</v>
      </c>
      <c r="B127" s="8">
        <v>205.86181898000004</v>
      </c>
      <c r="C127" s="8">
        <v>159.43962821999997</v>
      </c>
      <c r="D127" s="8">
        <v>145.34562270999996</v>
      </c>
      <c r="E127" s="8">
        <f t="shared" si="111"/>
        <v>510.64706990999991</v>
      </c>
      <c r="F127" s="8">
        <v>347.52173663000019</v>
      </c>
      <c r="G127" s="8">
        <v>236.13388668999991</v>
      </c>
      <c r="H127" s="8">
        <v>165.1682998899999</v>
      </c>
      <c r="I127" s="8">
        <f t="shared" si="112"/>
        <v>748.82392320999998</v>
      </c>
      <c r="J127" s="8">
        <f t="shared" si="113"/>
        <v>1259.47099312</v>
      </c>
      <c r="K127" s="8">
        <v>176.37131899000002</v>
      </c>
      <c r="L127" s="8">
        <v>228.01019148000003</v>
      </c>
      <c r="M127" s="8">
        <v>161.66854731999996</v>
      </c>
      <c r="N127" s="8">
        <f t="shared" si="114"/>
        <v>566.05005778999998</v>
      </c>
      <c r="O127" s="8">
        <v>194.60945873999992</v>
      </c>
      <c r="P127" s="8">
        <v>222.00558427999999</v>
      </c>
      <c r="Q127" s="8">
        <v>188.81201386739991</v>
      </c>
      <c r="R127" s="8">
        <f t="shared" si="115"/>
        <v>605.42705688739989</v>
      </c>
      <c r="S127" s="8">
        <f t="shared" si="116"/>
        <v>1171.4771146773999</v>
      </c>
      <c r="T127" s="8">
        <f t="shared" si="117"/>
        <v>2430.9481077973996</v>
      </c>
      <c r="U127" s="8"/>
      <c r="V127" s="8"/>
    </row>
    <row r="128" spans="1:22" ht="15" customHeight="1" x14ac:dyDescent="0.3">
      <c r="A128" s="12" t="s">
        <v>128</v>
      </c>
      <c r="B128" s="8">
        <v>202.91445325000001</v>
      </c>
      <c r="C128" s="8">
        <v>81.818626479999935</v>
      </c>
      <c r="D128" s="8">
        <v>90.077771379999959</v>
      </c>
      <c r="E128" s="8">
        <f t="shared" si="111"/>
        <v>374.81085110999987</v>
      </c>
      <c r="F128" s="8">
        <v>156.88565854000001</v>
      </c>
      <c r="G128" s="8">
        <v>105.59804932</v>
      </c>
      <c r="H128" s="8">
        <v>99.820019400000007</v>
      </c>
      <c r="I128" s="8">
        <f t="shared" si="112"/>
        <v>362.30372725999996</v>
      </c>
      <c r="J128" s="8">
        <f t="shared" si="113"/>
        <v>737.11457836999989</v>
      </c>
      <c r="K128" s="8">
        <v>129.70307000000003</v>
      </c>
      <c r="L128" s="8">
        <v>131.02130627</v>
      </c>
      <c r="M128" s="8">
        <v>100.31685297</v>
      </c>
      <c r="N128" s="8">
        <f t="shared" si="114"/>
        <v>361.04122924000001</v>
      </c>
      <c r="O128" s="8">
        <v>143.01012607000007</v>
      </c>
      <c r="P128" s="8">
        <v>138.47226974999998</v>
      </c>
      <c r="Q128" s="8">
        <v>149.93066788759995</v>
      </c>
      <c r="R128" s="8">
        <f t="shared" si="115"/>
        <v>431.41306370760003</v>
      </c>
      <c r="S128" s="8">
        <f t="shared" si="116"/>
        <v>792.45429294760004</v>
      </c>
      <c r="T128" s="8">
        <f t="shared" si="117"/>
        <v>1529.5688713176</v>
      </c>
      <c r="U128" s="8"/>
      <c r="V128" s="8"/>
    </row>
    <row r="129" spans="1:22" ht="15" customHeight="1" x14ac:dyDescent="0.3">
      <c r="A129" s="12" t="s">
        <v>129</v>
      </c>
      <c r="B129" s="8">
        <v>71.451893330000004</v>
      </c>
      <c r="C129" s="8">
        <v>56.149149040000005</v>
      </c>
      <c r="D129" s="8">
        <v>43.214146270000001</v>
      </c>
      <c r="E129" s="8">
        <f t="shared" si="111"/>
        <v>170.81518864000003</v>
      </c>
      <c r="F129" s="8">
        <v>80.248973770000006</v>
      </c>
      <c r="G129" s="8">
        <v>59.094507589999999</v>
      </c>
      <c r="H129" s="8">
        <v>61.606560439999996</v>
      </c>
      <c r="I129" s="8">
        <f t="shared" si="112"/>
        <v>200.95004180000001</v>
      </c>
      <c r="J129" s="8">
        <f t="shared" si="113"/>
        <v>371.76523044000004</v>
      </c>
      <c r="K129" s="8">
        <v>68.231035819999988</v>
      </c>
      <c r="L129" s="8">
        <v>71.182118770000002</v>
      </c>
      <c r="M129" s="8">
        <v>67.517364240000035</v>
      </c>
      <c r="N129" s="8">
        <f t="shared" si="114"/>
        <v>206.93051883000001</v>
      </c>
      <c r="O129" s="8">
        <v>74.216654349999928</v>
      </c>
      <c r="P129" s="8">
        <v>78.173909780000017</v>
      </c>
      <c r="Q129" s="8">
        <v>66.226491709999991</v>
      </c>
      <c r="R129" s="8">
        <f t="shared" si="115"/>
        <v>218.61705583999992</v>
      </c>
      <c r="S129" s="8">
        <f t="shared" si="116"/>
        <v>425.5475746699999</v>
      </c>
      <c r="T129" s="8">
        <f t="shared" si="117"/>
        <v>797.31280511</v>
      </c>
      <c r="U129" s="8"/>
      <c r="V129" s="8"/>
    </row>
    <row r="130" spans="1:22" s="10" customFormat="1" ht="15" customHeight="1" x14ac:dyDescent="0.3">
      <c r="A130" s="12"/>
      <c r="B130" s="11"/>
      <c r="C130" s="11"/>
      <c r="D130" s="11"/>
      <c r="E130" s="11"/>
      <c r="F130" s="11"/>
      <c r="G130" s="11"/>
      <c r="H130" s="11"/>
      <c r="I130" s="11"/>
      <c r="J130" s="11"/>
      <c r="K130" s="11"/>
      <c r="L130" s="11"/>
      <c r="M130" s="11"/>
      <c r="N130" s="11"/>
      <c r="O130" s="11"/>
      <c r="P130" s="11"/>
      <c r="Q130" s="11"/>
      <c r="R130" s="11"/>
      <c r="S130" s="11"/>
      <c r="T130" s="11"/>
      <c r="U130" s="11"/>
      <c r="V130" s="11"/>
    </row>
    <row r="131" spans="1:22" s="10" customFormat="1" ht="15" customHeight="1" x14ac:dyDescent="0.25">
      <c r="A131" s="13" t="s">
        <v>130</v>
      </c>
      <c r="B131" s="11">
        <f>SUM(B132:B135)</f>
        <v>459.60188717999989</v>
      </c>
      <c r="C131" s="11">
        <f t="shared" ref="C131:Q131" si="118">SUM(C132:C135)</f>
        <v>243.34786657000001</v>
      </c>
      <c r="D131" s="11">
        <f t="shared" si="118"/>
        <v>268.21437612999995</v>
      </c>
      <c r="E131" s="11">
        <f t="shared" ref="E131:E135" si="119">SUM(B131:D131)</f>
        <v>971.16412987999979</v>
      </c>
      <c r="F131" s="11">
        <f t="shared" si="118"/>
        <v>431.50433083999997</v>
      </c>
      <c r="G131" s="11">
        <f t="shared" si="118"/>
        <v>335.57802509000004</v>
      </c>
      <c r="H131" s="11">
        <f t="shared" si="118"/>
        <v>282.10605084000002</v>
      </c>
      <c r="I131" s="11">
        <f t="shared" ref="I131:I135" si="120">SUM(F131:H131)</f>
        <v>1049.18840677</v>
      </c>
      <c r="J131" s="11">
        <f t="shared" ref="J131:J135" si="121">+E131+I131</f>
        <v>2020.3525366499998</v>
      </c>
      <c r="K131" s="11">
        <f t="shared" si="118"/>
        <v>347.80615312000003</v>
      </c>
      <c r="L131" s="11">
        <f t="shared" si="118"/>
        <v>402.83254326999992</v>
      </c>
      <c r="M131" s="11">
        <f t="shared" si="118"/>
        <v>342.91901177</v>
      </c>
      <c r="N131" s="11">
        <f t="shared" ref="N131:N135" si="122">SUM(K131:M131)</f>
        <v>1093.5577081599999</v>
      </c>
      <c r="O131" s="11">
        <f t="shared" si="118"/>
        <v>419.4036010599998</v>
      </c>
      <c r="P131" s="11">
        <f t="shared" si="118"/>
        <v>401.46543453999982</v>
      </c>
      <c r="Q131" s="11">
        <f t="shared" si="118"/>
        <v>367.95359509000008</v>
      </c>
      <c r="R131" s="11">
        <f t="shared" ref="R131:R135" si="123">SUM(O131:Q131)</f>
        <v>1188.8226306899996</v>
      </c>
      <c r="S131" s="11">
        <f t="shared" ref="S131:S135" si="124">+N131+R131</f>
        <v>2282.3803388499996</v>
      </c>
      <c r="T131" s="11">
        <f t="shared" ref="T131:T135" si="125">+J131+S131</f>
        <v>4302.7328754999999</v>
      </c>
      <c r="U131" s="11"/>
      <c r="V131" s="11"/>
    </row>
    <row r="132" spans="1:22" ht="15" customHeight="1" x14ac:dyDescent="0.3">
      <c r="A132" s="12" t="s">
        <v>131</v>
      </c>
      <c r="B132" s="8">
        <v>181.78334400999992</v>
      </c>
      <c r="C132" s="8">
        <v>99.967553070000022</v>
      </c>
      <c r="D132" s="8">
        <v>106.00164707999996</v>
      </c>
      <c r="E132" s="8">
        <f t="shared" si="119"/>
        <v>387.7525441599999</v>
      </c>
      <c r="F132" s="8">
        <v>191.37005059000001</v>
      </c>
      <c r="G132" s="8">
        <v>152.95560334000004</v>
      </c>
      <c r="H132" s="8">
        <v>122.41119214000001</v>
      </c>
      <c r="I132" s="8">
        <f t="shared" si="120"/>
        <v>466.73684607000007</v>
      </c>
      <c r="J132" s="8">
        <f t="shared" si="121"/>
        <v>854.48939023000003</v>
      </c>
      <c r="K132" s="8">
        <v>147.03852547</v>
      </c>
      <c r="L132" s="8">
        <v>165.79955798999995</v>
      </c>
      <c r="M132" s="8">
        <v>178.60356364</v>
      </c>
      <c r="N132" s="8">
        <f t="shared" si="122"/>
        <v>491.44164709999995</v>
      </c>
      <c r="O132" s="8">
        <v>183.64181863999988</v>
      </c>
      <c r="P132" s="8">
        <v>193.45128780999985</v>
      </c>
      <c r="Q132" s="8">
        <v>156.40886594000003</v>
      </c>
      <c r="R132" s="8">
        <f t="shared" si="123"/>
        <v>533.50197238999976</v>
      </c>
      <c r="S132" s="8">
        <f t="shared" si="124"/>
        <v>1024.9436194899997</v>
      </c>
      <c r="T132" s="8">
        <f t="shared" si="125"/>
        <v>1879.4330097199997</v>
      </c>
      <c r="U132" s="8"/>
      <c r="V132" s="8"/>
    </row>
    <row r="133" spans="1:22" ht="15" customHeight="1" x14ac:dyDescent="0.3">
      <c r="A133" s="12" t="s">
        <v>132</v>
      </c>
      <c r="B133" s="8">
        <v>98.585683490000008</v>
      </c>
      <c r="C133" s="8">
        <v>46.048137750000002</v>
      </c>
      <c r="D133" s="8">
        <v>45.912135159999998</v>
      </c>
      <c r="E133" s="8">
        <f t="shared" si="119"/>
        <v>190.54595639999999</v>
      </c>
      <c r="F133" s="8">
        <v>79.330400980000007</v>
      </c>
      <c r="G133" s="8">
        <v>68.053640950000002</v>
      </c>
      <c r="H133" s="8">
        <v>50.124229110000002</v>
      </c>
      <c r="I133" s="8">
        <f t="shared" si="120"/>
        <v>197.50827104000001</v>
      </c>
      <c r="J133" s="8">
        <f t="shared" si="121"/>
        <v>388.05422743999998</v>
      </c>
      <c r="K133" s="8">
        <v>68.532663460000009</v>
      </c>
      <c r="L133" s="8">
        <v>71.462409659999992</v>
      </c>
      <c r="M133" s="8">
        <v>54.022484870000014</v>
      </c>
      <c r="N133" s="8">
        <f t="shared" si="122"/>
        <v>194.01755799</v>
      </c>
      <c r="O133" s="8">
        <v>65.205695919999982</v>
      </c>
      <c r="P133" s="8">
        <v>65.638392710000005</v>
      </c>
      <c r="Q133" s="8">
        <v>77.161927159999991</v>
      </c>
      <c r="R133" s="8">
        <f t="shared" si="123"/>
        <v>208.00601578999999</v>
      </c>
      <c r="S133" s="8">
        <f t="shared" si="124"/>
        <v>402.02357377999999</v>
      </c>
      <c r="T133" s="8">
        <f t="shared" si="125"/>
        <v>790.07780121999997</v>
      </c>
      <c r="U133" s="8"/>
      <c r="V133" s="8"/>
    </row>
    <row r="134" spans="1:22" ht="15" customHeight="1" x14ac:dyDescent="0.3">
      <c r="A134" s="12" t="s">
        <v>133</v>
      </c>
      <c r="B134" s="8">
        <v>105.65524282000003</v>
      </c>
      <c r="C134" s="8">
        <v>46.681327070000009</v>
      </c>
      <c r="D134" s="8">
        <v>62.983613560000002</v>
      </c>
      <c r="E134" s="8">
        <f t="shared" si="119"/>
        <v>215.32018345000003</v>
      </c>
      <c r="F134" s="8">
        <v>93.602302059999971</v>
      </c>
      <c r="G134" s="8">
        <v>66.402951179999988</v>
      </c>
      <c r="H134" s="8">
        <v>67.832941600000041</v>
      </c>
      <c r="I134" s="8">
        <f t="shared" si="120"/>
        <v>227.83819483999997</v>
      </c>
      <c r="J134" s="8">
        <f t="shared" si="121"/>
        <v>443.15837828999997</v>
      </c>
      <c r="K134" s="8">
        <v>77.440174569999996</v>
      </c>
      <c r="L134" s="8">
        <v>113.80963803999995</v>
      </c>
      <c r="M134" s="8">
        <v>60.480183670000002</v>
      </c>
      <c r="N134" s="8">
        <f t="shared" si="122"/>
        <v>251.72999627999994</v>
      </c>
      <c r="O134" s="8">
        <v>102.77135619999997</v>
      </c>
      <c r="P134" s="8">
        <v>81.470818960000003</v>
      </c>
      <c r="Q134" s="8">
        <v>78.635933960000017</v>
      </c>
      <c r="R134" s="8">
        <f t="shared" si="123"/>
        <v>262.87810911999998</v>
      </c>
      <c r="S134" s="8">
        <f t="shared" si="124"/>
        <v>514.60810539999989</v>
      </c>
      <c r="T134" s="8">
        <f t="shared" si="125"/>
        <v>957.76648368999986</v>
      </c>
      <c r="U134" s="8"/>
      <c r="V134" s="8"/>
    </row>
    <row r="135" spans="1:22" ht="15" customHeight="1" x14ac:dyDescent="0.3">
      <c r="A135" s="12" t="s">
        <v>134</v>
      </c>
      <c r="B135" s="8">
        <v>73.577616859999978</v>
      </c>
      <c r="C135" s="8">
        <v>50.650848679999982</v>
      </c>
      <c r="D135" s="8">
        <v>53.31698033</v>
      </c>
      <c r="E135" s="8">
        <f t="shared" si="119"/>
        <v>177.54544586999995</v>
      </c>
      <c r="F135" s="8">
        <v>67.201577209999996</v>
      </c>
      <c r="G135" s="8">
        <v>48.165829620000018</v>
      </c>
      <c r="H135" s="8">
        <v>41.737687990000005</v>
      </c>
      <c r="I135" s="8">
        <f t="shared" si="120"/>
        <v>157.10509482000003</v>
      </c>
      <c r="J135" s="8">
        <f t="shared" si="121"/>
        <v>334.65054068999996</v>
      </c>
      <c r="K135" s="8">
        <v>54.794789620000003</v>
      </c>
      <c r="L135" s="8">
        <v>51.760937579999997</v>
      </c>
      <c r="M135" s="8">
        <v>49.812779590000005</v>
      </c>
      <c r="N135" s="8">
        <f t="shared" si="122"/>
        <v>156.36850679000003</v>
      </c>
      <c r="O135" s="8">
        <v>67.784730299999993</v>
      </c>
      <c r="P135" s="8">
        <v>60.904935059999978</v>
      </c>
      <c r="Q135" s="8">
        <v>55.746868030000023</v>
      </c>
      <c r="R135" s="8">
        <f t="shared" si="123"/>
        <v>184.43653338999999</v>
      </c>
      <c r="S135" s="8">
        <f t="shared" si="124"/>
        <v>340.80504017999999</v>
      </c>
      <c r="T135" s="8">
        <f t="shared" si="125"/>
        <v>675.45558086999995</v>
      </c>
      <c r="U135" s="8"/>
      <c r="V135" s="8"/>
    </row>
    <row r="136" spans="1:22" s="10" customFormat="1" ht="15" customHeight="1" x14ac:dyDescent="0.3">
      <c r="A136" s="12"/>
      <c r="B136" s="11"/>
      <c r="C136" s="11"/>
      <c r="D136" s="11"/>
      <c r="E136" s="11"/>
      <c r="F136" s="11"/>
      <c r="G136" s="11"/>
      <c r="H136" s="11"/>
      <c r="I136" s="11"/>
      <c r="J136" s="11"/>
      <c r="K136" s="11"/>
      <c r="L136" s="11"/>
      <c r="M136" s="11"/>
      <c r="N136" s="11"/>
      <c r="O136" s="11"/>
      <c r="P136" s="11"/>
      <c r="Q136" s="11"/>
      <c r="R136" s="11"/>
      <c r="S136" s="11"/>
      <c r="T136" s="11"/>
      <c r="U136" s="11"/>
      <c r="V136" s="11"/>
    </row>
    <row r="137" spans="1:22" s="10" customFormat="1" ht="15" customHeight="1" x14ac:dyDescent="0.25">
      <c r="A137" s="14" t="s">
        <v>135</v>
      </c>
      <c r="B137" s="11">
        <f>SUM(B138:B143)</f>
        <v>228.96525584</v>
      </c>
      <c r="C137" s="11">
        <f t="shared" ref="C137:Q137" si="126">SUM(C138:C143)</f>
        <v>192.74326564999996</v>
      </c>
      <c r="D137" s="11">
        <f t="shared" si="126"/>
        <v>160.86068244999998</v>
      </c>
      <c r="E137" s="11">
        <f t="shared" ref="E137:E142" si="127">SUM(B137:D137)</f>
        <v>582.56920393999997</v>
      </c>
      <c r="F137" s="11">
        <f t="shared" si="126"/>
        <v>205.57873928999999</v>
      </c>
      <c r="G137" s="11">
        <f t="shared" si="126"/>
        <v>174.71713146000002</v>
      </c>
      <c r="H137" s="11">
        <f t="shared" si="126"/>
        <v>220.90283254000002</v>
      </c>
      <c r="I137" s="11">
        <f t="shared" ref="I137:I142" si="128">SUM(F137:H137)</f>
        <v>601.19870329000003</v>
      </c>
      <c r="J137" s="11">
        <f t="shared" ref="J137:J142" si="129">+E137+I137</f>
        <v>1183.76790723</v>
      </c>
      <c r="K137" s="11">
        <f t="shared" si="126"/>
        <v>207.83788765999995</v>
      </c>
      <c r="L137" s="11">
        <f t="shared" si="126"/>
        <v>181.73623179999998</v>
      </c>
      <c r="M137" s="11">
        <f t="shared" si="126"/>
        <v>145.19217671000001</v>
      </c>
      <c r="N137" s="11">
        <f t="shared" ref="N137:N142" si="130">SUM(K137:M137)</f>
        <v>534.76629616999992</v>
      </c>
      <c r="O137" s="11">
        <f t="shared" si="126"/>
        <v>232.45834137</v>
      </c>
      <c r="P137" s="11">
        <f t="shared" si="126"/>
        <v>183.63828099999998</v>
      </c>
      <c r="Q137" s="11">
        <f t="shared" si="126"/>
        <v>176.80578159780001</v>
      </c>
      <c r="R137" s="11">
        <f t="shared" ref="R137:R142" si="131">SUM(O137:Q137)</f>
        <v>592.90240396779996</v>
      </c>
      <c r="S137" s="11">
        <f t="shared" ref="S137:S142" si="132">+N137+R137</f>
        <v>1127.6687001378</v>
      </c>
      <c r="T137" s="11">
        <f t="shared" ref="T137:T142" si="133">+J137+S137</f>
        <v>2311.4366073678002</v>
      </c>
      <c r="U137" s="11"/>
      <c r="V137" s="11"/>
    </row>
    <row r="138" spans="1:22" ht="15" customHeight="1" x14ac:dyDescent="0.3">
      <c r="A138" s="12" t="s">
        <v>136</v>
      </c>
      <c r="B138" s="8">
        <v>13.578835100000001</v>
      </c>
      <c r="C138" s="8">
        <v>9.7164034200000025</v>
      </c>
      <c r="D138" s="8">
        <v>8.9532032600000022</v>
      </c>
      <c r="E138" s="8">
        <f t="shared" si="127"/>
        <v>32.248441780000007</v>
      </c>
      <c r="F138" s="8">
        <v>9.1061744999999998</v>
      </c>
      <c r="G138" s="8">
        <v>7.6770299399999997</v>
      </c>
      <c r="H138" s="8">
        <v>9.1601447100000009</v>
      </c>
      <c r="I138" s="8">
        <f t="shared" si="128"/>
        <v>25.94334915</v>
      </c>
      <c r="J138" s="8">
        <f t="shared" si="129"/>
        <v>58.19179093000001</v>
      </c>
      <c r="K138" s="8">
        <v>9.9267297299999999</v>
      </c>
      <c r="L138" s="8">
        <v>8.7998413999999983</v>
      </c>
      <c r="M138" s="8">
        <v>8.5211997799999999</v>
      </c>
      <c r="N138" s="8">
        <f t="shared" si="130"/>
        <v>27.247770909999996</v>
      </c>
      <c r="O138" s="8">
        <v>8.7573747500000021</v>
      </c>
      <c r="P138" s="8">
        <v>8.0437045100000013</v>
      </c>
      <c r="Q138" s="8">
        <v>7.6861513800000001</v>
      </c>
      <c r="R138" s="8">
        <f t="shared" si="131"/>
        <v>24.48723064</v>
      </c>
      <c r="S138" s="8">
        <f t="shared" si="132"/>
        <v>51.735001549999993</v>
      </c>
      <c r="T138" s="8">
        <f t="shared" si="133"/>
        <v>109.92679248</v>
      </c>
      <c r="U138" s="8"/>
      <c r="V138" s="8"/>
    </row>
    <row r="139" spans="1:22" ht="15" customHeight="1" x14ac:dyDescent="0.3">
      <c r="A139" s="12" t="s">
        <v>137</v>
      </c>
      <c r="B139" s="8">
        <v>59.453656490000007</v>
      </c>
      <c r="C139" s="8">
        <v>44.803605099999992</v>
      </c>
      <c r="D139" s="8">
        <v>29.458676029999992</v>
      </c>
      <c r="E139" s="8">
        <f t="shared" si="127"/>
        <v>133.71593761999998</v>
      </c>
      <c r="F139" s="8">
        <v>47.385108889999991</v>
      </c>
      <c r="G139" s="8">
        <v>31.947248069999993</v>
      </c>
      <c r="H139" s="8">
        <v>25.90582053</v>
      </c>
      <c r="I139" s="8">
        <f t="shared" si="128"/>
        <v>105.23817748999998</v>
      </c>
      <c r="J139" s="8">
        <f t="shared" si="129"/>
        <v>238.95411510999998</v>
      </c>
      <c r="K139" s="8">
        <v>33.124967649999995</v>
      </c>
      <c r="L139" s="8">
        <v>37.741541149999996</v>
      </c>
      <c r="M139" s="8">
        <v>24.318326440000003</v>
      </c>
      <c r="N139" s="8">
        <f t="shared" si="130"/>
        <v>95.184835239999998</v>
      </c>
      <c r="O139" s="8">
        <v>30.12497522</v>
      </c>
      <c r="P139" s="8">
        <v>34.332327999999997</v>
      </c>
      <c r="Q139" s="8">
        <v>39.388252520000009</v>
      </c>
      <c r="R139" s="8">
        <f t="shared" si="131"/>
        <v>103.84555574000001</v>
      </c>
      <c r="S139" s="8">
        <f t="shared" si="132"/>
        <v>199.03039097999999</v>
      </c>
      <c r="T139" s="8">
        <f t="shared" si="133"/>
        <v>437.98450608999997</v>
      </c>
      <c r="U139" s="8"/>
      <c r="V139" s="8"/>
    </row>
    <row r="140" spans="1:22" ht="15" customHeight="1" x14ac:dyDescent="0.3">
      <c r="A140" s="12" t="s">
        <v>138</v>
      </c>
      <c r="B140" s="8">
        <v>127.58267814</v>
      </c>
      <c r="C140" s="8">
        <v>114.24770574999998</v>
      </c>
      <c r="D140" s="8">
        <v>90.168620479999987</v>
      </c>
      <c r="E140" s="8">
        <f t="shared" si="127"/>
        <v>331.99900436999997</v>
      </c>
      <c r="F140" s="8">
        <v>113.87031363999998</v>
      </c>
      <c r="G140" s="8">
        <v>93.298282700000001</v>
      </c>
      <c r="H140" s="8">
        <v>130.56824787000002</v>
      </c>
      <c r="I140" s="8">
        <f t="shared" si="128"/>
        <v>337.73684420999996</v>
      </c>
      <c r="J140" s="8">
        <f t="shared" si="129"/>
        <v>669.73584857999992</v>
      </c>
      <c r="K140" s="8">
        <v>128.77100636999998</v>
      </c>
      <c r="L140" s="8">
        <v>88.924564599999997</v>
      </c>
      <c r="M140" s="8">
        <v>88.055304509999999</v>
      </c>
      <c r="N140" s="8">
        <f t="shared" si="130"/>
        <v>305.75087547999999</v>
      </c>
      <c r="O140" s="8">
        <v>154.35634529999999</v>
      </c>
      <c r="P140" s="8">
        <v>113.90917227999996</v>
      </c>
      <c r="Q140" s="8">
        <v>90.071937390000002</v>
      </c>
      <c r="R140" s="8">
        <f t="shared" si="131"/>
        <v>358.33745496999995</v>
      </c>
      <c r="S140" s="8">
        <f t="shared" si="132"/>
        <v>664.08833044999994</v>
      </c>
      <c r="T140" s="8">
        <f t="shared" si="133"/>
        <v>1333.8241790299999</v>
      </c>
      <c r="U140" s="8"/>
      <c r="V140" s="8"/>
    </row>
    <row r="141" spans="1:22" ht="15" customHeight="1" x14ac:dyDescent="0.3">
      <c r="A141" s="12" t="s">
        <v>139</v>
      </c>
      <c r="B141" s="8">
        <v>6.1079830999999993</v>
      </c>
      <c r="C141" s="8">
        <v>7.9904691100000012</v>
      </c>
      <c r="D141" s="8">
        <v>5.4751734500000016</v>
      </c>
      <c r="E141" s="8">
        <f t="shared" si="127"/>
        <v>19.573625660000005</v>
      </c>
      <c r="F141" s="8">
        <v>12.345253209999997</v>
      </c>
      <c r="G141" s="8">
        <v>7.4921643600000003</v>
      </c>
      <c r="H141" s="8">
        <v>9.0631940499999981</v>
      </c>
      <c r="I141" s="8">
        <f t="shared" si="128"/>
        <v>28.900611619999999</v>
      </c>
      <c r="J141" s="8">
        <f t="shared" si="129"/>
        <v>48.474237280000004</v>
      </c>
      <c r="K141" s="8">
        <v>10.007781530000001</v>
      </c>
      <c r="L141" s="8">
        <v>9.7652525600000004</v>
      </c>
      <c r="M141" s="8">
        <v>7.9328711100000016</v>
      </c>
      <c r="N141" s="8">
        <f t="shared" si="130"/>
        <v>27.705905200000004</v>
      </c>
      <c r="O141" s="8">
        <v>10.04320231</v>
      </c>
      <c r="P141" s="8">
        <v>10.328722580000003</v>
      </c>
      <c r="Q141" s="8">
        <v>7.9934015200000017</v>
      </c>
      <c r="R141" s="8">
        <f t="shared" si="131"/>
        <v>28.365326410000005</v>
      </c>
      <c r="S141" s="8">
        <f t="shared" si="132"/>
        <v>56.071231610000012</v>
      </c>
      <c r="T141" s="8">
        <f t="shared" si="133"/>
        <v>104.54546889000002</v>
      </c>
      <c r="U141" s="8"/>
      <c r="V141" s="8"/>
    </row>
    <row r="142" spans="1:22" ht="15" customHeight="1" x14ac:dyDescent="0.3">
      <c r="A142" s="12" t="s">
        <v>140</v>
      </c>
      <c r="B142" s="8">
        <v>22.242103009999997</v>
      </c>
      <c r="C142" s="8">
        <v>15.985082269999999</v>
      </c>
      <c r="D142" s="8">
        <v>26.805009230000003</v>
      </c>
      <c r="E142" s="8">
        <f t="shared" si="127"/>
        <v>65.032194510000011</v>
      </c>
      <c r="F142" s="8">
        <v>22.871889049999997</v>
      </c>
      <c r="G142" s="8">
        <v>34.302406390000002</v>
      </c>
      <c r="H142" s="8">
        <v>46.205425380000001</v>
      </c>
      <c r="I142" s="8">
        <f t="shared" si="128"/>
        <v>103.37972081999999</v>
      </c>
      <c r="J142" s="8">
        <f t="shared" si="129"/>
        <v>168.41191533</v>
      </c>
      <c r="K142" s="8">
        <v>26.007402379999998</v>
      </c>
      <c r="L142" s="8">
        <v>36.505032090000014</v>
      </c>
      <c r="M142" s="8">
        <v>16.364474869999999</v>
      </c>
      <c r="N142" s="8">
        <f t="shared" si="130"/>
        <v>78.876909340000012</v>
      </c>
      <c r="O142" s="8">
        <v>29.176443790000008</v>
      </c>
      <c r="P142" s="8">
        <v>17.02435363</v>
      </c>
      <c r="Q142" s="8">
        <v>31.666038787799998</v>
      </c>
      <c r="R142" s="8">
        <f t="shared" si="131"/>
        <v>77.866836207800006</v>
      </c>
      <c r="S142" s="8">
        <f t="shared" si="132"/>
        <v>156.74374554780002</v>
      </c>
      <c r="T142" s="8">
        <f t="shared" si="133"/>
        <v>325.15566087780002</v>
      </c>
      <c r="U142" s="8"/>
      <c r="V142" s="8"/>
    </row>
    <row r="143" spans="1:22" ht="18" customHeight="1" x14ac:dyDescent="0.3">
      <c r="A143" s="12" t="s">
        <v>141</v>
      </c>
      <c r="B143" s="8"/>
      <c r="C143" s="8"/>
      <c r="D143" s="8"/>
      <c r="E143" s="8"/>
      <c r="F143" s="8"/>
      <c r="G143" s="8"/>
      <c r="H143" s="8"/>
      <c r="I143" s="8"/>
      <c r="J143" s="8"/>
      <c r="K143" s="8"/>
      <c r="L143" s="8"/>
      <c r="M143" s="8"/>
      <c r="N143" s="8"/>
      <c r="O143" s="8"/>
      <c r="P143" s="8"/>
      <c r="Q143" s="8"/>
      <c r="R143" s="8"/>
      <c r="S143" s="8"/>
      <c r="T143" s="8"/>
      <c r="U143" s="8"/>
      <c r="V143" s="8"/>
    </row>
    <row r="144" spans="1:22" ht="15" customHeight="1" x14ac:dyDescent="0.3">
      <c r="B144" s="8"/>
      <c r="C144" s="8"/>
      <c r="D144" s="8"/>
      <c r="E144" s="8"/>
      <c r="F144" s="8"/>
      <c r="G144" s="8"/>
      <c r="H144" s="8"/>
      <c r="I144" s="8"/>
      <c r="J144" s="8"/>
      <c r="K144" s="8"/>
      <c r="L144" s="8"/>
      <c r="M144" s="8"/>
      <c r="N144" s="8"/>
      <c r="O144" s="8"/>
      <c r="P144" s="8"/>
      <c r="Q144" s="8"/>
      <c r="R144" s="8"/>
      <c r="S144" s="8"/>
      <c r="T144" s="8"/>
      <c r="U144" s="8"/>
      <c r="V144" s="8"/>
    </row>
    <row r="145" spans="1:36" s="10" customFormat="1" ht="15" customHeight="1" x14ac:dyDescent="0.25">
      <c r="A145" s="10" t="s">
        <v>142</v>
      </c>
      <c r="B145" s="11">
        <f>+B7+B25+B33+B39+B45+B56+B64+B71+B79+B86+B90+B96+B104+B111+B118+B125+B131+B137</f>
        <v>170621.54334916998</v>
      </c>
      <c r="C145" s="11">
        <f t="shared" ref="C145:Q145" si="134">+C7+C25+C33+C39+C45+C56+C64+C71+C79+C86+C90+C96+C104+C111+C118+C125+C131+C137</f>
        <v>114075.05359105002</v>
      </c>
      <c r="D145" s="11">
        <f t="shared" si="134"/>
        <v>126687.71990784</v>
      </c>
      <c r="E145" s="11">
        <f>SUM(B145:D145)</f>
        <v>411384.31684806</v>
      </c>
      <c r="F145" s="11">
        <f t="shared" si="134"/>
        <v>229123.62159859997</v>
      </c>
      <c r="G145" s="11">
        <f t="shared" si="134"/>
        <v>171744.16927610003</v>
      </c>
      <c r="H145" s="11">
        <f t="shared" si="134"/>
        <v>134929.75354309002</v>
      </c>
      <c r="I145" s="11">
        <f>SUM(F145:H145)</f>
        <v>535797.54441779002</v>
      </c>
      <c r="J145" s="11">
        <f t="shared" ref="J145" si="135">+E145+I145</f>
        <v>947181.86126585002</v>
      </c>
      <c r="K145" s="11">
        <f t="shared" si="134"/>
        <v>159674.51309532102</v>
      </c>
      <c r="L145" s="11">
        <f t="shared" si="134"/>
        <v>183506.09840773002</v>
      </c>
      <c r="M145" s="11">
        <f t="shared" si="134"/>
        <v>125818.63581995004</v>
      </c>
      <c r="N145" s="11">
        <f>SUM(K145:M145)</f>
        <v>468999.24732300104</v>
      </c>
      <c r="O145" s="11">
        <f t="shared" si="134"/>
        <v>162117.54579720006</v>
      </c>
      <c r="P145" s="11">
        <f t="shared" si="134"/>
        <v>190348.59769379004</v>
      </c>
      <c r="Q145" s="11">
        <f t="shared" si="134"/>
        <v>148048.36859579038</v>
      </c>
      <c r="R145" s="11">
        <f>SUM(O145:Q145)</f>
        <v>500514.51208678051</v>
      </c>
      <c r="S145" s="11">
        <f t="shared" ref="S145" si="136">+N145+R145</f>
        <v>969513.75940978155</v>
      </c>
      <c r="T145" s="11">
        <f>+J145+S145</f>
        <v>1916695.6206756316</v>
      </c>
      <c r="U145" s="11"/>
      <c r="V145" s="11"/>
    </row>
    <row r="146" spans="1:36" ht="15" customHeight="1" x14ac:dyDescent="0.3">
      <c r="B146" s="8"/>
      <c r="C146" s="8"/>
      <c r="D146" s="8"/>
      <c r="E146" s="8"/>
      <c r="F146" s="8"/>
      <c r="G146" s="8"/>
      <c r="H146" s="8"/>
      <c r="I146" s="8"/>
      <c r="J146" s="8"/>
      <c r="K146" s="8"/>
      <c r="L146" s="8"/>
      <c r="M146" s="8"/>
      <c r="N146" s="8"/>
      <c r="O146" s="8"/>
      <c r="P146" s="8"/>
      <c r="Q146" s="8"/>
      <c r="R146" s="8"/>
      <c r="S146" s="8"/>
      <c r="T146" s="8"/>
      <c r="U146" s="8"/>
      <c r="V146" s="8"/>
    </row>
    <row r="147" spans="1:36" s="10" customFormat="1" ht="15" customHeight="1" x14ac:dyDescent="0.25">
      <c r="A147" s="10" t="s">
        <v>143</v>
      </c>
      <c r="B147" s="11">
        <v>5031.1194220200005</v>
      </c>
      <c r="C147" s="11">
        <v>2521.0210977000002</v>
      </c>
      <c r="D147" s="11">
        <v>4199.92231567</v>
      </c>
      <c r="E147" s="11">
        <f>SUM(B147:D147)</f>
        <v>11752.062835389999</v>
      </c>
      <c r="F147" s="11">
        <v>3104.8340866200006</v>
      </c>
      <c r="G147" s="11">
        <v>3300.0660129299999</v>
      </c>
      <c r="H147" s="11">
        <v>3446.3737654699999</v>
      </c>
      <c r="I147" s="11">
        <f>SUM(F147:H147)</f>
        <v>9851.2738650200008</v>
      </c>
      <c r="J147" s="11">
        <f t="shared" ref="J147" si="137">+E147+I147</f>
        <v>21603.33670041</v>
      </c>
      <c r="K147" s="11">
        <v>5043.5919392200003</v>
      </c>
      <c r="L147" s="11">
        <v>2980.6907919699997</v>
      </c>
      <c r="M147" s="11">
        <v>5022.7752510499995</v>
      </c>
      <c r="N147" s="11">
        <f>SUM(K147:M147)</f>
        <v>13047.05798224</v>
      </c>
      <c r="O147" s="11">
        <v>3575.9428278999994</v>
      </c>
      <c r="P147" s="11">
        <v>3208.1738708800003</v>
      </c>
      <c r="Q147" s="11">
        <v>4350.4148936499996</v>
      </c>
      <c r="R147" s="11">
        <f>SUM(O147:Q147)</f>
        <v>11134.531592429999</v>
      </c>
      <c r="S147" s="11">
        <f t="shared" ref="S147" si="138">+N147+R147</f>
        <v>24181.589574669997</v>
      </c>
      <c r="T147" s="11">
        <f>+J147+S147</f>
        <v>45784.926275079997</v>
      </c>
      <c r="U147" s="11"/>
      <c r="V147" s="11"/>
      <c r="W147" s="15"/>
      <c r="X147" s="15"/>
      <c r="Y147" s="15"/>
      <c r="Z147" s="15"/>
      <c r="AA147" s="15"/>
      <c r="AB147" s="15"/>
      <c r="AC147" s="15"/>
      <c r="AD147" s="15"/>
      <c r="AE147" s="15"/>
      <c r="AF147" s="15"/>
      <c r="AG147" s="15"/>
      <c r="AH147" s="15"/>
      <c r="AI147" s="15"/>
      <c r="AJ147" s="15"/>
    </row>
    <row r="148" spans="1:36" s="10" customFormat="1" ht="15" customHeight="1" x14ac:dyDescent="0.2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spans="1:36" s="10" customFormat="1" ht="15" customHeight="1" x14ac:dyDescent="0.25">
      <c r="A149" s="10" t="s">
        <v>144</v>
      </c>
      <c r="B149" s="15">
        <v>15.095961320000001</v>
      </c>
      <c r="C149" s="15">
        <v>8.0743910999999997</v>
      </c>
      <c r="D149" s="15">
        <v>13.45155194</v>
      </c>
      <c r="E149" s="15">
        <f>SUM(B149:D149)</f>
        <v>36.621904360000002</v>
      </c>
      <c r="F149" s="15">
        <v>3.8776398399999978</v>
      </c>
      <c r="G149" s="15">
        <v>39.521857819999994</v>
      </c>
      <c r="H149" s="15">
        <v>18.285455640000002</v>
      </c>
      <c r="I149" s="15">
        <f>SUM(F149:H149)</f>
        <v>61.684953299999997</v>
      </c>
      <c r="J149" s="15">
        <f t="shared" ref="J149" si="139">+E149+I149</f>
        <v>98.306857659999991</v>
      </c>
      <c r="K149" s="15">
        <v>4.9596781099999996</v>
      </c>
      <c r="L149" s="15">
        <v>12.42217035</v>
      </c>
      <c r="M149" s="15">
        <v>21.916279670000002</v>
      </c>
      <c r="N149" s="15">
        <f>SUM(K149:M149)</f>
        <v>39.298128130000002</v>
      </c>
      <c r="O149" s="15">
        <v>2.4932071499999999</v>
      </c>
      <c r="P149" s="15">
        <v>13.429339280000001</v>
      </c>
      <c r="Q149" s="15">
        <v>8.4328810500000007</v>
      </c>
      <c r="R149" s="15">
        <f>SUM(O149:Q149)</f>
        <v>24.355427480000003</v>
      </c>
      <c r="S149" s="15">
        <f t="shared" ref="S149" si="140">+N149+R149</f>
        <v>63.653555610000005</v>
      </c>
      <c r="T149" s="15">
        <f>+J149+S149</f>
        <v>161.96041327</v>
      </c>
      <c r="U149" s="15"/>
      <c r="V149" s="15"/>
      <c r="W149" s="15"/>
      <c r="X149" s="15"/>
      <c r="Y149" s="15"/>
      <c r="Z149" s="15"/>
      <c r="AA149" s="15"/>
      <c r="AB149" s="15"/>
      <c r="AC149" s="15"/>
      <c r="AD149" s="15"/>
      <c r="AE149" s="15"/>
      <c r="AF149" s="15"/>
      <c r="AG149" s="15"/>
      <c r="AH149" s="15"/>
      <c r="AI149" s="15"/>
      <c r="AJ149" s="15"/>
    </row>
    <row r="150" spans="1:36" s="10" customFormat="1" ht="15" customHeight="1" x14ac:dyDescent="0.2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spans="1:36" s="10" customFormat="1" ht="15" customHeight="1" x14ac:dyDescent="0.25">
      <c r="A151" s="10" t="s">
        <v>145</v>
      </c>
      <c r="B151" s="15">
        <f>+B145+B147+B149</f>
        <v>175667.75873251</v>
      </c>
      <c r="C151" s="15">
        <f t="shared" ref="C151:Q151" si="141">+C145+C147+C149</f>
        <v>116604.14907985002</v>
      </c>
      <c r="D151" s="15">
        <f t="shared" si="141"/>
        <v>130901.09377545</v>
      </c>
      <c r="E151" s="15">
        <f>SUM(B151:D151)</f>
        <v>423173.00158781005</v>
      </c>
      <c r="F151" s="15">
        <f t="shared" si="141"/>
        <v>232232.33332505997</v>
      </c>
      <c r="G151" s="15">
        <f t="shared" si="141"/>
        <v>175083.75714685002</v>
      </c>
      <c r="H151" s="15">
        <f t="shared" si="141"/>
        <v>138394.41276420001</v>
      </c>
      <c r="I151" s="15">
        <f>SUM(F151:H151)</f>
        <v>545710.50323610997</v>
      </c>
      <c r="J151" s="15">
        <f t="shared" ref="J151" si="142">+E151+I151</f>
        <v>968883.50482392008</v>
      </c>
      <c r="K151" s="15">
        <f t="shared" si="141"/>
        <v>164723.06471265102</v>
      </c>
      <c r="L151" s="15">
        <f t="shared" si="141"/>
        <v>186499.21137005003</v>
      </c>
      <c r="M151" s="15">
        <f t="shared" si="141"/>
        <v>130863.32735067004</v>
      </c>
      <c r="N151" s="15">
        <f>SUM(K151:M151)</f>
        <v>482085.60343337106</v>
      </c>
      <c r="O151" s="15">
        <f t="shared" si="141"/>
        <v>165695.98183225005</v>
      </c>
      <c r="P151" s="15">
        <f t="shared" si="141"/>
        <v>193570.20090395006</v>
      </c>
      <c r="Q151" s="15">
        <f t="shared" si="141"/>
        <v>152407.21637049038</v>
      </c>
      <c r="R151" s="15">
        <f>SUM(O151:Q151)</f>
        <v>511673.39910669049</v>
      </c>
      <c r="S151" s="15">
        <f t="shared" ref="S151" si="143">+N151+R151</f>
        <v>993759.00254006148</v>
      </c>
      <c r="T151" s="15">
        <f>+J151+S151</f>
        <v>1962642.5073639816</v>
      </c>
      <c r="U151" s="15"/>
      <c r="V151" s="15"/>
      <c r="W151" s="15"/>
      <c r="X151" s="15"/>
      <c r="Y151" s="15"/>
      <c r="Z151" s="15"/>
      <c r="AA151" s="15"/>
      <c r="AB151" s="15"/>
      <c r="AC151" s="15"/>
      <c r="AD151" s="15"/>
      <c r="AE151" s="15"/>
      <c r="AF151" s="15"/>
      <c r="AG151" s="15"/>
      <c r="AH151" s="15"/>
      <c r="AI151" s="15"/>
      <c r="AJ151" s="15"/>
    </row>
    <row r="152" spans="1:36" s="10" customFormat="1" ht="15" customHeight="1" x14ac:dyDescent="0.2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spans="1:36" s="10" customFormat="1" ht="15" customHeight="1" x14ac:dyDescent="0.25">
      <c r="A153" s="10" t="s">
        <v>146</v>
      </c>
      <c r="B153" s="15">
        <v>0</v>
      </c>
      <c r="C153" s="15">
        <v>0</v>
      </c>
      <c r="D153" s="15">
        <v>-1.4043857500000001</v>
      </c>
      <c r="E153" s="15">
        <f>SUM(B153:D153)</f>
        <v>-1.4043857500000001</v>
      </c>
      <c r="F153" s="15">
        <v>-36.249918940000001</v>
      </c>
      <c r="G153" s="15">
        <v>-2694.3034681999989</v>
      </c>
      <c r="H153" s="15">
        <v>-1730.0056758600003</v>
      </c>
      <c r="I153" s="15">
        <f>SUM(F153:H153)</f>
        <v>-4460.5590629999988</v>
      </c>
      <c r="J153" s="15">
        <f t="shared" ref="J153" si="144">+E153+I153</f>
        <v>-4461.9634487499989</v>
      </c>
      <c r="K153" s="15">
        <v>-680.75202464999973</v>
      </c>
      <c r="L153" s="15">
        <v>-1408.6944403699999</v>
      </c>
      <c r="M153" s="15">
        <v>-348.88021408999998</v>
      </c>
      <c r="N153" s="15">
        <f>SUM(K153:M153)</f>
        <v>-2438.3266791099995</v>
      </c>
      <c r="O153" s="15">
        <v>-1066.8385990199999</v>
      </c>
      <c r="P153" s="15">
        <v>-1403.11221703</v>
      </c>
      <c r="Q153" s="15">
        <v>-1422.9834835300003</v>
      </c>
      <c r="R153" s="15">
        <f>SUM(O153:Q153)</f>
        <v>-3892.9342995800002</v>
      </c>
      <c r="S153" s="15">
        <f t="shared" ref="S153" si="145">+N153+R153</f>
        <v>-6331.2609786899993</v>
      </c>
      <c r="T153" s="15">
        <f>+J153+S153</f>
        <v>-10793.224427439998</v>
      </c>
      <c r="U153" s="15"/>
      <c r="V153" s="15"/>
      <c r="W153" s="15"/>
      <c r="X153" s="15"/>
      <c r="Y153" s="15"/>
      <c r="Z153" s="15"/>
      <c r="AA153" s="15"/>
      <c r="AB153" s="15"/>
      <c r="AC153" s="15"/>
      <c r="AD153" s="15"/>
      <c r="AE153" s="15"/>
      <c r="AF153" s="15"/>
      <c r="AG153" s="15"/>
      <c r="AH153" s="15"/>
      <c r="AI153" s="15"/>
      <c r="AJ153" s="15"/>
    </row>
    <row r="154" spans="1:36" s="10" customFormat="1" ht="15" customHeight="1" x14ac:dyDescent="0.2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spans="1:36" s="10" customFormat="1" ht="15" customHeight="1" x14ac:dyDescent="0.25">
      <c r="A155" s="10" t="s">
        <v>147</v>
      </c>
      <c r="B155" s="15">
        <f>+B151+B153</f>
        <v>175667.75873251</v>
      </c>
      <c r="C155" s="15">
        <f t="shared" ref="C155:Q155" si="146">+C151+C153</f>
        <v>116604.14907985002</v>
      </c>
      <c r="D155" s="15">
        <f t="shared" si="146"/>
        <v>130899.68938970001</v>
      </c>
      <c r="E155" s="15">
        <f>SUM(B155:D155)</f>
        <v>423171.59720206005</v>
      </c>
      <c r="F155" s="15">
        <f t="shared" si="146"/>
        <v>232196.08340611996</v>
      </c>
      <c r="G155" s="15">
        <f t="shared" si="146"/>
        <v>172389.45367865002</v>
      </c>
      <c r="H155" s="15">
        <f t="shared" si="146"/>
        <v>136664.40708834</v>
      </c>
      <c r="I155" s="15">
        <f>SUM(F155:H155)</f>
        <v>541249.94417310995</v>
      </c>
      <c r="J155" s="15">
        <f t="shared" ref="J155" si="147">+E155+I155</f>
        <v>964421.54137517</v>
      </c>
      <c r="K155" s="15">
        <f t="shared" si="146"/>
        <v>164042.31268800102</v>
      </c>
      <c r="L155" s="15">
        <f t="shared" si="146"/>
        <v>185090.51692968004</v>
      </c>
      <c r="M155" s="15">
        <f t="shared" si="146"/>
        <v>130514.44713658004</v>
      </c>
      <c r="N155" s="15">
        <f>SUM(K155:M155)</f>
        <v>479647.27675426111</v>
      </c>
      <c r="O155" s="15">
        <f t="shared" si="146"/>
        <v>164629.14323323005</v>
      </c>
      <c r="P155" s="15">
        <f t="shared" si="146"/>
        <v>192167.08868692006</v>
      </c>
      <c r="Q155" s="15">
        <f t="shared" si="146"/>
        <v>150984.23288696038</v>
      </c>
      <c r="R155" s="15">
        <f>SUM(O155:Q155)</f>
        <v>507780.46480711049</v>
      </c>
      <c r="S155" s="15">
        <f t="shared" ref="S155" si="148">+N155+R155</f>
        <v>987427.7415613716</v>
      </c>
      <c r="T155" s="15">
        <f>+J155+S155</f>
        <v>1951849.2829365416</v>
      </c>
      <c r="U155" s="15"/>
      <c r="V155" s="15"/>
      <c r="W155" s="15"/>
      <c r="X155" s="15"/>
      <c r="Y155" s="15"/>
      <c r="Z155" s="15"/>
      <c r="AA155" s="15"/>
      <c r="AB155" s="15"/>
      <c r="AC155" s="15"/>
      <c r="AD155" s="15"/>
      <c r="AE155" s="15"/>
      <c r="AF155" s="15"/>
      <c r="AG155" s="15"/>
      <c r="AH155" s="15"/>
      <c r="AI155" s="15"/>
      <c r="AJ155" s="15"/>
    </row>
    <row r="156" spans="1:36" s="10" customFormat="1" ht="15" customHeight="1" thickBot="1" x14ac:dyDescent="0.3">
      <c r="A156" s="16"/>
      <c r="B156" s="17"/>
      <c r="C156" s="17"/>
      <c r="D156" s="17"/>
      <c r="E156" s="17"/>
      <c r="F156" s="17"/>
      <c r="G156" s="17"/>
      <c r="H156" s="17"/>
      <c r="I156" s="17"/>
      <c r="J156" s="17"/>
      <c r="K156" s="17"/>
      <c r="L156" s="17"/>
      <c r="M156" s="17"/>
      <c r="N156" s="17"/>
      <c r="O156" s="17"/>
      <c r="P156" s="17"/>
      <c r="Q156" s="17"/>
      <c r="R156" s="17"/>
      <c r="S156" s="17"/>
      <c r="T156" s="17"/>
      <c r="U156" s="15"/>
      <c r="V156" s="15"/>
      <c r="W156" s="15"/>
      <c r="X156" s="15"/>
      <c r="Y156" s="15"/>
      <c r="Z156" s="15"/>
      <c r="AA156" s="15"/>
      <c r="AB156" s="15"/>
      <c r="AC156" s="15"/>
      <c r="AD156" s="15"/>
      <c r="AE156" s="15"/>
      <c r="AF156" s="15"/>
      <c r="AG156" s="15"/>
      <c r="AH156" s="15"/>
      <c r="AI156" s="15"/>
      <c r="AJ156" s="15"/>
    </row>
    <row r="157" spans="1:36" s="10" customFormat="1" ht="15" customHeight="1" thickTop="1" x14ac:dyDescent="0.25">
      <c r="A157" s="18" t="s">
        <v>148</v>
      </c>
      <c r="B157" s="19"/>
      <c r="C157" s="19"/>
      <c r="D157" s="19"/>
      <c r="E157" s="19"/>
      <c r="F157" s="19"/>
      <c r="G157" s="19"/>
      <c r="H157" s="19"/>
      <c r="I157" s="19"/>
      <c r="J157" s="19"/>
      <c r="K157" s="19"/>
      <c r="L157" s="19"/>
      <c r="M157" s="19"/>
      <c r="N157" s="19"/>
      <c r="O157" s="19"/>
      <c r="P157" s="19"/>
      <c r="Q157" s="19"/>
      <c r="R157" s="19"/>
      <c r="S157" s="19"/>
      <c r="T157" s="19"/>
      <c r="U157" s="15"/>
      <c r="V157" s="15"/>
      <c r="W157" s="15"/>
      <c r="X157" s="15"/>
      <c r="Y157" s="15"/>
      <c r="Z157" s="15"/>
      <c r="AA157" s="15"/>
      <c r="AB157" s="15"/>
      <c r="AC157" s="15"/>
      <c r="AD157" s="15"/>
      <c r="AE157" s="15"/>
      <c r="AF157" s="15"/>
      <c r="AG157" s="15"/>
      <c r="AH157" s="15"/>
      <c r="AI157" s="15"/>
      <c r="AJ157" s="15"/>
    </row>
    <row r="158" spans="1:36" s="10" customFormat="1" ht="15" customHeight="1" x14ac:dyDescent="0.25">
      <c r="A158" s="18"/>
      <c r="B158" s="19"/>
      <c r="C158" s="19"/>
      <c r="D158" s="19"/>
      <c r="E158" s="19"/>
      <c r="F158" s="19"/>
      <c r="G158" s="19"/>
      <c r="H158" s="19"/>
      <c r="I158" s="19"/>
      <c r="J158" s="19"/>
      <c r="K158" s="19"/>
      <c r="L158" s="19"/>
      <c r="M158" s="19"/>
      <c r="N158" s="19"/>
      <c r="O158" s="19"/>
      <c r="P158" s="19"/>
      <c r="Q158" s="19"/>
      <c r="R158" s="19"/>
      <c r="S158" s="19"/>
      <c r="T158" s="19"/>
      <c r="U158" s="15"/>
      <c r="V158" s="15"/>
      <c r="W158" s="15"/>
      <c r="X158" s="15"/>
      <c r="Y158" s="15"/>
      <c r="Z158" s="15"/>
      <c r="AA158" s="15"/>
      <c r="AB158" s="15"/>
      <c r="AC158" s="15"/>
      <c r="AD158" s="15"/>
      <c r="AE158" s="15"/>
      <c r="AF158" s="15"/>
      <c r="AG158" s="15"/>
      <c r="AH158" s="15"/>
      <c r="AI158" s="15"/>
      <c r="AJ158" s="15"/>
    </row>
    <row r="159" spans="1:36" s="10" customFormat="1" ht="15" customHeight="1" x14ac:dyDescent="0.3">
      <c r="A159" s="20" t="s">
        <v>149</v>
      </c>
      <c r="B159" s="21"/>
      <c r="C159" s="21"/>
      <c r="D159" s="21"/>
      <c r="E159" s="21"/>
      <c r="F159" s="21"/>
      <c r="G159" s="21"/>
      <c r="H159" s="21"/>
      <c r="I159" s="21"/>
      <c r="J159" s="21"/>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spans="1:36" s="10" customFormat="1" ht="15" customHeight="1" x14ac:dyDescent="0.3">
      <c r="A160" s="20" t="s">
        <v>171</v>
      </c>
      <c r="B160" s="22"/>
      <c r="C160" s="22"/>
      <c r="D160" s="22"/>
      <c r="E160" s="22"/>
      <c r="F160" s="22"/>
      <c r="G160" s="22"/>
      <c r="H160" s="22"/>
      <c r="I160" s="22"/>
      <c r="J160" s="22"/>
    </row>
    <row r="161" spans="1:10" ht="15" customHeight="1" x14ac:dyDescent="0.3">
      <c r="A161" s="23" t="s">
        <v>150</v>
      </c>
      <c r="B161" s="24"/>
      <c r="C161" s="24"/>
      <c r="D161" s="24"/>
      <c r="E161" s="24"/>
      <c r="F161" s="24"/>
      <c r="G161" s="24"/>
      <c r="H161" s="24"/>
      <c r="I161" s="24"/>
      <c r="J161" s="24"/>
    </row>
    <row r="162" spans="1:10" s="24" customFormat="1" ht="17.100000000000001" customHeight="1" x14ac:dyDescent="0.3">
      <c r="A162" s="25" t="s">
        <v>151</v>
      </c>
    </row>
    <row r="163" spans="1:10" s="24" customFormat="1" ht="17.100000000000001" customHeight="1" x14ac:dyDescent="0.3">
      <c r="A163" s="25" t="s">
        <v>152</v>
      </c>
    </row>
    <row r="164" spans="1:10" s="24" customFormat="1" ht="17.100000000000001" customHeight="1" x14ac:dyDescent="0.3">
      <c r="A164" s="25" t="s">
        <v>153</v>
      </c>
    </row>
    <row r="165" spans="1:10" s="24" customFormat="1" ht="17.100000000000001" customHeight="1" x14ac:dyDescent="0.3">
      <c r="A165" s="25" t="s">
        <v>154</v>
      </c>
    </row>
    <row r="166" spans="1:10" s="24" customFormat="1" ht="17.100000000000001" customHeight="1" x14ac:dyDescent="0.3">
      <c r="A166" s="25" t="s">
        <v>155</v>
      </c>
    </row>
    <row r="167" spans="1:10" s="24" customFormat="1" ht="15.95" customHeight="1" x14ac:dyDescent="0.3">
      <c r="A167" s="55" t="s">
        <v>156</v>
      </c>
      <c r="B167" s="55"/>
      <c r="C167" s="55"/>
      <c r="D167" s="55"/>
      <c r="E167" s="55"/>
      <c r="F167" s="55"/>
      <c r="G167" s="55"/>
      <c r="H167" s="55"/>
      <c r="I167" s="55"/>
      <c r="J167" s="55"/>
    </row>
    <row r="168" spans="1:10" s="24" customFormat="1" ht="15.95" customHeight="1" x14ac:dyDescent="0.3">
      <c r="A168" s="55"/>
      <c r="B168" s="55"/>
      <c r="C168" s="55"/>
      <c r="D168" s="55"/>
      <c r="E168" s="55"/>
      <c r="F168" s="55"/>
      <c r="G168" s="55"/>
      <c r="H168" s="55"/>
      <c r="I168" s="55"/>
      <c r="J168" s="55"/>
    </row>
    <row r="169" spans="1:10" s="24" customFormat="1" ht="17.100000000000001" customHeight="1" x14ac:dyDescent="0.3">
      <c r="A169" s="25" t="s">
        <v>157</v>
      </c>
    </row>
    <row r="170" spans="1:10" s="24" customFormat="1" ht="17.100000000000001" customHeight="1" x14ac:dyDescent="0.3">
      <c r="A170" s="25" t="s">
        <v>158</v>
      </c>
    </row>
    <row r="171" spans="1:10" s="24" customFormat="1" ht="15.95" customHeight="1" x14ac:dyDescent="0.3">
      <c r="A171" s="55" t="s">
        <v>159</v>
      </c>
      <c r="B171" s="55"/>
      <c r="C171" s="55"/>
      <c r="D171" s="55"/>
      <c r="E171" s="55"/>
      <c r="F171" s="55"/>
      <c r="G171" s="55"/>
      <c r="H171" s="55"/>
      <c r="I171" s="55"/>
      <c r="J171" s="55"/>
    </row>
    <row r="172" spans="1:10" s="24" customFormat="1" ht="15.95" customHeight="1" x14ac:dyDescent="0.3">
      <c r="A172" s="55"/>
      <c r="B172" s="55"/>
      <c r="C172" s="55"/>
      <c r="D172" s="55"/>
      <c r="E172" s="55"/>
      <c r="F172" s="55"/>
      <c r="G172" s="55"/>
      <c r="H172" s="55"/>
      <c r="I172" s="55"/>
      <c r="J172" s="55"/>
    </row>
    <row r="173" spans="1:10" s="24" customFormat="1" ht="17.100000000000001" customHeight="1" x14ac:dyDescent="0.3">
      <c r="A173" s="25" t="s">
        <v>160</v>
      </c>
    </row>
    <row r="174" spans="1:10" s="24" customFormat="1" ht="17.100000000000001" customHeight="1" x14ac:dyDescent="0.3">
      <c r="A174" s="25" t="s">
        <v>161</v>
      </c>
    </row>
    <row r="175" spans="1:10" s="24" customFormat="1" ht="17.100000000000001" customHeight="1" x14ac:dyDescent="0.3">
      <c r="A175" s="25" t="s">
        <v>162</v>
      </c>
      <c r="B175" s="25"/>
      <c r="C175" s="25"/>
      <c r="D175" s="25"/>
      <c r="E175" s="25"/>
      <c r="F175" s="25"/>
      <c r="G175" s="25"/>
      <c r="H175" s="25"/>
      <c r="I175" s="25"/>
      <c r="J175" s="25"/>
    </row>
    <row r="176" spans="1:10" s="24" customFormat="1" ht="17.100000000000001" customHeight="1" x14ac:dyDescent="0.3">
      <c r="A176" s="25" t="s">
        <v>163</v>
      </c>
    </row>
    <row r="177" spans="1:1" s="24" customFormat="1" ht="17.100000000000001" customHeight="1" x14ac:dyDescent="0.3">
      <c r="A177" s="25" t="s">
        <v>164</v>
      </c>
    </row>
    <row r="178" spans="1:1" s="24" customFormat="1" ht="13.5" x14ac:dyDescent="0.3"/>
    <row r="179" spans="1:1" s="24" customFormat="1" ht="13.5" x14ac:dyDescent="0.3"/>
    <row r="180" spans="1:1" s="24" customFormat="1" x14ac:dyDescent="0.3">
      <c r="A180" s="1"/>
    </row>
    <row r="181" spans="1:1" s="24" customFormat="1" ht="13.5" x14ac:dyDescent="0.3"/>
    <row r="182" spans="1:1" s="24" customFormat="1" ht="13.5" x14ac:dyDescent="0.3"/>
    <row r="183" spans="1:1" s="24" customFormat="1" ht="13.5" x14ac:dyDescent="0.3"/>
    <row r="184" spans="1:1" s="24" customFormat="1" ht="13.5" x14ac:dyDescent="0.3"/>
  </sheetData>
  <mergeCells count="2">
    <mergeCell ref="A167:J168"/>
    <mergeCell ref="A171:J172"/>
  </mergeCells>
  <printOptions horizontalCentered="1"/>
  <pageMargins left="0.2" right="0.2" top="0.5" bottom="0.5" header="0.3" footer="0.3"/>
  <pageSetup paperSize="14" scale="85" orientation="landscape" r:id="rId1"/>
  <headerFooter>
    <oddFooter>&amp;C&amp;"Century Gothic,Regular"&amp;8Page &amp;P of &amp;N</oddFooter>
  </headerFooter>
  <rowBreaks count="3" manualBreakCount="3">
    <brk id="78" max="16383" man="1"/>
    <brk id="110" max="16383" man="1"/>
    <brk id="14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F48B8-6745-4224-B2AE-E4F5FB3AFEAF}">
  <dimension ref="A1:AJ184"/>
  <sheetViews>
    <sheetView workbookViewId="0">
      <selection activeCell="A149" sqref="A149"/>
    </sheetView>
  </sheetViews>
  <sheetFormatPr defaultRowHeight="14.25" x14ac:dyDescent="0.3"/>
  <cols>
    <col min="1" max="1" width="50.625" style="3" customWidth="1"/>
    <col min="2" max="20" width="11.625" style="3" customWidth="1"/>
    <col min="21" max="16384" width="9" style="3"/>
  </cols>
  <sheetData>
    <row r="1" spans="1:22" x14ac:dyDescent="0.3">
      <c r="A1" s="1" t="s">
        <v>0</v>
      </c>
      <c r="B1" s="1"/>
      <c r="C1" s="1"/>
      <c r="D1" s="1"/>
      <c r="E1" s="1"/>
      <c r="F1" s="1"/>
      <c r="G1" s="1"/>
      <c r="H1" s="1"/>
      <c r="I1" s="1"/>
      <c r="J1" s="1"/>
      <c r="K1" s="1"/>
      <c r="L1" s="1"/>
      <c r="M1" s="1"/>
      <c r="N1" s="1"/>
      <c r="O1" s="1"/>
      <c r="P1" s="1"/>
      <c r="Q1" s="1"/>
      <c r="R1" s="2"/>
      <c r="S1" s="2"/>
    </row>
    <row r="2" spans="1:22" x14ac:dyDescent="0.3">
      <c r="A2" s="1" t="s">
        <v>172</v>
      </c>
      <c r="B2" s="1"/>
      <c r="C2" s="1"/>
      <c r="D2" s="1"/>
      <c r="E2" s="1"/>
      <c r="F2" s="1"/>
      <c r="G2" s="1"/>
      <c r="H2" s="1"/>
      <c r="I2" s="1"/>
      <c r="J2" s="1"/>
      <c r="K2" s="1"/>
      <c r="L2" s="1"/>
      <c r="M2" s="1"/>
      <c r="N2" s="1"/>
      <c r="O2" s="1"/>
      <c r="P2" s="1"/>
      <c r="Q2" s="1"/>
      <c r="R2" s="2"/>
      <c r="S2" s="2"/>
    </row>
    <row r="3" spans="1:22" x14ac:dyDescent="0.3">
      <c r="A3" s="1" t="s">
        <v>1</v>
      </c>
      <c r="B3" s="1"/>
      <c r="C3" s="1"/>
      <c r="D3" s="1"/>
      <c r="E3" s="1"/>
      <c r="F3" s="1"/>
      <c r="G3" s="1"/>
      <c r="H3" s="1"/>
      <c r="I3" s="1"/>
      <c r="J3" s="1"/>
      <c r="K3" s="1"/>
      <c r="L3" s="1"/>
      <c r="M3" s="1"/>
      <c r="N3" s="1"/>
      <c r="O3" s="1"/>
      <c r="P3" s="1"/>
      <c r="Q3" s="1"/>
      <c r="R3" s="2"/>
      <c r="S3" s="2"/>
    </row>
    <row r="4" spans="1:22" ht="15" thickBot="1" x14ac:dyDescent="0.35"/>
    <row r="5" spans="1:22" s="7" customFormat="1" ht="15" thickTop="1" thickBot="1" x14ac:dyDescent="0.3">
      <c r="A5" s="4" t="s">
        <v>2</v>
      </c>
      <c r="B5" s="5" t="s">
        <v>3</v>
      </c>
      <c r="C5" s="5" t="s">
        <v>4</v>
      </c>
      <c r="D5" s="5" t="s">
        <v>5</v>
      </c>
      <c r="E5" s="5" t="s">
        <v>6</v>
      </c>
      <c r="F5" s="5" t="s">
        <v>7</v>
      </c>
      <c r="G5" s="5" t="s">
        <v>8</v>
      </c>
      <c r="H5" s="5" t="s">
        <v>9</v>
      </c>
      <c r="I5" s="5" t="s">
        <v>10</v>
      </c>
      <c r="J5" s="5" t="s">
        <v>11</v>
      </c>
      <c r="K5" s="5" t="s">
        <v>12</v>
      </c>
      <c r="L5" s="5" t="s">
        <v>13</v>
      </c>
      <c r="M5" s="5" t="s">
        <v>14</v>
      </c>
      <c r="N5" s="5" t="s">
        <v>15</v>
      </c>
      <c r="O5" s="5" t="s">
        <v>16</v>
      </c>
      <c r="P5" s="5" t="s">
        <v>17</v>
      </c>
      <c r="Q5" s="6" t="s">
        <v>18</v>
      </c>
      <c r="R5" s="5" t="s">
        <v>19</v>
      </c>
      <c r="S5" s="5" t="s">
        <v>20</v>
      </c>
      <c r="T5" s="5" t="s">
        <v>21</v>
      </c>
    </row>
    <row r="6" spans="1:22" s="9" customFormat="1" ht="15" thickTop="1" x14ac:dyDescent="0.3">
      <c r="A6" s="3"/>
      <c r="B6" s="8"/>
      <c r="C6" s="8"/>
      <c r="D6" s="8"/>
      <c r="E6" s="8"/>
      <c r="F6" s="8"/>
      <c r="G6" s="8"/>
      <c r="H6" s="8"/>
      <c r="I6" s="8"/>
      <c r="J6" s="8"/>
      <c r="K6" s="8"/>
      <c r="L6" s="8"/>
      <c r="M6" s="8"/>
      <c r="N6" s="8"/>
      <c r="O6" s="8"/>
      <c r="P6" s="8"/>
      <c r="Q6" s="8"/>
      <c r="R6" s="8"/>
      <c r="S6" s="8"/>
      <c r="T6" s="8"/>
      <c r="U6" s="8"/>
      <c r="V6" s="8"/>
    </row>
    <row r="7" spans="1:22" s="10" customFormat="1" ht="15" customHeight="1" x14ac:dyDescent="0.25">
      <c r="A7" s="10" t="s">
        <v>22</v>
      </c>
      <c r="B7" s="11">
        <f>SUM(B8:B23)</f>
        <v>149322.44142870003</v>
      </c>
      <c r="C7" s="11">
        <f t="shared" ref="C7:Q7" si="0">SUM(C8:C23)</f>
        <v>113247.46087425001</v>
      </c>
      <c r="D7" s="11">
        <f t="shared" si="0"/>
        <v>119952.24903465003</v>
      </c>
      <c r="E7" s="11">
        <f>SUM(B7:D7)</f>
        <v>382522.15133760008</v>
      </c>
      <c r="F7" s="11">
        <f t="shared" si="0"/>
        <v>193558.42797702001</v>
      </c>
      <c r="G7" s="11">
        <f t="shared" si="0"/>
        <v>174212.42222099</v>
      </c>
      <c r="H7" s="11">
        <f t="shared" si="0"/>
        <v>132600.44790453001</v>
      </c>
      <c r="I7" s="11">
        <f>SUM(F7:H7)</f>
        <v>500371.29810253996</v>
      </c>
      <c r="J7" s="11">
        <f>+E7+I7</f>
        <v>882893.44944014004</v>
      </c>
      <c r="K7" s="11">
        <f t="shared" si="0"/>
        <v>147320.64220571</v>
      </c>
      <c r="L7" s="11">
        <f t="shared" si="0"/>
        <v>172974.10418108001</v>
      </c>
      <c r="M7" s="11">
        <f t="shared" si="0"/>
        <v>121772.72603283</v>
      </c>
      <c r="N7" s="11">
        <f>SUM(K7:M7)</f>
        <v>442067.47241962003</v>
      </c>
      <c r="O7" s="11">
        <f t="shared" si="0"/>
        <v>148220.9011087</v>
      </c>
      <c r="P7" s="11">
        <f t="shared" si="0"/>
        <v>196926.37445746997</v>
      </c>
      <c r="Q7" s="11">
        <f t="shared" si="0"/>
        <v>135115.55699429999</v>
      </c>
      <c r="R7" s="11">
        <f>SUM(O7:Q7)</f>
        <v>480262.83256046998</v>
      </c>
      <c r="S7" s="11">
        <f>+N7+R7</f>
        <v>922330.30498009</v>
      </c>
      <c r="T7" s="11">
        <f>+J7+S7</f>
        <v>1805223.7544202302</v>
      </c>
      <c r="U7" s="11"/>
      <c r="V7" s="11"/>
    </row>
    <row r="8" spans="1:22" ht="15" customHeight="1" x14ac:dyDescent="0.3">
      <c r="A8" s="12" t="s">
        <v>23</v>
      </c>
      <c r="B8" s="8">
        <v>537.57832203999999</v>
      </c>
      <c r="C8" s="8">
        <v>351.49485136999988</v>
      </c>
      <c r="D8" s="8">
        <v>415.09667589999987</v>
      </c>
      <c r="E8" s="8">
        <f t="shared" ref="E8:E23" si="1">SUM(B8:D8)</f>
        <v>1304.1698493099998</v>
      </c>
      <c r="F8" s="8">
        <v>727.12617686999999</v>
      </c>
      <c r="G8" s="8">
        <v>530.21714339000027</v>
      </c>
      <c r="H8" s="8">
        <v>446.46182835999991</v>
      </c>
      <c r="I8" s="8">
        <f t="shared" ref="I8:I23" si="2">SUM(F8:H8)</f>
        <v>1703.8051486200002</v>
      </c>
      <c r="J8" s="8">
        <f t="shared" ref="J8:J71" si="3">+E8+I8</f>
        <v>3007.97499793</v>
      </c>
      <c r="K8" s="8">
        <v>510.07142408999965</v>
      </c>
      <c r="L8" s="8">
        <v>559.94643207999968</v>
      </c>
      <c r="M8" s="8">
        <v>437.96827169999989</v>
      </c>
      <c r="N8" s="8">
        <f t="shared" ref="N8:N23" si="4">SUM(K8:M8)</f>
        <v>1507.9861278699991</v>
      </c>
      <c r="O8" s="8">
        <v>566.64834121999968</v>
      </c>
      <c r="P8" s="8">
        <v>627.11148205000018</v>
      </c>
      <c r="Q8" s="8">
        <v>438.37072694999983</v>
      </c>
      <c r="R8" s="8">
        <f t="shared" ref="R8:R23" si="5">SUM(O8:Q8)</f>
        <v>1632.1305502199996</v>
      </c>
      <c r="S8" s="8">
        <f t="shared" ref="S8:S71" si="6">+N8+R8</f>
        <v>3140.1166780899985</v>
      </c>
      <c r="T8" s="8">
        <f t="shared" ref="T8:T23" si="7">+J8+S8</f>
        <v>6148.091676019998</v>
      </c>
      <c r="U8" s="8"/>
      <c r="V8" s="8"/>
    </row>
    <row r="9" spans="1:22" ht="15" customHeight="1" x14ac:dyDescent="0.3">
      <c r="A9" s="12" t="s">
        <v>24</v>
      </c>
      <c r="B9" s="8">
        <v>515.85570258999985</v>
      </c>
      <c r="C9" s="8">
        <v>366.98458416999989</v>
      </c>
      <c r="D9" s="8">
        <v>417.86889405000051</v>
      </c>
      <c r="E9" s="8">
        <f t="shared" si="1"/>
        <v>1300.7091808100004</v>
      </c>
      <c r="F9" s="8">
        <v>757.01896043000022</v>
      </c>
      <c r="G9" s="8">
        <v>547.49679921000006</v>
      </c>
      <c r="H9" s="8">
        <v>442.11450410000037</v>
      </c>
      <c r="I9" s="8">
        <f t="shared" si="2"/>
        <v>1746.6302637400008</v>
      </c>
      <c r="J9" s="8">
        <f t="shared" si="3"/>
        <v>3047.3394445500012</v>
      </c>
      <c r="K9" s="8">
        <v>663.00125231000027</v>
      </c>
      <c r="L9" s="8">
        <v>671.11263717999987</v>
      </c>
      <c r="M9" s="8">
        <v>499.71856540999983</v>
      </c>
      <c r="N9" s="8">
        <f t="shared" si="4"/>
        <v>1833.8324548999999</v>
      </c>
      <c r="O9" s="8">
        <v>594.27496607000035</v>
      </c>
      <c r="P9" s="8">
        <v>1199.7867374099992</v>
      </c>
      <c r="Q9" s="8">
        <v>588.44243747999985</v>
      </c>
      <c r="R9" s="8">
        <f t="shared" si="5"/>
        <v>2382.5041409599994</v>
      </c>
      <c r="S9" s="8">
        <f t="shared" si="6"/>
        <v>4216.3365958599989</v>
      </c>
      <c r="T9" s="8">
        <f t="shared" si="7"/>
        <v>7263.6760404100005</v>
      </c>
      <c r="U9" s="8"/>
      <c r="V9" s="8"/>
    </row>
    <row r="10" spans="1:22" ht="15" customHeight="1" x14ac:dyDescent="0.3">
      <c r="A10" s="12" t="s">
        <v>25</v>
      </c>
      <c r="B10" s="8">
        <v>10325.330310859998</v>
      </c>
      <c r="C10" s="8">
        <v>5922.457040770003</v>
      </c>
      <c r="D10" s="8">
        <v>6530.3034306599984</v>
      </c>
      <c r="E10" s="8">
        <f t="shared" si="1"/>
        <v>22778.090782289997</v>
      </c>
      <c r="F10" s="8">
        <v>12730.622098870001</v>
      </c>
      <c r="G10" s="8">
        <v>10220.653323569997</v>
      </c>
      <c r="H10" s="8">
        <v>6807.6572704500004</v>
      </c>
      <c r="I10" s="8">
        <f t="shared" si="2"/>
        <v>29758.932692889997</v>
      </c>
      <c r="J10" s="8">
        <f t="shared" si="3"/>
        <v>52537.023475179994</v>
      </c>
      <c r="K10" s="8">
        <v>8885.2329054499987</v>
      </c>
      <c r="L10" s="8">
        <v>9773.625681720001</v>
      </c>
      <c r="M10" s="8">
        <v>8557.2477911900023</v>
      </c>
      <c r="N10" s="8">
        <f t="shared" si="4"/>
        <v>27216.10637836</v>
      </c>
      <c r="O10" s="8">
        <v>10067.269714599997</v>
      </c>
      <c r="P10" s="8">
        <v>12927.18797546001</v>
      </c>
      <c r="Q10" s="8">
        <v>8569.9982874000034</v>
      </c>
      <c r="R10" s="8">
        <f t="shared" si="5"/>
        <v>31564.455977460013</v>
      </c>
      <c r="S10" s="8">
        <f t="shared" si="6"/>
        <v>58780.562355820017</v>
      </c>
      <c r="T10" s="8">
        <f t="shared" si="7"/>
        <v>111317.585831</v>
      </c>
      <c r="U10" s="8"/>
      <c r="V10" s="8"/>
    </row>
    <row r="11" spans="1:22" ht="15" customHeight="1" x14ac:dyDescent="0.3">
      <c r="A11" s="12" t="s">
        <v>26</v>
      </c>
      <c r="B11" s="8">
        <v>320.48264899999992</v>
      </c>
      <c r="C11" s="8">
        <v>199.8424170200002</v>
      </c>
      <c r="D11" s="8">
        <v>221.65163716999982</v>
      </c>
      <c r="E11" s="8">
        <f t="shared" si="1"/>
        <v>741.97670318999997</v>
      </c>
      <c r="F11" s="8">
        <v>450.68090554999992</v>
      </c>
      <c r="G11" s="8">
        <v>321.92922897000051</v>
      </c>
      <c r="H11" s="8">
        <v>248.26407854000013</v>
      </c>
      <c r="I11" s="8">
        <f t="shared" si="2"/>
        <v>1020.8742130600006</v>
      </c>
      <c r="J11" s="8">
        <f t="shared" si="3"/>
        <v>1762.8509162500004</v>
      </c>
      <c r="K11" s="8">
        <v>280.20063645000022</v>
      </c>
      <c r="L11" s="8">
        <v>377.74166869000038</v>
      </c>
      <c r="M11" s="8">
        <v>268.11507094000001</v>
      </c>
      <c r="N11" s="8">
        <f t="shared" si="4"/>
        <v>926.05737608000061</v>
      </c>
      <c r="O11" s="8">
        <v>311.02709137999989</v>
      </c>
      <c r="P11" s="8">
        <v>389.27170987</v>
      </c>
      <c r="Q11" s="8">
        <v>266.64089287999997</v>
      </c>
      <c r="R11" s="8">
        <f t="shared" si="5"/>
        <v>966.93969412999991</v>
      </c>
      <c r="S11" s="8">
        <f t="shared" si="6"/>
        <v>1892.9970702100004</v>
      </c>
      <c r="T11" s="8">
        <f t="shared" si="7"/>
        <v>3655.8479864600008</v>
      </c>
      <c r="U11" s="8"/>
      <c r="V11" s="8"/>
    </row>
    <row r="12" spans="1:22" ht="15" customHeight="1" x14ac:dyDescent="0.3">
      <c r="A12" s="12" t="s">
        <v>27</v>
      </c>
      <c r="B12" s="8">
        <v>1996.2311881200005</v>
      </c>
      <c r="C12" s="8">
        <v>1255.6471691399988</v>
      </c>
      <c r="D12" s="8">
        <v>1234.1732623099992</v>
      </c>
      <c r="E12" s="8">
        <f t="shared" si="1"/>
        <v>4486.0516195699984</v>
      </c>
      <c r="F12" s="8">
        <v>2502.052031459998</v>
      </c>
      <c r="G12" s="8">
        <v>1740.0241671000003</v>
      </c>
      <c r="H12" s="8">
        <v>1217.295398160001</v>
      </c>
      <c r="I12" s="8">
        <f t="shared" si="2"/>
        <v>5459.3715967199996</v>
      </c>
      <c r="J12" s="8">
        <f t="shared" si="3"/>
        <v>9945.4232162899971</v>
      </c>
      <c r="K12" s="8">
        <v>1570.5883299700004</v>
      </c>
      <c r="L12" s="8">
        <v>1740.6697985199994</v>
      </c>
      <c r="M12" s="8">
        <v>1338.5468682799999</v>
      </c>
      <c r="N12" s="8">
        <f t="shared" si="4"/>
        <v>4649.8049967699999</v>
      </c>
      <c r="O12" s="8">
        <v>1734.0165116300002</v>
      </c>
      <c r="P12" s="8">
        <v>1941.9785447399993</v>
      </c>
      <c r="Q12" s="8">
        <v>1708.757328210002</v>
      </c>
      <c r="R12" s="8">
        <f t="shared" si="5"/>
        <v>5384.7523845800015</v>
      </c>
      <c r="S12" s="8">
        <f t="shared" si="6"/>
        <v>10034.557381350001</v>
      </c>
      <c r="T12" s="8">
        <f t="shared" si="7"/>
        <v>19979.980597639998</v>
      </c>
      <c r="U12" s="8"/>
      <c r="V12" s="8"/>
    </row>
    <row r="13" spans="1:22" ht="15" customHeight="1" x14ac:dyDescent="0.3">
      <c r="A13" s="12" t="s">
        <v>28</v>
      </c>
      <c r="B13" s="8">
        <v>4101.7571269099999</v>
      </c>
      <c r="C13" s="8">
        <v>3664.0814887999995</v>
      </c>
      <c r="D13" s="8">
        <v>2866.4505037300009</v>
      </c>
      <c r="E13" s="8">
        <f t="shared" si="1"/>
        <v>10632.28911944</v>
      </c>
      <c r="F13" s="8">
        <v>5002.4365777099993</v>
      </c>
      <c r="G13" s="8">
        <v>3488.2588976799984</v>
      </c>
      <c r="H13" s="8">
        <v>3365.1787793499998</v>
      </c>
      <c r="I13" s="8">
        <f t="shared" si="2"/>
        <v>11855.874254739996</v>
      </c>
      <c r="J13" s="8">
        <f t="shared" si="3"/>
        <v>22488.163374179996</v>
      </c>
      <c r="K13" s="8">
        <v>3876.9339649099993</v>
      </c>
      <c r="L13" s="8">
        <v>3905.3482436099985</v>
      </c>
      <c r="M13" s="8">
        <v>3382.0399251000008</v>
      </c>
      <c r="N13" s="8">
        <f t="shared" si="4"/>
        <v>11164.322133619999</v>
      </c>
      <c r="O13" s="8">
        <v>4113.7171529199995</v>
      </c>
      <c r="P13" s="8">
        <v>4923.9031437899985</v>
      </c>
      <c r="Q13" s="8">
        <v>4241.8519373699983</v>
      </c>
      <c r="R13" s="8">
        <f t="shared" si="5"/>
        <v>13279.472234079996</v>
      </c>
      <c r="S13" s="8">
        <f t="shared" si="6"/>
        <v>24443.794367699993</v>
      </c>
      <c r="T13" s="8">
        <f t="shared" si="7"/>
        <v>46931.957741879989</v>
      </c>
      <c r="U13" s="8"/>
      <c r="V13" s="8"/>
    </row>
    <row r="14" spans="1:22" ht="18" customHeight="1" x14ac:dyDescent="0.3">
      <c r="A14" s="12" t="s">
        <v>29</v>
      </c>
      <c r="B14" s="8">
        <v>581.75040122000019</v>
      </c>
      <c r="C14" s="8">
        <v>451.96591338000025</v>
      </c>
      <c r="D14" s="8">
        <v>500.51803980999927</v>
      </c>
      <c r="E14" s="8">
        <f t="shared" si="1"/>
        <v>1534.2343544099997</v>
      </c>
      <c r="F14" s="8">
        <v>838.78995922999979</v>
      </c>
      <c r="G14" s="8">
        <v>609.54790974999912</v>
      </c>
      <c r="H14" s="8">
        <v>486.75543105000014</v>
      </c>
      <c r="I14" s="8">
        <f t="shared" si="2"/>
        <v>1935.093300029999</v>
      </c>
      <c r="J14" s="8">
        <f t="shared" si="3"/>
        <v>3469.3276544399987</v>
      </c>
      <c r="K14" s="8">
        <v>627.89680957000019</v>
      </c>
      <c r="L14" s="8">
        <v>647.11543538000012</v>
      </c>
      <c r="M14" s="8">
        <v>578.45624072999999</v>
      </c>
      <c r="N14" s="8">
        <f t="shared" si="4"/>
        <v>1853.4684856800004</v>
      </c>
      <c r="O14" s="8">
        <v>641.46441469999934</v>
      </c>
      <c r="P14" s="8">
        <v>732.57278756999995</v>
      </c>
      <c r="Q14" s="8">
        <v>533.71979273000011</v>
      </c>
      <c r="R14" s="8">
        <f t="shared" si="5"/>
        <v>1907.7569949999995</v>
      </c>
      <c r="S14" s="8">
        <f t="shared" si="6"/>
        <v>3761.2254806800001</v>
      </c>
      <c r="T14" s="8">
        <f t="shared" si="7"/>
        <v>7230.5531351199988</v>
      </c>
      <c r="U14" s="8"/>
      <c r="V14" s="8"/>
    </row>
    <row r="15" spans="1:22" ht="15" customHeight="1" x14ac:dyDescent="0.3">
      <c r="A15" s="12" t="s">
        <v>30</v>
      </c>
      <c r="B15" s="8">
        <v>1086.2160966499998</v>
      </c>
      <c r="C15" s="8">
        <v>765.14413952000007</v>
      </c>
      <c r="D15" s="8">
        <v>849.20938797999952</v>
      </c>
      <c r="E15" s="8">
        <f t="shared" si="1"/>
        <v>2700.5696241499995</v>
      </c>
      <c r="F15" s="8">
        <v>1521.3838088000014</v>
      </c>
      <c r="G15" s="8">
        <v>1242.4769172299993</v>
      </c>
      <c r="H15" s="8">
        <v>846.43994796000118</v>
      </c>
      <c r="I15" s="8">
        <f t="shared" si="2"/>
        <v>3610.3006739900015</v>
      </c>
      <c r="J15" s="8">
        <f t="shared" si="3"/>
        <v>6310.8702981400011</v>
      </c>
      <c r="K15" s="8">
        <v>1248.64444228</v>
      </c>
      <c r="L15" s="8">
        <v>1248.3301249799997</v>
      </c>
      <c r="M15" s="8">
        <v>988.75875135999968</v>
      </c>
      <c r="N15" s="8">
        <f t="shared" si="4"/>
        <v>3485.7333186199994</v>
      </c>
      <c r="O15" s="8">
        <v>1327.5540480000016</v>
      </c>
      <c r="P15" s="8">
        <v>1324.1898540799989</v>
      </c>
      <c r="Q15" s="8">
        <v>1099.5421451899995</v>
      </c>
      <c r="R15" s="8">
        <f t="shared" si="5"/>
        <v>3751.2860472699995</v>
      </c>
      <c r="S15" s="8">
        <f t="shared" si="6"/>
        <v>7237.0193658899989</v>
      </c>
      <c r="T15" s="8">
        <f t="shared" si="7"/>
        <v>13547.889664030001</v>
      </c>
      <c r="U15" s="8"/>
      <c r="V15" s="8"/>
    </row>
    <row r="16" spans="1:22" ht="15" customHeight="1" x14ac:dyDescent="0.3">
      <c r="A16" s="12" t="s">
        <v>31</v>
      </c>
      <c r="B16" s="8">
        <v>1286.9789994300004</v>
      </c>
      <c r="C16" s="8">
        <v>925.15152719000014</v>
      </c>
      <c r="D16" s="8">
        <v>882.24404617000164</v>
      </c>
      <c r="E16" s="8">
        <f t="shared" si="1"/>
        <v>3094.3745727900023</v>
      </c>
      <c r="F16" s="8">
        <v>1914.1945443200011</v>
      </c>
      <c r="G16" s="8">
        <v>1256.0832044599993</v>
      </c>
      <c r="H16" s="8">
        <v>953.26621607000027</v>
      </c>
      <c r="I16" s="8">
        <f t="shared" si="2"/>
        <v>4123.5439648500005</v>
      </c>
      <c r="J16" s="8">
        <f t="shared" si="3"/>
        <v>7217.9185376400028</v>
      </c>
      <c r="K16" s="8">
        <v>1384.0367551900033</v>
      </c>
      <c r="L16" s="8">
        <v>1586.8261826700009</v>
      </c>
      <c r="M16" s="8">
        <v>1104.2560296200015</v>
      </c>
      <c r="N16" s="8">
        <f t="shared" si="4"/>
        <v>4075.1189674800062</v>
      </c>
      <c r="O16" s="8">
        <v>1414.7678154000027</v>
      </c>
      <c r="P16" s="8">
        <v>1708.9142237099995</v>
      </c>
      <c r="Q16" s="8">
        <v>1164.3098636600009</v>
      </c>
      <c r="R16" s="8">
        <f t="shared" si="5"/>
        <v>4287.9919027700034</v>
      </c>
      <c r="S16" s="8">
        <f t="shared" si="6"/>
        <v>8363.1108702500096</v>
      </c>
      <c r="T16" s="8">
        <f t="shared" si="7"/>
        <v>15581.029407890011</v>
      </c>
      <c r="U16" s="8"/>
      <c r="V16" s="8"/>
    </row>
    <row r="17" spans="1:22" ht="15" customHeight="1" x14ac:dyDescent="0.3">
      <c r="A17" s="12" t="s">
        <v>32</v>
      </c>
      <c r="B17" s="8">
        <v>1737.2959435200005</v>
      </c>
      <c r="C17" s="8">
        <v>1002.1040495299995</v>
      </c>
      <c r="D17" s="8">
        <v>1064.2219658500017</v>
      </c>
      <c r="E17" s="8">
        <f t="shared" si="1"/>
        <v>3803.6219589000016</v>
      </c>
      <c r="F17" s="8">
        <v>2682.1448738700001</v>
      </c>
      <c r="G17" s="8">
        <v>1613.3511164300028</v>
      </c>
      <c r="H17" s="8">
        <v>1165.1380778799987</v>
      </c>
      <c r="I17" s="8">
        <f t="shared" si="2"/>
        <v>5460.6340681800011</v>
      </c>
      <c r="J17" s="8">
        <f t="shared" si="3"/>
        <v>9264.2560270800022</v>
      </c>
      <c r="K17" s="8">
        <v>1397.1441426099987</v>
      </c>
      <c r="L17" s="8">
        <v>2070.5508152200023</v>
      </c>
      <c r="M17" s="8">
        <v>1314.2114075300003</v>
      </c>
      <c r="N17" s="8">
        <f t="shared" si="4"/>
        <v>4781.9063653600015</v>
      </c>
      <c r="O17" s="8">
        <v>2025.3098469399997</v>
      </c>
      <c r="P17" s="8">
        <v>1872.3365370700008</v>
      </c>
      <c r="Q17" s="8">
        <v>1959.4763697199996</v>
      </c>
      <c r="R17" s="8">
        <f t="shared" si="5"/>
        <v>5857.1227537300001</v>
      </c>
      <c r="S17" s="8">
        <f t="shared" si="6"/>
        <v>10639.029119090002</v>
      </c>
      <c r="T17" s="8">
        <f t="shared" si="7"/>
        <v>19903.285146170005</v>
      </c>
      <c r="U17" s="8"/>
      <c r="V17" s="8"/>
    </row>
    <row r="18" spans="1:22" ht="15" customHeight="1" x14ac:dyDescent="0.3">
      <c r="A18" s="12" t="s">
        <v>33</v>
      </c>
      <c r="B18" s="8">
        <v>3283.8983758600002</v>
      </c>
      <c r="C18" s="8">
        <v>2322.2920336400034</v>
      </c>
      <c r="D18" s="8">
        <v>2147.3870012999978</v>
      </c>
      <c r="E18" s="8">
        <f t="shared" si="1"/>
        <v>7753.5774108000014</v>
      </c>
      <c r="F18" s="8">
        <v>4523.6263912999966</v>
      </c>
      <c r="G18" s="8">
        <v>3099.5449760100032</v>
      </c>
      <c r="H18" s="8">
        <v>2439.8557909099941</v>
      </c>
      <c r="I18" s="8">
        <f t="shared" si="2"/>
        <v>10063.027158219995</v>
      </c>
      <c r="J18" s="8">
        <f t="shared" si="3"/>
        <v>17816.604569019997</v>
      </c>
      <c r="K18" s="8">
        <v>3048.6899943599997</v>
      </c>
      <c r="L18" s="8">
        <v>3255.9593042800011</v>
      </c>
      <c r="M18" s="8">
        <v>2728.8495037399989</v>
      </c>
      <c r="N18" s="8">
        <f t="shared" si="4"/>
        <v>9033.4988023799997</v>
      </c>
      <c r="O18" s="8">
        <v>3020.9270720099998</v>
      </c>
      <c r="P18" s="8">
        <v>3462.8730002599987</v>
      </c>
      <c r="Q18" s="8">
        <v>2894.63934346</v>
      </c>
      <c r="R18" s="8">
        <f t="shared" si="5"/>
        <v>9378.4394157299976</v>
      </c>
      <c r="S18" s="8">
        <f t="shared" si="6"/>
        <v>18411.938218109997</v>
      </c>
      <c r="T18" s="8">
        <f t="shared" si="7"/>
        <v>36228.542787129991</v>
      </c>
      <c r="U18" s="8"/>
      <c r="V18" s="8"/>
    </row>
    <row r="19" spans="1:22" ht="15" customHeight="1" x14ac:dyDescent="0.3">
      <c r="A19" s="12" t="s">
        <v>34</v>
      </c>
      <c r="B19" s="8">
        <v>6793.7721237799997</v>
      </c>
      <c r="C19" s="8">
        <v>4756.6495210199982</v>
      </c>
      <c r="D19" s="8">
        <v>5409.2308579000055</v>
      </c>
      <c r="E19" s="8">
        <f t="shared" si="1"/>
        <v>16959.652502700003</v>
      </c>
      <c r="F19" s="8">
        <v>9461.165953810003</v>
      </c>
      <c r="G19" s="8">
        <v>7053.2325073299999</v>
      </c>
      <c r="H19" s="8">
        <v>5530.5401360499982</v>
      </c>
      <c r="I19" s="8">
        <f t="shared" si="2"/>
        <v>22044.938597189997</v>
      </c>
      <c r="J19" s="8">
        <f t="shared" si="3"/>
        <v>39004.59109989</v>
      </c>
      <c r="K19" s="8">
        <v>7316.7782831099958</v>
      </c>
      <c r="L19" s="8">
        <v>6936.3726997599988</v>
      </c>
      <c r="M19" s="8">
        <v>5797.8086431299971</v>
      </c>
      <c r="N19" s="8">
        <f t="shared" si="4"/>
        <v>20050.959625999993</v>
      </c>
      <c r="O19" s="8">
        <v>6993.0026540699982</v>
      </c>
      <c r="P19" s="8">
        <v>7500.9015067100026</v>
      </c>
      <c r="Q19" s="8">
        <v>6568.9769522200031</v>
      </c>
      <c r="R19" s="8">
        <f t="shared" si="5"/>
        <v>21062.881113000003</v>
      </c>
      <c r="S19" s="8">
        <f t="shared" si="6"/>
        <v>41113.840738999992</v>
      </c>
      <c r="T19" s="8">
        <f t="shared" si="7"/>
        <v>80118.431838889985</v>
      </c>
      <c r="U19" s="8"/>
      <c r="V19" s="8"/>
    </row>
    <row r="20" spans="1:22" ht="15" customHeight="1" x14ac:dyDescent="0.3">
      <c r="A20" s="12" t="s">
        <v>35</v>
      </c>
      <c r="B20" s="8">
        <v>576.51087746000007</v>
      </c>
      <c r="C20" s="8">
        <v>399.89060566999984</v>
      </c>
      <c r="D20" s="8">
        <v>398.1412879799999</v>
      </c>
      <c r="E20" s="8">
        <f t="shared" si="1"/>
        <v>1374.5427711099996</v>
      </c>
      <c r="F20" s="8">
        <v>858.43794910000031</v>
      </c>
      <c r="G20" s="8">
        <v>587.19297804000007</v>
      </c>
      <c r="H20" s="8">
        <v>512.6538931399997</v>
      </c>
      <c r="I20" s="8">
        <f t="shared" si="2"/>
        <v>1958.2848202800001</v>
      </c>
      <c r="J20" s="8">
        <f t="shared" si="3"/>
        <v>3332.8275913899997</v>
      </c>
      <c r="K20" s="8">
        <v>554.36728945999982</v>
      </c>
      <c r="L20" s="8">
        <v>587.66201528000022</v>
      </c>
      <c r="M20" s="8">
        <v>445.89451513000012</v>
      </c>
      <c r="N20" s="8">
        <f t="shared" si="4"/>
        <v>1587.9238198700002</v>
      </c>
      <c r="O20" s="8">
        <v>846.32815695000022</v>
      </c>
      <c r="P20" s="8">
        <v>590.71451590000026</v>
      </c>
      <c r="Q20" s="8">
        <v>525.65180489999943</v>
      </c>
      <c r="R20" s="8">
        <f t="shared" si="5"/>
        <v>1962.69447775</v>
      </c>
      <c r="S20" s="8">
        <f t="shared" si="6"/>
        <v>3550.6182976200002</v>
      </c>
      <c r="T20" s="8">
        <f t="shared" si="7"/>
        <v>6883.4458890099995</v>
      </c>
      <c r="U20" s="8"/>
      <c r="V20" s="8"/>
    </row>
    <row r="21" spans="1:22" ht="15" customHeight="1" x14ac:dyDescent="0.3">
      <c r="A21" s="12" t="s">
        <v>36</v>
      </c>
      <c r="B21" s="8">
        <v>4564.4094412600007</v>
      </c>
      <c r="C21" s="8">
        <v>2602.6623387000027</v>
      </c>
      <c r="D21" s="8">
        <v>3029.7604098000038</v>
      </c>
      <c r="E21" s="8">
        <f t="shared" si="1"/>
        <v>10196.832189760007</v>
      </c>
      <c r="F21" s="8">
        <v>5866.7258446099995</v>
      </c>
      <c r="G21" s="8">
        <v>4360.7397335299984</v>
      </c>
      <c r="H21" s="8">
        <v>3177.7138245199994</v>
      </c>
      <c r="I21" s="8">
        <f t="shared" si="2"/>
        <v>13405.179402659996</v>
      </c>
      <c r="J21" s="8">
        <f t="shared" si="3"/>
        <v>23602.011592420004</v>
      </c>
      <c r="K21" s="8">
        <v>4314.2088597499987</v>
      </c>
      <c r="L21" s="8">
        <v>4749.6571323499984</v>
      </c>
      <c r="M21" s="8">
        <v>3404.2784551200043</v>
      </c>
      <c r="N21" s="8">
        <f t="shared" si="4"/>
        <v>12468.14444722</v>
      </c>
      <c r="O21" s="8">
        <v>4384.4533215199999</v>
      </c>
      <c r="P21" s="8">
        <v>5255.2977105000109</v>
      </c>
      <c r="Q21" s="8">
        <v>4836.5260914699957</v>
      </c>
      <c r="R21" s="8">
        <f t="shared" si="5"/>
        <v>14476.277123490006</v>
      </c>
      <c r="S21" s="8">
        <f t="shared" si="6"/>
        <v>26944.421570710008</v>
      </c>
      <c r="T21" s="8">
        <f t="shared" si="7"/>
        <v>50546.433163130016</v>
      </c>
      <c r="U21" s="8"/>
      <c r="V21" s="8"/>
    </row>
    <row r="22" spans="1:22" ht="15" customHeight="1" x14ac:dyDescent="0.3">
      <c r="A22" s="12" t="s">
        <v>37</v>
      </c>
      <c r="B22" s="8">
        <v>404.56717988999998</v>
      </c>
      <c r="C22" s="8">
        <v>303.70858608000003</v>
      </c>
      <c r="D22" s="8">
        <v>363.94809845999998</v>
      </c>
      <c r="E22" s="8">
        <f t="shared" si="1"/>
        <v>1072.22386443</v>
      </c>
      <c r="F22" s="8">
        <v>676.93299062999949</v>
      </c>
      <c r="G22" s="8">
        <v>486.11127850000003</v>
      </c>
      <c r="H22" s="8">
        <v>498.02148747999956</v>
      </c>
      <c r="I22" s="8">
        <f t="shared" si="2"/>
        <v>1661.065756609999</v>
      </c>
      <c r="J22" s="8">
        <f t="shared" si="3"/>
        <v>2733.289621039999</v>
      </c>
      <c r="K22" s="8">
        <v>471.91701104999959</v>
      </c>
      <c r="L22" s="8">
        <v>476.24035261999961</v>
      </c>
      <c r="M22" s="8">
        <v>393.00394990999968</v>
      </c>
      <c r="N22" s="8">
        <f t="shared" si="4"/>
        <v>1341.1613135799989</v>
      </c>
      <c r="O22" s="8">
        <v>415.27481619000059</v>
      </c>
      <c r="P22" s="8">
        <v>512.4895596099999</v>
      </c>
      <c r="Q22" s="8">
        <v>371.49657889999946</v>
      </c>
      <c r="R22" s="8">
        <f t="shared" si="5"/>
        <v>1299.2609547</v>
      </c>
      <c r="S22" s="8">
        <f t="shared" si="6"/>
        <v>2640.4222682799991</v>
      </c>
      <c r="T22" s="8">
        <f t="shared" si="7"/>
        <v>5373.7118893199986</v>
      </c>
      <c r="U22" s="8"/>
      <c r="V22" s="8"/>
    </row>
    <row r="23" spans="1:22" ht="18" customHeight="1" x14ac:dyDescent="0.3">
      <c r="A23" s="12" t="s">
        <v>38</v>
      </c>
      <c r="B23" s="8">
        <v>111209.80669011002</v>
      </c>
      <c r="C23" s="8">
        <v>87957.384608250009</v>
      </c>
      <c r="D23" s="8">
        <v>93622.043535580015</v>
      </c>
      <c r="E23" s="8">
        <f t="shared" si="1"/>
        <v>292789.23483394005</v>
      </c>
      <c r="F23" s="8">
        <v>143045.08891046001</v>
      </c>
      <c r="G23" s="8">
        <v>137055.56203979001</v>
      </c>
      <c r="H23" s="8">
        <v>104463.09124051001</v>
      </c>
      <c r="I23" s="8">
        <f t="shared" si="2"/>
        <v>384563.74219075998</v>
      </c>
      <c r="J23" s="8">
        <f t="shared" si="3"/>
        <v>677352.97702470003</v>
      </c>
      <c r="K23" s="8">
        <v>111170.93010515002</v>
      </c>
      <c r="L23" s="8">
        <v>134386.94565674002</v>
      </c>
      <c r="M23" s="8">
        <v>90533.572043940003</v>
      </c>
      <c r="N23" s="8">
        <f t="shared" si="4"/>
        <v>336091.44780583004</v>
      </c>
      <c r="O23" s="8">
        <v>109764.8651851</v>
      </c>
      <c r="P23" s="8">
        <v>151956.84516873996</v>
      </c>
      <c r="Q23" s="8">
        <v>99347.156441760002</v>
      </c>
      <c r="R23" s="8">
        <f t="shared" si="5"/>
        <v>361068.86679559998</v>
      </c>
      <c r="S23" s="8">
        <f t="shared" si="6"/>
        <v>697160.31460142997</v>
      </c>
      <c r="T23" s="8">
        <f t="shared" si="7"/>
        <v>1374513.29162613</v>
      </c>
      <c r="U23" s="8"/>
      <c r="V23" s="8"/>
    </row>
    <row r="24" spans="1:22" s="10" customFormat="1" ht="15" customHeight="1" x14ac:dyDescent="0.3">
      <c r="A24" s="3"/>
      <c r="B24" s="11"/>
      <c r="C24" s="11"/>
      <c r="D24" s="11"/>
      <c r="E24" s="11"/>
      <c r="F24" s="11"/>
      <c r="G24" s="11"/>
      <c r="H24" s="11"/>
      <c r="I24" s="11"/>
      <c r="J24" s="11"/>
      <c r="K24" s="11"/>
      <c r="L24" s="11"/>
      <c r="M24" s="11"/>
      <c r="N24" s="11"/>
      <c r="O24" s="11"/>
      <c r="P24" s="11"/>
      <c r="Q24" s="11"/>
      <c r="R24" s="11"/>
      <c r="S24" s="11"/>
      <c r="T24" s="11"/>
      <c r="U24" s="11"/>
      <c r="V24" s="11"/>
    </row>
    <row r="25" spans="1:22" s="10" customFormat="1" ht="15" customHeight="1" x14ac:dyDescent="0.25">
      <c r="A25" s="10" t="s">
        <v>39</v>
      </c>
      <c r="B25" s="11">
        <f>SUM(B26:B31)</f>
        <v>620.29660960000012</v>
      </c>
      <c r="C25" s="11">
        <f t="shared" ref="C25:Q25" si="8">SUM(C26:C31)</f>
        <v>342.15606448999995</v>
      </c>
      <c r="D25" s="11">
        <f t="shared" si="8"/>
        <v>388.03761658999997</v>
      </c>
      <c r="E25" s="11">
        <f t="shared" ref="E25:E31" si="9">SUM(B25:D25)</f>
        <v>1350.49029068</v>
      </c>
      <c r="F25" s="11">
        <f t="shared" si="8"/>
        <v>782.31315680999978</v>
      </c>
      <c r="G25" s="11">
        <f t="shared" si="8"/>
        <v>551.27395374000002</v>
      </c>
      <c r="H25" s="11">
        <f t="shared" si="8"/>
        <v>630.78740264000032</v>
      </c>
      <c r="I25" s="11">
        <f t="shared" ref="I25:I31" si="10">SUM(F25:H25)</f>
        <v>1964.37451319</v>
      </c>
      <c r="J25" s="11">
        <f t="shared" si="3"/>
        <v>3314.8648038700003</v>
      </c>
      <c r="K25" s="11">
        <f t="shared" si="8"/>
        <v>492.18804085000011</v>
      </c>
      <c r="L25" s="11">
        <f t="shared" si="8"/>
        <v>467.83880597000018</v>
      </c>
      <c r="M25" s="11">
        <f t="shared" si="8"/>
        <v>418.66143471999987</v>
      </c>
      <c r="N25" s="11">
        <f t="shared" ref="N25:N31" si="11">SUM(K25:M25)</f>
        <v>1378.6882815400002</v>
      </c>
      <c r="O25" s="11">
        <f t="shared" si="8"/>
        <v>701.61252564999972</v>
      </c>
      <c r="P25" s="11">
        <f t="shared" si="8"/>
        <v>489.82781314999988</v>
      </c>
      <c r="Q25" s="11">
        <f t="shared" si="8"/>
        <v>555.32642902999999</v>
      </c>
      <c r="R25" s="11">
        <f t="shared" ref="R25:R31" si="12">SUM(O25:Q25)</f>
        <v>1746.7667678299995</v>
      </c>
      <c r="S25" s="11">
        <f t="shared" si="6"/>
        <v>3125.4550493699999</v>
      </c>
      <c r="T25" s="11">
        <f t="shared" ref="T25:T31" si="13">+J25+S25</f>
        <v>6440.3198532400002</v>
      </c>
      <c r="U25" s="11"/>
      <c r="V25" s="11"/>
    </row>
    <row r="26" spans="1:22" ht="15" customHeight="1" x14ac:dyDescent="0.3">
      <c r="A26" s="12" t="s">
        <v>40</v>
      </c>
      <c r="B26" s="8">
        <v>48.319986919999991</v>
      </c>
      <c r="C26" s="8">
        <v>31.199882940000002</v>
      </c>
      <c r="D26" s="8">
        <v>21.263683259999997</v>
      </c>
      <c r="E26" s="8">
        <f t="shared" si="9"/>
        <v>100.78355311999999</v>
      </c>
      <c r="F26" s="8">
        <v>49.987701299999998</v>
      </c>
      <c r="G26" s="8">
        <v>30.73101497</v>
      </c>
      <c r="H26" s="8">
        <v>43.789582699999997</v>
      </c>
      <c r="I26" s="8">
        <f t="shared" si="10"/>
        <v>124.50829897</v>
      </c>
      <c r="J26" s="8">
        <f t="shared" si="3"/>
        <v>225.29185208999999</v>
      </c>
      <c r="K26" s="8">
        <v>29.939609709999996</v>
      </c>
      <c r="L26" s="8">
        <v>20.001308120000004</v>
      </c>
      <c r="M26" s="8">
        <v>22.148039559999997</v>
      </c>
      <c r="N26" s="8">
        <f t="shared" si="11"/>
        <v>72.088957390000004</v>
      </c>
      <c r="O26" s="8">
        <v>28.077463899999994</v>
      </c>
      <c r="P26" s="8">
        <v>27.231979219999992</v>
      </c>
      <c r="Q26" s="8">
        <v>44.217798359999989</v>
      </c>
      <c r="R26" s="8">
        <f t="shared" si="12"/>
        <v>99.527241479999972</v>
      </c>
      <c r="S26" s="8">
        <f t="shared" si="6"/>
        <v>171.61619886999998</v>
      </c>
      <c r="T26" s="8">
        <f t="shared" si="13"/>
        <v>396.90805095999997</v>
      </c>
      <c r="U26" s="8"/>
      <c r="V26" s="8"/>
    </row>
    <row r="27" spans="1:22" ht="15" customHeight="1" x14ac:dyDescent="0.3">
      <c r="A27" s="12" t="s">
        <v>41</v>
      </c>
      <c r="B27" s="8">
        <v>83.406337219999998</v>
      </c>
      <c r="C27" s="8">
        <v>34.638974289999993</v>
      </c>
      <c r="D27" s="8">
        <v>36.105689810000015</v>
      </c>
      <c r="E27" s="8">
        <f t="shared" si="9"/>
        <v>154.15100132000001</v>
      </c>
      <c r="F27" s="8">
        <v>57.14879933000001</v>
      </c>
      <c r="G27" s="8">
        <v>50.909460150000008</v>
      </c>
      <c r="H27" s="8">
        <v>50.789353739999996</v>
      </c>
      <c r="I27" s="8">
        <f t="shared" si="10"/>
        <v>158.84761322000003</v>
      </c>
      <c r="J27" s="8">
        <f t="shared" si="3"/>
        <v>312.99861454000006</v>
      </c>
      <c r="K27" s="8">
        <v>63.576365160000023</v>
      </c>
      <c r="L27" s="8">
        <v>46.660139090000001</v>
      </c>
      <c r="M27" s="8">
        <v>44.715126640000008</v>
      </c>
      <c r="N27" s="8">
        <f t="shared" si="11"/>
        <v>154.95163089000005</v>
      </c>
      <c r="O27" s="8">
        <v>57.798598080000012</v>
      </c>
      <c r="P27" s="8">
        <v>48.30107357</v>
      </c>
      <c r="Q27" s="8">
        <v>53.12085519</v>
      </c>
      <c r="R27" s="8">
        <f t="shared" si="12"/>
        <v>159.22052683999999</v>
      </c>
      <c r="S27" s="8">
        <f t="shared" si="6"/>
        <v>314.17215773000004</v>
      </c>
      <c r="T27" s="8">
        <f t="shared" si="13"/>
        <v>627.17077227000004</v>
      </c>
      <c r="U27" s="8"/>
      <c r="V27" s="8"/>
    </row>
    <row r="28" spans="1:22" ht="15" customHeight="1" x14ac:dyDescent="0.3">
      <c r="A28" s="12" t="s">
        <v>42</v>
      </c>
      <c r="B28" s="8">
        <v>116.21758139000001</v>
      </c>
      <c r="C28" s="8">
        <v>55.489294479999998</v>
      </c>
      <c r="D28" s="8">
        <v>64.408453070000007</v>
      </c>
      <c r="E28" s="8">
        <f t="shared" si="9"/>
        <v>236.11532894000001</v>
      </c>
      <c r="F28" s="8">
        <v>99.010841950000042</v>
      </c>
      <c r="G28" s="8">
        <v>87.15298808999998</v>
      </c>
      <c r="H28" s="8">
        <v>66.170471730000031</v>
      </c>
      <c r="I28" s="8">
        <f t="shared" si="10"/>
        <v>252.33430177000005</v>
      </c>
      <c r="J28" s="8">
        <f t="shared" si="3"/>
        <v>488.44963071000006</v>
      </c>
      <c r="K28" s="8">
        <v>76.03890715</v>
      </c>
      <c r="L28" s="8">
        <v>76.594956690000018</v>
      </c>
      <c r="M28" s="8">
        <v>71.766445829999981</v>
      </c>
      <c r="N28" s="8">
        <f t="shared" si="11"/>
        <v>224.40030966999998</v>
      </c>
      <c r="O28" s="8">
        <v>84.777713660000032</v>
      </c>
      <c r="P28" s="8">
        <v>73.431049880000003</v>
      </c>
      <c r="Q28" s="8">
        <v>101.66054623000005</v>
      </c>
      <c r="R28" s="8">
        <f t="shared" si="12"/>
        <v>259.86930977000009</v>
      </c>
      <c r="S28" s="8">
        <f t="shared" si="6"/>
        <v>484.26961944000004</v>
      </c>
      <c r="T28" s="8">
        <f t="shared" si="13"/>
        <v>972.71925015000011</v>
      </c>
      <c r="U28" s="8"/>
      <c r="V28" s="8"/>
    </row>
    <row r="29" spans="1:22" ht="15" customHeight="1" x14ac:dyDescent="0.3">
      <c r="A29" s="12" t="s">
        <v>43</v>
      </c>
      <c r="B29" s="8">
        <v>30.78707082</v>
      </c>
      <c r="C29" s="8">
        <v>18.102402050000006</v>
      </c>
      <c r="D29" s="8">
        <v>15.761696360000004</v>
      </c>
      <c r="E29" s="8">
        <f t="shared" si="9"/>
        <v>64.651169230000008</v>
      </c>
      <c r="F29" s="8">
        <v>29.106173569999999</v>
      </c>
      <c r="G29" s="8">
        <v>18.990347889999999</v>
      </c>
      <c r="H29" s="8">
        <v>20.044603679999998</v>
      </c>
      <c r="I29" s="8">
        <f t="shared" si="10"/>
        <v>68.14112514</v>
      </c>
      <c r="J29" s="8">
        <f t="shared" si="3"/>
        <v>132.79229437000001</v>
      </c>
      <c r="K29" s="8">
        <v>23.541604669999991</v>
      </c>
      <c r="L29" s="8">
        <v>20.42160234999999</v>
      </c>
      <c r="M29" s="8">
        <v>18.642432240000002</v>
      </c>
      <c r="N29" s="8">
        <f t="shared" si="11"/>
        <v>62.60563925999999</v>
      </c>
      <c r="O29" s="8">
        <v>23.171720540000006</v>
      </c>
      <c r="P29" s="8">
        <v>22.218342980000003</v>
      </c>
      <c r="Q29" s="8">
        <v>31.116182370000008</v>
      </c>
      <c r="R29" s="8">
        <f t="shared" si="12"/>
        <v>76.506245890000017</v>
      </c>
      <c r="S29" s="8">
        <f t="shared" si="6"/>
        <v>139.11188515000001</v>
      </c>
      <c r="T29" s="8">
        <f t="shared" si="13"/>
        <v>271.90417952000001</v>
      </c>
      <c r="U29" s="8"/>
      <c r="V29" s="8"/>
    </row>
    <row r="30" spans="1:22" ht="15" customHeight="1" x14ac:dyDescent="0.3">
      <c r="A30" s="12" t="s">
        <v>44</v>
      </c>
      <c r="B30" s="8">
        <v>34.891432560000005</v>
      </c>
      <c r="C30" s="8">
        <v>18.557109780000001</v>
      </c>
      <c r="D30" s="8">
        <v>18.122828149999947</v>
      </c>
      <c r="E30" s="8">
        <f t="shared" si="9"/>
        <v>71.57137048999995</v>
      </c>
      <c r="F30" s="8">
        <v>28.250896470000029</v>
      </c>
      <c r="G30" s="8">
        <v>17.013525170000001</v>
      </c>
      <c r="H30" s="8">
        <v>21.796222780000001</v>
      </c>
      <c r="I30" s="8">
        <f t="shared" si="10"/>
        <v>67.060644420000031</v>
      </c>
      <c r="J30" s="8">
        <f t="shared" si="3"/>
        <v>138.63201490999998</v>
      </c>
      <c r="K30" s="8">
        <v>24.878376659999997</v>
      </c>
      <c r="L30" s="8">
        <v>17.545246590000009</v>
      </c>
      <c r="M30" s="8">
        <v>19.612602099999993</v>
      </c>
      <c r="N30" s="8">
        <f t="shared" si="11"/>
        <v>62.036225349999995</v>
      </c>
      <c r="O30" s="8">
        <v>26.636262560000002</v>
      </c>
      <c r="P30" s="8">
        <v>25.739157740000007</v>
      </c>
      <c r="Q30" s="8">
        <v>24.51746447</v>
      </c>
      <c r="R30" s="8">
        <f t="shared" si="12"/>
        <v>76.892884770000009</v>
      </c>
      <c r="S30" s="8">
        <f t="shared" si="6"/>
        <v>138.92911012000002</v>
      </c>
      <c r="T30" s="8">
        <f t="shared" si="13"/>
        <v>277.56112502999997</v>
      </c>
      <c r="U30" s="8"/>
      <c r="V30" s="8"/>
    </row>
    <row r="31" spans="1:22" ht="15" customHeight="1" x14ac:dyDescent="0.3">
      <c r="A31" s="12" t="s">
        <v>45</v>
      </c>
      <c r="B31" s="8">
        <v>306.67420069000013</v>
      </c>
      <c r="C31" s="8">
        <v>184.16840094999992</v>
      </c>
      <c r="D31" s="8">
        <v>232.37526593999996</v>
      </c>
      <c r="E31" s="8">
        <f t="shared" si="9"/>
        <v>723.21786758000007</v>
      </c>
      <c r="F31" s="8">
        <v>518.80874418999963</v>
      </c>
      <c r="G31" s="8">
        <v>346.47661747000006</v>
      </c>
      <c r="H31" s="8">
        <v>428.19716801000033</v>
      </c>
      <c r="I31" s="8">
        <f t="shared" si="10"/>
        <v>1293.4825296700001</v>
      </c>
      <c r="J31" s="8">
        <f t="shared" si="3"/>
        <v>2016.7003972500002</v>
      </c>
      <c r="K31" s="8">
        <v>274.21317750000009</v>
      </c>
      <c r="L31" s="8">
        <v>286.61555313000014</v>
      </c>
      <c r="M31" s="8">
        <v>241.77678834999992</v>
      </c>
      <c r="N31" s="8">
        <f t="shared" si="11"/>
        <v>802.60551898000017</v>
      </c>
      <c r="O31" s="8">
        <v>481.15076690999973</v>
      </c>
      <c r="P31" s="8">
        <v>292.90620975999991</v>
      </c>
      <c r="Q31" s="8">
        <v>300.69358240999998</v>
      </c>
      <c r="R31" s="8">
        <f t="shared" si="12"/>
        <v>1074.7505590799997</v>
      </c>
      <c r="S31" s="8">
        <f t="shared" si="6"/>
        <v>1877.3560780599998</v>
      </c>
      <c r="T31" s="8">
        <f t="shared" si="13"/>
        <v>3894.0564753099998</v>
      </c>
      <c r="U31" s="8"/>
      <c r="V31" s="8"/>
    </row>
    <row r="32" spans="1:22" s="10" customFormat="1" ht="15" customHeight="1" x14ac:dyDescent="0.3">
      <c r="A32" s="3"/>
      <c r="B32" s="11"/>
      <c r="C32" s="11"/>
      <c r="D32" s="11"/>
      <c r="E32" s="11"/>
      <c r="F32" s="11"/>
      <c r="G32" s="11"/>
      <c r="H32" s="11"/>
      <c r="I32" s="11"/>
      <c r="J32" s="11"/>
      <c r="K32" s="11"/>
      <c r="L32" s="11"/>
      <c r="M32" s="11"/>
      <c r="N32" s="11"/>
      <c r="O32" s="11"/>
      <c r="P32" s="11"/>
      <c r="Q32" s="11"/>
      <c r="R32" s="11"/>
      <c r="S32" s="11"/>
      <c r="T32" s="11"/>
      <c r="U32" s="11"/>
      <c r="V32" s="11"/>
    </row>
    <row r="33" spans="1:22" s="10" customFormat="1" ht="15" customHeight="1" x14ac:dyDescent="0.25">
      <c r="A33" s="10" t="s">
        <v>46</v>
      </c>
      <c r="B33" s="11">
        <f>SUM(B34:B37)</f>
        <v>1228.4422281099999</v>
      </c>
      <c r="C33" s="11">
        <f t="shared" ref="C33:Q33" si="14">SUM(C34:C37)</f>
        <v>895.87476004000018</v>
      </c>
      <c r="D33" s="11">
        <f t="shared" si="14"/>
        <v>917.30274737000002</v>
      </c>
      <c r="E33" s="11">
        <f t="shared" ref="E33:E37" si="15">SUM(B33:D33)</f>
        <v>3041.6197355199997</v>
      </c>
      <c r="F33" s="11">
        <f t="shared" si="14"/>
        <v>1571.8223320900001</v>
      </c>
      <c r="G33" s="11">
        <f t="shared" si="14"/>
        <v>1163.0357826099994</v>
      </c>
      <c r="H33" s="11">
        <f t="shared" si="14"/>
        <v>982.60921033000034</v>
      </c>
      <c r="I33" s="11">
        <f t="shared" ref="I33:I37" si="16">SUM(F33:H33)</f>
        <v>3717.4673250299998</v>
      </c>
      <c r="J33" s="11">
        <f t="shared" si="3"/>
        <v>6759.0870605499995</v>
      </c>
      <c r="K33" s="11">
        <f t="shared" si="14"/>
        <v>1292.2915726299998</v>
      </c>
      <c r="L33" s="11">
        <f t="shared" si="14"/>
        <v>1302.6586272899997</v>
      </c>
      <c r="M33" s="11">
        <f t="shared" si="14"/>
        <v>1076.2435100999994</v>
      </c>
      <c r="N33" s="11">
        <f t="shared" ref="N33:N37" si="17">SUM(K33:M33)</f>
        <v>3671.1937100199984</v>
      </c>
      <c r="O33" s="11">
        <f t="shared" si="14"/>
        <v>1228.1720221599999</v>
      </c>
      <c r="P33" s="11">
        <f t="shared" si="14"/>
        <v>1386.3477782099999</v>
      </c>
      <c r="Q33" s="11">
        <f t="shared" si="14"/>
        <v>1039.2482563699998</v>
      </c>
      <c r="R33" s="11">
        <f t="shared" ref="R33:R37" si="18">SUM(O33:Q33)</f>
        <v>3653.7680567399993</v>
      </c>
      <c r="S33" s="11">
        <f t="shared" si="6"/>
        <v>7324.9617667599978</v>
      </c>
      <c r="T33" s="11">
        <f t="shared" ref="T33:T37" si="19">+J33+S33</f>
        <v>14084.048827309998</v>
      </c>
      <c r="U33" s="11"/>
      <c r="V33" s="11"/>
    </row>
    <row r="34" spans="1:22" ht="15" customHeight="1" x14ac:dyDescent="0.3">
      <c r="A34" s="12" t="s">
        <v>47</v>
      </c>
      <c r="B34" s="8">
        <v>169.45902852</v>
      </c>
      <c r="C34" s="8">
        <v>107.96430960000002</v>
      </c>
      <c r="D34" s="8">
        <v>120.73653018000009</v>
      </c>
      <c r="E34" s="8">
        <f t="shared" si="15"/>
        <v>398.15986830000014</v>
      </c>
      <c r="F34" s="8">
        <v>204.06876992000005</v>
      </c>
      <c r="G34" s="8">
        <v>168.95876675000002</v>
      </c>
      <c r="H34" s="8">
        <v>133.91663922000009</v>
      </c>
      <c r="I34" s="8">
        <f t="shared" si="16"/>
        <v>506.94417589000017</v>
      </c>
      <c r="J34" s="8">
        <f t="shared" si="3"/>
        <v>905.10404419000031</v>
      </c>
      <c r="K34" s="8">
        <v>167.1381039300002</v>
      </c>
      <c r="L34" s="8">
        <v>159.5783176699999</v>
      </c>
      <c r="M34" s="8">
        <v>129.59280391999997</v>
      </c>
      <c r="N34" s="8">
        <f t="shared" si="17"/>
        <v>456.30922552000004</v>
      </c>
      <c r="O34" s="8">
        <v>168.40778933999999</v>
      </c>
      <c r="P34" s="8">
        <v>169.28970368000017</v>
      </c>
      <c r="Q34" s="8">
        <v>120.42362899999991</v>
      </c>
      <c r="R34" s="8">
        <f t="shared" si="18"/>
        <v>458.12112202000003</v>
      </c>
      <c r="S34" s="8">
        <f t="shared" si="6"/>
        <v>914.43034754000007</v>
      </c>
      <c r="T34" s="8">
        <f t="shared" si="19"/>
        <v>1819.5343917300004</v>
      </c>
      <c r="U34" s="8"/>
      <c r="V34" s="8"/>
    </row>
    <row r="35" spans="1:22" ht="15" customHeight="1" x14ac:dyDescent="0.3">
      <c r="A35" s="12" t="s">
        <v>48</v>
      </c>
      <c r="B35" s="8">
        <v>208.57490879999995</v>
      </c>
      <c r="C35" s="8">
        <v>112.34970485999995</v>
      </c>
      <c r="D35" s="8">
        <v>129.57030479999995</v>
      </c>
      <c r="E35" s="8">
        <f t="shared" si="15"/>
        <v>450.49491845999978</v>
      </c>
      <c r="F35" s="8">
        <v>236.6269077899999</v>
      </c>
      <c r="G35" s="8">
        <v>157.22312582999982</v>
      </c>
      <c r="H35" s="8">
        <v>145.48944830000002</v>
      </c>
      <c r="I35" s="8">
        <f t="shared" si="16"/>
        <v>539.3394819199998</v>
      </c>
      <c r="J35" s="8">
        <f t="shared" si="3"/>
        <v>989.83440037999958</v>
      </c>
      <c r="K35" s="8">
        <v>170.09671688000003</v>
      </c>
      <c r="L35" s="8">
        <v>172.24703282999991</v>
      </c>
      <c r="M35" s="8">
        <v>131.84263555999996</v>
      </c>
      <c r="N35" s="8">
        <f t="shared" si="17"/>
        <v>474.1863852699999</v>
      </c>
      <c r="O35" s="8">
        <v>171.38706536999996</v>
      </c>
      <c r="P35" s="8">
        <v>167.45376249000006</v>
      </c>
      <c r="Q35" s="8">
        <v>163.17654635000002</v>
      </c>
      <c r="R35" s="8">
        <f t="shared" si="18"/>
        <v>502.01737421000001</v>
      </c>
      <c r="S35" s="8">
        <f t="shared" si="6"/>
        <v>976.20375947999992</v>
      </c>
      <c r="T35" s="8">
        <f t="shared" si="19"/>
        <v>1966.0381598599995</v>
      </c>
      <c r="U35" s="8"/>
      <c r="V35" s="8"/>
    </row>
    <row r="36" spans="1:22" ht="15" customHeight="1" x14ac:dyDescent="0.3">
      <c r="A36" s="12" t="s">
        <v>49</v>
      </c>
      <c r="B36" s="8">
        <v>256.17304489999998</v>
      </c>
      <c r="C36" s="8">
        <v>167.94242571000001</v>
      </c>
      <c r="D36" s="8">
        <v>193.31401930000004</v>
      </c>
      <c r="E36" s="8">
        <f t="shared" si="15"/>
        <v>617.42948991000003</v>
      </c>
      <c r="F36" s="8">
        <v>315.57295302</v>
      </c>
      <c r="G36" s="8">
        <v>230.49655886999997</v>
      </c>
      <c r="H36" s="8">
        <v>182.80701612999999</v>
      </c>
      <c r="I36" s="8">
        <f t="shared" si="16"/>
        <v>728.87652801999991</v>
      </c>
      <c r="J36" s="8">
        <f t="shared" si="3"/>
        <v>1346.3060179300001</v>
      </c>
      <c r="K36" s="8">
        <v>249.75206383999981</v>
      </c>
      <c r="L36" s="8">
        <v>252.6572175499999</v>
      </c>
      <c r="M36" s="8">
        <v>235.89002633999996</v>
      </c>
      <c r="N36" s="8">
        <f t="shared" si="17"/>
        <v>738.29930772999967</v>
      </c>
      <c r="O36" s="8">
        <v>264.63845979999991</v>
      </c>
      <c r="P36" s="8">
        <v>265.5419724599999</v>
      </c>
      <c r="Q36" s="8">
        <v>203.97401696999987</v>
      </c>
      <c r="R36" s="8">
        <f t="shared" si="18"/>
        <v>734.15444922999973</v>
      </c>
      <c r="S36" s="8">
        <f t="shared" si="6"/>
        <v>1472.4537569599993</v>
      </c>
      <c r="T36" s="8">
        <f t="shared" si="19"/>
        <v>2818.7597748899993</v>
      </c>
      <c r="U36" s="8"/>
      <c r="V36" s="8"/>
    </row>
    <row r="37" spans="1:22" ht="15" customHeight="1" x14ac:dyDescent="0.3">
      <c r="A37" s="12" t="s">
        <v>50</v>
      </c>
      <c r="B37" s="8">
        <v>594.23524588999999</v>
      </c>
      <c r="C37" s="8">
        <v>507.61831987000028</v>
      </c>
      <c r="D37" s="8">
        <v>473.68189308999996</v>
      </c>
      <c r="E37" s="8">
        <f t="shared" si="15"/>
        <v>1575.5354588500002</v>
      </c>
      <c r="F37" s="8">
        <v>815.5537013600001</v>
      </c>
      <c r="G37" s="8">
        <v>606.35733115999972</v>
      </c>
      <c r="H37" s="8">
        <v>520.39610668000023</v>
      </c>
      <c r="I37" s="8">
        <f t="shared" si="16"/>
        <v>1942.3071392000002</v>
      </c>
      <c r="J37" s="8">
        <f t="shared" si="3"/>
        <v>3517.8425980500006</v>
      </c>
      <c r="K37" s="8">
        <v>705.30468797999993</v>
      </c>
      <c r="L37" s="8">
        <v>718.17605923999997</v>
      </c>
      <c r="M37" s="8">
        <v>578.91804427999955</v>
      </c>
      <c r="N37" s="8">
        <f t="shared" si="17"/>
        <v>2002.3987914999996</v>
      </c>
      <c r="O37" s="8">
        <v>623.73870764999981</v>
      </c>
      <c r="P37" s="8">
        <v>784.06233957999962</v>
      </c>
      <c r="Q37" s="8">
        <v>551.67406404999997</v>
      </c>
      <c r="R37" s="8">
        <f t="shared" si="18"/>
        <v>1959.4751112799993</v>
      </c>
      <c r="S37" s="8">
        <f t="shared" si="6"/>
        <v>3961.8739027799988</v>
      </c>
      <c r="T37" s="8">
        <f t="shared" si="19"/>
        <v>7479.7165008299999</v>
      </c>
      <c r="U37" s="8"/>
      <c r="V37" s="8"/>
    </row>
    <row r="38" spans="1:22" s="10" customFormat="1" ht="15" customHeight="1" x14ac:dyDescent="0.3">
      <c r="A38" s="3"/>
      <c r="B38" s="11"/>
      <c r="C38" s="11"/>
      <c r="D38" s="11"/>
      <c r="E38" s="11"/>
      <c r="F38" s="11"/>
      <c r="G38" s="11"/>
      <c r="H38" s="11"/>
      <c r="I38" s="11"/>
      <c r="J38" s="11"/>
      <c r="K38" s="11"/>
      <c r="L38" s="11"/>
      <c r="M38" s="11"/>
      <c r="N38" s="11"/>
      <c r="O38" s="11"/>
      <c r="P38" s="11"/>
      <c r="Q38" s="11"/>
      <c r="R38" s="11"/>
      <c r="S38" s="11"/>
      <c r="T38" s="11"/>
      <c r="U38" s="11"/>
      <c r="V38" s="11"/>
    </row>
    <row r="39" spans="1:22" s="10" customFormat="1" ht="15" customHeight="1" x14ac:dyDescent="0.25">
      <c r="A39" s="10" t="s">
        <v>51</v>
      </c>
      <c r="B39" s="11">
        <f>SUM(B40:B43)</f>
        <v>830.5720515700001</v>
      </c>
      <c r="C39" s="11">
        <f t="shared" ref="C39:Q39" si="20">SUM(C40:C43)</f>
        <v>498.54690611000012</v>
      </c>
      <c r="D39" s="11">
        <f t="shared" si="20"/>
        <v>529.63790935999987</v>
      </c>
      <c r="E39" s="11">
        <f t="shared" ref="E39:E43" si="21">SUM(B39:D39)</f>
        <v>1858.7568670400001</v>
      </c>
      <c r="F39" s="11">
        <f t="shared" si="20"/>
        <v>1109.5982381299996</v>
      </c>
      <c r="G39" s="11">
        <f t="shared" si="20"/>
        <v>686.77665529000001</v>
      </c>
      <c r="H39" s="11">
        <f t="shared" si="20"/>
        <v>623.60296573000005</v>
      </c>
      <c r="I39" s="11">
        <f t="shared" ref="I39:I43" si="22">SUM(F39:H39)</f>
        <v>2419.9778591499999</v>
      </c>
      <c r="J39" s="11">
        <f t="shared" si="3"/>
        <v>4278.7347261899995</v>
      </c>
      <c r="K39" s="11">
        <f t="shared" si="20"/>
        <v>700.34033284999987</v>
      </c>
      <c r="L39" s="11">
        <f t="shared" si="20"/>
        <v>732.56556402000012</v>
      </c>
      <c r="M39" s="11">
        <f t="shared" si="20"/>
        <v>631.1215406099999</v>
      </c>
      <c r="N39" s="11">
        <f t="shared" ref="N39:N43" si="23">SUM(K39:M39)</f>
        <v>2064.0274374800001</v>
      </c>
      <c r="O39" s="11">
        <f t="shared" si="20"/>
        <v>747.54701350000028</v>
      </c>
      <c r="P39" s="11">
        <f t="shared" si="20"/>
        <v>822.53704287000005</v>
      </c>
      <c r="Q39" s="11">
        <f t="shared" si="20"/>
        <v>946.90127312999994</v>
      </c>
      <c r="R39" s="11">
        <f t="shared" ref="R39:R43" si="24">SUM(O39:Q39)</f>
        <v>2516.9853295000003</v>
      </c>
      <c r="S39" s="11">
        <f t="shared" si="6"/>
        <v>4581.0127669800004</v>
      </c>
      <c r="T39" s="11">
        <f t="shared" ref="T39:T43" si="25">+J39+S39</f>
        <v>8859.7474931699999</v>
      </c>
      <c r="U39" s="11"/>
      <c r="V39" s="11"/>
    </row>
    <row r="40" spans="1:22" ht="15" customHeight="1" x14ac:dyDescent="0.3">
      <c r="A40" s="12" t="s">
        <v>52</v>
      </c>
      <c r="B40" s="8">
        <v>309.58478553000003</v>
      </c>
      <c r="C40" s="8">
        <v>233.4346837400002</v>
      </c>
      <c r="D40" s="8">
        <v>248.25515307999996</v>
      </c>
      <c r="E40" s="8">
        <f t="shared" si="21"/>
        <v>791.27462235000007</v>
      </c>
      <c r="F40" s="8">
        <v>436.72472891000001</v>
      </c>
      <c r="G40" s="8">
        <v>283.83513054999997</v>
      </c>
      <c r="H40" s="8">
        <v>280.69725778999998</v>
      </c>
      <c r="I40" s="8">
        <f t="shared" si="22"/>
        <v>1001.25711725</v>
      </c>
      <c r="J40" s="8">
        <f t="shared" si="3"/>
        <v>1792.5317396</v>
      </c>
      <c r="K40" s="8">
        <v>287.88972796999997</v>
      </c>
      <c r="L40" s="8">
        <v>326.48812921999996</v>
      </c>
      <c r="M40" s="8">
        <v>297.53326498999996</v>
      </c>
      <c r="N40" s="8">
        <f t="shared" si="23"/>
        <v>911.91112217999989</v>
      </c>
      <c r="O40" s="8">
        <v>318.90880286000004</v>
      </c>
      <c r="P40" s="8">
        <v>363.79197874999977</v>
      </c>
      <c r="Q40" s="8">
        <v>558.15571608000027</v>
      </c>
      <c r="R40" s="8">
        <f t="shared" si="24"/>
        <v>1240.8564976900002</v>
      </c>
      <c r="S40" s="8">
        <f t="shared" si="6"/>
        <v>2152.7676198700001</v>
      </c>
      <c r="T40" s="8">
        <f t="shared" si="25"/>
        <v>3945.2993594700001</v>
      </c>
      <c r="U40" s="8"/>
      <c r="V40" s="8"/>
    </row>
    <row r="41" spans="1:22" ht="15" customHeight="1" x14ac:dyDescent="0.3">
      <c r="A41" s="12" t="s">
        <v>53</v>
      </c>
      <c r="B41" s="8">
        <v>363.02080849000009</v>
      </c>
      <c r="C41" s="8">
        <v>188.29402713999997</v>
      </c>
      <c r="D41" s="8">
        <v>201.87303956999995</v>
      </c>
      <c r="E41" s="8">
        <f t="shared" si="21"/>
        <v>753.18787520000001</v>
      </c>
      <c r="F41" s="8">
        <v>508.0804390399997</v>
      </c>
      <c r="G41" s="8">
        <v>304.50010851000002</v>
      </c>
      <c r="H41" s="8">
        <v>253.64524167000008</v>
      </c>
      <c r="I41" s="8">
        <f t="shared" si="22"/>
        <v>1066.2257892199998</v>
      </c>
      <c r="J41" s="8">
        <f t="shared" si="3"/>
        <v>1819.4136644199998</v>
      </c>
      <c r="K41" s="8">
        <v>297.82091990999993</v>
      </c>
      <c r="L41" s="8">
        <v>296.13715902000024</v>
      </c>
      <c r="M41" s="8">
        <v>243.46581733999994</v>
      </c>
      <c r="N41" s="8">
        <f t="shared" si="23"/>
        <v>837.42389627000011</v>
      </c>
      <c r="O41" s="8">
        <v>307.13494783000016</v>
      </c>
      <c r="P41" s="8">
        <v>327.51446933000022</v>
      </c>
      <c r="Q41" s="8">
        <v>291.05238957999978</v>
      </c>
      <c r="R41" s="8">
        <f t="shared" si="24"/>
        <v>925.70180674000017</v>
      </c>
      <c r="S41" s="8">
        <f t="shared" si="6"/>
        <v>1763.1257030100003</v>
      </c>
      <c r="T41" s="8">
        <f t="shared" si="25"/>
        <v>3582.5393674300003</v>
      </c>
      <c r="U41" s="8"/>
      <c r="V41" s="8"/>
    </row>
    <row r="42" spans="1:22" ht="15" customHeight="1" x14ac:dyDescent="0.3">
      <c r="A42" s="12" t="s">
        <v>54</v>
      </c>
      <c r="B42" s="8">
        <v>114.51596477999999</v>
      </c>
      <c r="C42" s="8">
        <v>59.836223319999974</v>
      </c>
      <c r="D42" s="8">
        <v>58.520712259999975</v>
      </c>
      <c r="E42" s="8">
        <f t="shared" si="21"/>
        <v>232.87290035999996</v>
      </c>
      <c r="F42" s="8">
        <v>123.35032325999991</v>
      </c>
      <c r="G42" s="8">
        <v>71.127149089999961</v>
      </c>
      <c r="H42" s="8">
        <v>70.842000189999993</v>
      </c>
      <c r="I42" s="8">
        <f t="shared" si="22"/>
        <v>265.31947253999988</v>
      </c>
      <c r="J42" s="8">
        <f t="shared" si="3"/>
        <v>498.19237289999984</v>
      </c>
      <c r="K42" s="8">
        <v>89.744280149999994</v>
      </c>
      <c r="L42" s="8">
        <v>88.054169730000012</v>
      </c>
      <c r="M42" s="8">
        <v>67.727994580000015</v>
      </c>
      <c r="N42" s="8">
        <f t="shared" si="23"/>
        <v>245.52644446000005</v>
      </c>
      <c r="O42" s="8">
        <v>97.849678069999996</v>
      </c>
      <c r="P42" s="8">
        <v>105.52194111</v>
      </c>
      <c r="Q42" s="8">
        <v>73.628757169999972</v>
      </c>
      <c r="R42" s="8">
        <f t="shared" si="24"/>
        <v>277.00037634999995</v>
      </c>
      <c r="S42" s="8">
        <f t="shared" si="6"/>
        <v>522.52682081</v>
      </c>
      <c r="T42" s="8">
        <f t="shared" si="25"/>
        <v>1020.7191937099999</v>
      </c>
      <c r="U42" s="8"/>
      <c r="V42" s="8"/>
    </row>
    <row r="43" spans="1:22" ht="15" customHeight="1" x14ac:dyDescent="0.3">
      <c r="A43" s="12" t="s">
        <v>55</v>
      </c>
      <c r="B43" s="8">
        <v>43.450492769999997</v>
      </c>
      <c r="C43" s="8">
        <v>16.981971909999992</v>
      </c>
      <c r="D43" s="8">
        <v>20.989004450000003</v>
      </c>
      <c r="E43" s="8">
        <f t="shared" si="21"/>
        <v>81.421469129999991</v>
      </c>
      <c r="F43" s="8">
        <v>41.442746919999998</v>
      </c>
      <c r="G43" s="8">
        <v>27.314267140000002</v>
      </c>
      <c r="H43" s="8">
        <v>18.418466079999998</v>
      </c>
      <c r="I43" s="8">
        <f t="shared" si="22"/>
        <v>87.175480140000005</v>
      </c>
      <c r="J43" s="8">
        <f t="shared" si="3"/>
        <v>168.59694926999998</v>
      </c>
      <c r="K43" s="8">
        <v>24.885404819999998</v>
      </c>
      <c r="L43" s="8">
        <v>21.886106050000006</v>
      </c>
      <c r="M43" s="8">
        <v>22.394463699999999</v>
      </c>
      <c r="N43" s="8">
        <f t="shared" si="23"/>
        <v>69.165974570000003</v>
      </c>
      <c r="O43" s="8">
        <v>23.653584739999999</v>
      </c>
      <c r="P43" s="8">
        <v>25.708653680000005</v>
      </c>
      <c r="Q43" s="8">
        <v>24.064410299999999</v>
      </c>
      <c r="R43" s="8">
        <f t="shared" si="24"/>
        <v>73.426648720000003</v>
      </c>
      <c r="S43" s="8">
        <f t="shared" si="6"/>
        <v>142.59262329000001</v>
      </c>
      <c r="T43" s="8">
        <f t="shared" si="25"/>
        <v>311.18957255999999</v>
      </c>
      <c r="U43" s="8"/>
      <c r="V43" s="8"/>
    </row>
    <row r="44" spans="1:22" s="10" customFormat="1" ht="15" customHeight="1" x14ac:dyDescent="0.3">
      <c r="A44" s="3"/>
      <c r="B44" s="11"/>
      <c r="C44" s="11"/>
      <c r="D44" s="11"/>
      <c r="E44" s="11"/>
      <c r="F44" s="11"/>
      <c r="G44" s="11"/>
      <c r="H44" s="11"/>
      <c r="I44" s="11"/>
      <c r="J44" s="11"/>
      <c r="K44" s="11"/>
      <c r="L44" s="11"/>
      <c r="M44" s="11"/>
      <c r="N44" s="11"/>
      <c r="O44" s="11"/>
      <c r="P44" s="11"/>
      <c r="Q44" s="11"/>
      <c r="R44" s="11"/>
      <c r="S44" s="11"/>
      <c r="T44" s="11"/>
      <c r="U44" s="11"/>
      <c r="V44" s="11"/>
    </row>
    <row r="45" spans="1:22" s="10" customFormat="1" ht="15" customHeight="1" x14ac:dyDescent="0.25">
      <c r="A45" s="10" t="s">
        <v>56</v>
      </c>
      <c r="B45" s="11">
        <f>SUM(B46:B54)</f>
        <v>4332.9491006400003</v>
      </c>
      <c r="C45" s="11">
        <f t="shared" ref="C45:Q45" si="26">SUM(C46:C54)</f>
        <v>2774.9728273199999</v>
      </c>
      <c r="D45" s="11">
        <f t="shared" si="26"/>
        <v>2980.2114715799994</v>
      </c>
      <c r="E45" s="11">
        <f t="shared" ref="E45:E54" si="27">SUM(B45:D45)</f>
        <v>10088.13339954</v>
      </c>
      <c r="F45" s="11">
        <f t="shared" si="26"/>
        <v>5689.462598109998</v>
      </c>
      <c r="G45" s="11">
        <f t="shared" si="26"/>
        <v>3944.3637923900005</v>
      </c>
      <c r="H45" s="11">
        <f t="shared" si="26"/>
        <v>3069.1551728800005</v>
      </c>
      <c r="I45" s="11">
        <f t="shared" ref="I45:I54" si="28">SUM(F45:H45)</f>
        <v>12702.981563379999</v>
      </c>
      <c r="J45" s="11">
        <f t="shared" si="3"/>
        <v>22791.114962920001</v>
      </c>
      <c r="K45" s="11">
        <f t="shared" si="26"/>
        <v>3971.3671892500006</v>
      </c>
      <c r="L45" s="11">
        <f t="shared" si="26"/>
        <v>4026.0914529800011</v>
      </c>
      <c r="M45" s="11">
        <f t="shared" si="26"/>
        <v>3592.9636524399998</v>
      </c>
      <c r="N45" s="11">
        <f t="shared" ref="N45:N54" si="29">SUM(K45:M45)</f>
        <v>11590.422294670001</v>
      </c>
      <c r="O45" s="11">
        <f t="shared" si="26"/>
        <v>3869.6270956600015</v>
      </c>
      <c r="P45" s="11">
        <f t="shared" si="26"/>
        <v>4540.7368611600014</v>
      </c>
      <c r="Q45" s="11">
        <f t="shared" si="26"/>
        <v>3501.4041003299994</v>
      </c>
      <c r="R45" s="11">
        <f t="shared" ref="R45:R54" si="30">SUM(O45:Q45)</f>
        <v>11911.768057150002</v>
      </c>
      <c r="S45" s="11">
        <f t="shared" si="6"/>
        <v>23502.190351820005</v>
      </c>
      <c r="T45" s="11">
        <f t="shared" ref="T45:T54" si="31">+J45+S45</f>
        <v>46293.305314740006</v>
      </c>
      <c r="U45" s="11"/>
      <c r="V45" s="11"/>
    </row>
    <row r="46" spans="1:22" ht="15" customHeight="1" x14ac:dyDescent="0.3">
      <c r="A46" s="12" t="s">
        <v>57</v>
      </c>
      <c r="B46" s="8">
        <v>33.612482700000001</v>
      </c>
      <c r="C46" s="8">
        <v>24.089875329999998</v>
      </c>
      <c r="D46" s="8">
        <v>22.614770019999991</v>
      </c>
      <c r="E46" s="8">
        <f t="shared" si="27"/>
        <v>80.317128049999994</v>
      </c>
      <c r="F46" s="8">
        <v>43.73876864999999</v>
      </c>
      <c r="G46" s="8">
        <v>25.190859</v>
      </c>
      <c r="H46" s="8">
        <v>28.206306339999998</v>
      </c>
      <c r="I46" s="8">
        <f t="shared" si="28"/>
        <v>97.135933989999984</v>
      </c>
      <c r="J46" s="8">
        <f t="shared" si="3"/>
        <v>177.45306203999996</v>
      </c>
      <c r="K46" s="8">
        <v>34.229318200000002</v>
      </c>
      <c r="L46" s="8">
        <v>25.425497800000006</v>
      </c>
      <c r="M46" s="8">
        <v>20.380073750000005</v>
      </c>
      <c r="N46" s="8">
        <f t="shared" si="29"/>
        <v>80.034889750000019</v>
      </c>
      <c r="O46" s="8">
        <v>29.040585839999995</v>
      </c>
      <c r="P46" s="8">
        <v>26.537452890000015</v>
      </c>
      <c r="Q46" s="8">
        <v>34.579372419999999</v>
      </c>
      <c r="R46" s="8">
        <f t="shared" si="30"/>
        <v>90.157411150000001</v>
      </c>
      <c r="S46" s="8">
        <f t="shared" si="6"/>
        <v>170.19230090000002</v>
      </c>
      <c r="T46" s="8">
        <f t="shared" si="31"/>
        <v>347.64536293999998</v>
      </c>
      <c r="U46" s="8"/>
      <c r="V46" s="8"/>
    </row>
    <row r="47" spans="1:22" ht="15" customHeight="1" x14ac:dyDescent="0.3">
      <c r="A47" s="12" t="s">
        <v>58</v>
      </c>
      <c r="B47" s="8">
        <v>609.45832340999982</v>
      </c>
      <c r="C47" s="8">
        <v>245.61758244000009</v>
      </c>
      <c r="D47" s="8">
        <v>279.73534624999996</v>
      </c>
      <c r="E47" s="8">
        <f t="shared" si="27"/>
        <v>1134.8112520999998</v>
      </c>
      <c r="F47" s="8">
        <v>390.5407860699998</v>
      </c>
      <c r="G47" s="8">
        <v>250.62066152999992</v>
      </c>
      <c r="H47" s="8">
        <v>260.66050220999983</v>
      </c>
      <c r="I47" s="8">
        <f t="shared" si="28"/>
        <v>901.82194980999952</v>
      </c>
      <c r="J47" s="8">
        <f t="shared" si="3"/>
        <v>2036.6332019099993</v>
      </c>
      <c r="K47" s="8">
        <v>262.17110592999995</v>
      </c>
      <c r="L47" s="8">
        <v>259.33546768000008</v>
      </c>
      <c r="M47" s="8">
        <v>231.44103078000001</v>
      </c>
      <c r="N47" s="8">
        <f t="shared" si="29"/>
        <v>752.94760439000004</v>
      </c>
      <c r="O47" s="8">
        <v>297.17417942000003</v>
      </c>
      <c r="P47" s="8">
        <v>302.36565569999999</v>
      </c>
      <c r="Q47" s="8">
        <v>262.14201398999995</v>
      </c>
      <c r="R47" s="8">
        <f t="shared" si="30"/>
        <v>861.68184911000003</v>
      </c>
      <c r="S47" s="8">
        <f t="shared" si="6"/>
        <v>1614.6294535000002</v>
      </c>
      <c r="T47" s="8">
        <f t="shared" si="31"/>
        <v>3651.2626554099998</v>
      </c>
      <c r="U47" s="8"/>
      <c r="V47" s="8"/>
    </row>
    <row r="48" spans="1:22" ht="15" customHeight="1" x14ac:dyDescent="0.3">
      <c r="A48" s="12" t="s">
        <v>59</v>
      </c>
      <c r="B48" s="8">
        <v>1142.3393765199999</v>
      </c>
      <c r="C48" s="8">
        <v>889.74032985000019</v>
      </c>
      <c r="D48" s="8">
        <v>955.07925056999898</v>
      </c>
      <c r="E48" s="8">
        <f t="shared" si="27"/>
        <v>2987.1589569399994</v>
      </c>
      <c r="F48" s="8">
        <v>1534.1658785400004</v>
      </c>
      <c r="G48" s="8">
        <v>1180.9447959699999</v>
      </c>
      <c r="H48" s="8">
        <v>878.69215616000042</v>
      </c>
      <c r="I48" s="8">
        <f t="shared" si="28"/>
        <v>3593.8028306700007</v>
      </c>
      <c r="J48" s="8">
        <f t="shared" si="3"/>
        <v>6580.9617876100001</v>
      </c>
      <c r="K48" s="8">
        <v>1184.4334479700005</v>
      </c>
      <c r="L48" s="8">
        <v>1126.8311693900002</v>
      </c>
      <c r="M48" s="8">
        <v>983.58091915999978</v>
      </c>
      <c r="N48" s="8">
        <f t="shared" si="29"/>
        <v>3294.8455365200002</v>
      </c>
      <c r="O48" s="8">
        <v>1162.1220652100008</v>
      </c>
      <c r="P48" s="8">
        <v>1292.6048874500002</v>
      </c>
      <c r="Q48" s="8">
        <v>954.65433168999994</v>
      </c>
      <c r="R48" s="8">
        <f t="shared" si="30"/>
        <v>3409.3812843500009</v>
      </c>
      <c r="S48" s="8">
        <f t="shared" si="6"/>
        <v>6704.2268208700007</v>
      </c>
      <c r="T48" s="8">
        <f t="shared" si="31"/>
        <v>13285.188608480001</v>
      </c>
      <c r="U48" s="8"/>
      <c r="V48" s="8"/>
    </row>
    <row r="49" spans="1:22" ht="15" customHeight="1" x14ac:dyDescent="0.3">
      <c r="A49" s="12" t="s">
        <v>60</v>
      </c>
      <c r="B49" s="8">
        <v>422.34431886000004</v>
      </c>
      <c r="C49" s="8">
        <v>267.80613389000001</v>
      </c>
      <c r="D49" s="8">
        <v>299.74675194999986</v>
      </c>
      <c r="E49" s="8">
        <f t="shared" si="27"/>
        <v>989.89720469999997</v>
      </c>
      <c r="F49" s="8">
        <v>455.26625324999992</v>
      </c>
      <c r="G49" s="8">
        <v>337.36638398999992</v>
      </c>
      <c r="H49" s="8">
        <v>357.25082237999982</v>
      </c>
      <c r="I49" s="8">
        <f t="shared" si="28"/>
        <v>1149.8834596199997</v>
      </c>
      <c r="J49" s="8">
        <f t="shared" si="3"/>
        <v>2139.7806643199997</v>
      </c>
      <c r="K49" s="8">
        <v>372.88280851000013</v>
      </c>
      <c r="L49" s="8">
        <v>338.91522626999995</v>
      </c>
      <c r="M49" s="8">
        <v>325.25189899999998</v>
      </c>
      <c r="N49" s="8">
        <f t="shared" si="29"/>
        <v>1037.0499337800002</v>
      </c>
      <c r="O49" s="8">
        <v>407.80017116999994</v>
      </c>
      <c r="P49" s="8">
        <v>374.76900714999988</v>
      </c>
      <c r="Q49" s="8">
        <v>356.47250453999982</v>
      </c>
      <c r="R49" s="8">
        <f t="shared" si="30"/>
        <v>1139.0416828599996</v>
      </c>
      <c r="S49" s="8">
        <f t="shared" si="6"/>
        <v>2176.0916166399998</v>
      </c>
      <c r="T49" s="8">
        <f t="shared" si="31"/>
        <v>4315.8722809599994</v>
      </c>
      <c r="U49" s="8"/>
      <c r="V49" s="8"/>
    </row>
    <row r="50" spans="1:22" ht="18" customHeight="1" x14ac:dyDescent="0.3">
      <c r="A50" s="12" t="s">
        <v>61</v>
      </c>
      <c r="B50" s="8">
        <v>725.73431353000035</v>
      </c>
      <c r="C50" s="8">
        <v>390.76232894999964</v>
      </c>
      <c r="D50" s="8">
        <v>444.97445114999982</v>
      </c>
      <c r="E50" s="8">
        <f t="shared" si="27"/>
        <v>1561.4710936299998</v>
      </c>
      <c r="F50" s="8">
        <v>742.55671212999982</v>
      </c>
      <c r="G50" s="8">
        <v>500.03681670000003</v>
      </c>
      <c r="H50" s="8">
        <v>459.69991753999977</v>
      </c>
      <c r="I50" s="8">
        <f t="shared" si="28"/>
        <v>1702.2934463699994</v>
      </c>
      <c r="J50" s="8">
        <f t="shared" si="3"/>
        <v>3263.7645399999992</v>
      </c>
      <c r="K50" s="8">
        <v>547.00019939000038</v>
      </c>
      <c r="L50" s="8">
        <v>531.77951973999996</v>
      </c>
      <c r="M50" s="8">
        <v>481.89163880000052</v>
      </c>
      <c r="N50" s="8">
        <f t="shared" si="29"/>
        <v>1560.6713579300008</v>
      </c>
      <c r="O50" s="8">
        <v>589.17256020000116</v>
      </c>
      <c r="P50" s="8">
        <v>598.99390941000013</v>
      </c>
      <c r="Q50" s="8">
        <v>511.36363235999994</v>
      </c>
      <c r="R50" s="8">
        <f t="shared" si="30"/>
        <v>1699.5301019700012</v>
      </c>
      <c r="S50" s="8">
        <f t="shared" si="6"/>
        <v>3260.2014599000022</v>
      </c>
      <c r="T50" s="8">
        <f t="shared" si="31"/>
        <v>6523.9659999000014</v>
      </c>
      <c r="U50" s="8"/>
      <c r="V50" s="8"/>
    </row>
    <row r="51" spans="1:22" ht="15" customHeight="1" x14ac:dyDescent="0.3">
      <c r="A51" s="12" t="s">
        <v>62</v>
      </c>
      <c r="B51" s="8">
        <v>312.25257649999998</v>
      </c>
      <c r="C51" s="8">
        <v>228.45342072000011</v>
      </c>
      <c r="D51" s="8">
        <v>234.24703914999998</v>
      </c>
      <c r="E51" s="8">
        <f t="shared" si="27"/>
        <v>774.95303637000006</v>
      </c>
      <c r="F51" s="8">
        <v>647.35184055000047</v>
      </c>
      <c r="G51" s="8">
        <v>360.31208535999991</v>
      </c>
      <c r="H51" s="8">
        <v>239.86624813999998</v>
      </c>
      <c r="I51" s="8">
        <f t="shared" si="28"/>
        <v>1247.5301740500004</v>
      </c>
      <c r="J51" s="8">
        <f t="shared" si="3"/>
        <v>2022.4832104200004</v>
      </c>
      <c r="K51" s="8">
        <v>416.56637031999986</v>
      </c>
      <c r="L51" s="8">
        <v>352.24147384999992</v>
      </c>
      <c r="M51" s="8">
        <v>271.47369680999998</v>
      </c>
      <c r="N51" s="8">
        <f t="shared" si="29"/>
        <v>1040.2815409799996</v>
      </c>
      <c r="O51" s="8">
        <v>340.96850197999998</v>
      </c>
      <c r="P51" s="8">
        <v>341.28278929000027</v>
      </c>
      <c r="Q51" s="8">
        <v>258.33252870000001</v>
      </c>
      <c r="R51" s="8">
        <f t="shared" si="30"/>
        <v>940.58381997000026</v>
      </c>
      <c r="S51" s="8">
        <f t="shared" si="6"/>
        <v>1980.8653609499997</v>
      </c>
      <c r="T51" s="8">
        <f t="shared" si="31"/>
        <v>4003.3485713700002</v>
      </c>
      <c r="U51" s="8"/>
      <c r="V51" s="8"/>
    </row>
    <row r="52" spans="1:22" ht="18" customHeight="1" x14ac:dyDescent="0.3">
      <c r="A52" s="12" t="s">
        <v>63</v>
      </c>
      <c r="B52" s="8">
        <v>172.67898421999999</v>
      </c>
      <c r="C52" s="8">
        <v>95.868782379999914</v>
      </c>
      <c r="D52" s="8">
        <v>121.82108219999998</v>
      </c>
      <c r="E52" s="8">
        <f t="shared" si="27"/>
        <v>390.36884879999991</v>
      </c>
      <c r="F52" s="8">
        <v>306.17686147999996</v>
      </c>
      <c r="G52" s="8">
        <v>236.61112633000013</v>
      </c>
      <c r="H52" s="8">
        <v>111.20259339999994</v>
      </c>
      <c r="I52" s="8">
        <f t="shared" si="28"/>
        <v>653.99058121000007</v>
      </c>
      <c r="J52" s="8">
        <f t="shared" si="3"/>
        <v>1044.3594300099999</v>
      </c>
      <c r="K52" s="8">
        <v>134.48140238000005</v>
      </c>
      <c r="L52" s="8">
        <v>229.36030292000012</v>
      </c>
      <c r="M52" s="8">
        <v>446.34238042999976</v>
      </c>
      <c r="N52" s="8">
        <f t="shared" si="29"/>
        <v>810.18408572999988</v>
      </c>
      <c r="O52" s="8">
        <v>176.18399010999988</v>
      </c>
      <c r="P52" s="8">
        <v>261.58659153999986</v>
      </c>
      <c r="Q52" s="8">
        <v>289.83118071000013</v>
      </c>
      <c r="R52" s="8">
        <f t="shared" si="30"/>
        <v>727.60176235999984</v>
      </c>
      <c r="S52" s="8">
        <f t="shared" si="6"/>
        <v>1537.7858480899997</v>
      </c>
      <c r="T52" s="8">
        <f t="shared" si="31"/>
        <v>2582.1452780999998</v>
      </c>
      <c r="U52" s="8"/>
      <c r="V52" s="8"/>
    </row>
    <row r="53" spans="1:22" ht="15" customHeight="1" x14ac:dyDescent="0.3">
      <c r="A53" s="12" t="s">
        <v>64</v>
      </c>
      <c r="B53" s="8">
        <v>750.13712038000017</v>
      </c>
      <c r="C53" s="8">
        <v>538.80500501000017</v>
      </c>
      <c r="D53" s="8">
        <v>509.13452671000033</v>
      </c>
      <c r="E53" s="8">
        <f t="shared" si="27"/>
        <v>1798.0766521000007</v>
      </c>
      <c r="F53" s="8">
        <v>1379.4367213899977</v>
      </c>
      <c r="G53" s="8">
        <v>919.99254508000104</v>
      </c>
      <c r="H53" s="8">
        <v>604.81525062000071</v>
      </c>
      <c r="I53" s="8">
        <f t="shared" si="28"/>
        <v>2904.2445170899996</v>
      </c>
      <c r="J53" s="8">
        <f t="shared" si="3"/>
        <v>4702.3211691900005</v>
      </c>
      <c r="K53" s="8">
        <v>856.24241430999973</v>
      </c>
      <c r="L53" s="8">
        <v>1019.9760249700004</v>
      </c>
      <c r="M53" s="8">
        <v>711.70862233999981</v>
      </c>
      <c r="N53" s="8">
        <f t="shared" si="29"/>
        <v>2587.9270616199997</v>
      </c>
      <c r="O53" s="8">
        <v>736.98482033000039</v>
      </c>
      <c r="P53" s="8">
        <v>1201.5691680299999</v>
      </c>
      <c r="Q53" s="8">
        <v>716.05494670999997</v>
      </c>
      <c r="R53" s="8">
        <f t="shared" si="30"/>
        <v>2654.6089350700004</v>
      </c>
      <c r="S53" s="8">
        <f t="shared" si="6"/>
        <v>5242.5359966899996</v>
      </c>
      <c r="T53" s="8">
        <f t="shared" si="31"/>
        <v>9944.8571658799992</v>
      </c>
      <c r="U53" s="8"/>
      <c r="V53" s="8"/>
    </row>
    <row r="54" spans="1:22" ht="15" customHeight="1" x14ac:dyDescent="0.3">
      <c r="A54" s="12" t="s">
        <v>65</v>
      </c>
      <c r="B54" s="8">
        <v>164.39160451999999</v>
      </c>
      <c r="C54" s="8">
        <v>93.82936875</v>
      </c>
      <c r="D54" s="8">
        <v>112.85825358000001</v>
      </c>
      <c r="E54" s="8">
        <f t="shared" si="27"/>
        <v>371.07922685</v>
      </c>
      <c r="F54" s="8">
        <v>190.22877605000002</v>
      </c>
      <c r="G54" s="8">
        <v>133.28851842999995</v>
      </c>
      <c r="H54" s="8">
        <v>128.76137608999997</v>
      </c>
      <c r="I54" s="8">
        <f t="shared" si="28"/>
        <v>452.27867056999992</v>
      </c>
      <c r="J54" s="8">
        <f t="shared" si="3"/>
        <v>823.35789741999997</v>
      </c>
      <c r="K54" s="8">
        <v>163.36012224000007</v>
      </c>
      <c r="L54" s="8">
        <v>142.22677036000002</v>
      </c>
      <c r="M54" s="8">
        <v>120.89339137000003</v>
      </c>
      <c r="N54" s="8">
        <f t="shared" si="29"/>
        <v>426.48028397000007</v>
      </c>
      <c r="O54" s="8">
        <v>130.18022139999997</v>
      </c>
      <c r="P54" s="8">
        <v>141.02739970000013</v>
      </c>
      <c r="Q54" s="8">
        <v>117.97358921000003</v>
      </c>
      <c r="R54" s="8">
        <f t="shared" si="30"/>
        <v>389.1812103100001</v>
      </c>
      <c r="S54" s="8">
        <f t="shared" si="6"/>
        <v>815.66149428000017</v>
      </c>
      <c r="T54" s="8">
        <f t="shared" si="31"/>
        <v>1639.0193917000001</v>
      </c>
      <c r="U54" s="8"/>
      <c r="V54" s="8"/>
    </row>
    <row r="55" spans="1:22" s="10" customFormat="1" ht="15" customHeight="1" x14ac:dyDescent="0.3">
      <c r="A55" s="3"/>
      <c r="B55" s="11"/>
      <c r="C55" s="11"/>
      <c r="D55" s="11"/>
      <c r="E55" s="11"/>
      <c r="F55" s="11"/>
      <c r="G55" s="11"/>
      <c r="H55" s="11"/>
      <c r="I55" s="11"/>
      <c r="J55" s="11"/>
      <c r="K55" s="11"/>
      <c r="L55" s="11"/>
      <c r="M55" s="11"/>
      <c r="N55" s="11"/>
      <c r="O55" s="11"/>
      <c r="P55" s="11"/>
      <c r="Q55" s="11"/>
      <c r="R55" s="11"/>
      <c r="S55" s="11"/>
      <c r="T55" s="11"/>
      <c r="U55" s="11"/>
      <c r="V55" s="11"/>
    </row>
    <row r="56" spans="1:22" s="10" customFormat="1" ht="15" customHeight="1" x14ac:dyDescent="0.25">
      <c r="A56" s="10" t="s">
        <v>66</v>
      </c>
      <c r="B56" s="11">
        <f>SUM(B57:B62)</f>
        <v>6611.4728001700005</v>
      </c>
      <c r="C56" s="11">
        <f t="shared" ref="C56:Q56" si="32">SUM(C57:C62)</f>
        <v>4317.7078451199986</v>
      </c>
      <c r="D56" s="11">
        <f t="shared" si="32"/>
        <v>4628.5208167799992</v>
      </c>
      <c r="E56" s="11">
        <f t="shared" ref="E56:E62" si="33">SUM(B56:D56)</f>
        <v>15557.701462069997</v>
      </c>
      <c r="F56" s="11">
        <f t="shared" si="32"/>
        <v>9024.0293415900032</v>
      </c>
      <c r="G56" s="11">
        <f t="shared" si="32"/>
        <v>5953.8222426499997</v>
      </c>
      <c r="H56" s="11">
        <f t="shared" si="32"/>
        <v>4727.1636594500005</v>
      </c>
      <c r="I56" s="11">
        <f t="shared" ref="I56:I62" si="34">SUM(F56:H56)</f>
        <v>19705.015243690003</v>
      </c>
      <c r="J56" s="11">
        <f t="shared" si="3"/>
        <v>35262.716705760002</v>
      </c>
      <c r="K56" s="11">
        <f t="shared" si="32"/>
        <v>5970.7745297400006</v>
      </c>
      <c r="L56" s="11">
        <f t="shared" si="32"/>
        <v>6582.8053988599968</v>
      </c>
      <c r="M56" s="11">
        <f t="shared" si="32"/>
        <v>5037.70770567</v>
      </c>
      <c r="N56" s="11">
        <f t="shared" ref="N56:N62" si="35">SUM(K56:M56)</f>
        <v>17591.287634269996</v>
      </c>
      <c r="O56" s="11">
        <f t="shared" si="32"/>
        <v>6406.0864860299998</v>
      </c>
      <c r="P56" s="11">
        <f t="shared" si="32"/>
        <v>7599.413788699997</v>
      </c>
      <c r="Q56" s="11">
        <f t="shared" si="32"/>
        <v>5068.3794599800003</v>
      </c>
      <c r="R56" s="11">
        <f t="shared" ref="R56:R62" si="36">SUM(O56:Q56)</f>
        <v>19073.879734709997</v>
      </c>
      <c r="S56" s="11">
        <f t="shared" si="6"/>
        <v>36665.167368979994</v>
      </c>
      <c r="T56" s="11">
        <f t="shared" ref="T56:T62" si="37">+J56+S56</f>
        <v>71927.884074739995</v>
      </c>
      <c r="U56" s="11"/>
      <c r="V56" s="11"/>
    </row>
    <row r="57" spans="1:22" ht="15" customHeight="1" x14ac:dyDescent="0.3">
      <c r="A57" s="12" t="s">
        <v>67</v>
      </c>
      <c r="B57" s="8">
        <v>1328.6565774599999</v>
      </c>
      <c r="C57" s="8">
        <v>901.08230902999912</v>
      </c>
      <c r="D57" s="8">
        <v>1050.6907759200008</v>
      </c>
      <c r="E57" s="8">
        <f t="shared" si="33"/>
        <v>3280.4296624099998</v>
      </c>
      <c r="F57" s="8">
        <v>1885.4151410800016</v>
      </c>
      <c r="G57" s="8">
        <v>1278.2055695900003</v>
      </c>
      <c r="H57" s="8">
        <v>967.72942776000014</v>
      </c>
      <c r="I57" s="8">
        <f t="shared" si="34"/>
        <v>4131.3501384300025</v>
      </c>
      <c r="J57" s="8">
        <f t="shared" si="3"/>
        <v>7411.7798008400023</v>
      </c>
      <c r="K57" s="8">
        <v>1402.7270119899999</v>
      </c>
      <c r="L57" s="8">
        <v>1282.7683849800001</v>
      </c>
      <c r="M57" s="8">
        <v>1164.8417353500008</v>
      </c>
      <c r="N57" s="8">
        <f t="shared" si="35"/>
        <v>3850.3371323200008</v>
      </c>
      <c r="O57" s="8">
        <v>1334.7047230199996</v>
      </c>
      <c r="P57" s="8">
        <v>1315.9288043500003</v>
      </c>
      <c r="Q57" s="8">
        <v>1091.4879571800009</v>
      </c>
      <c r="R57" s="8">
        <f t="shared" si="36"/>
        <v>3742.1214845500008</v>
      </c>
      <c r="S57" s="8">
        <f t="shared" si="6"/>
        <v>7592.4586168700016</v>
      </c>
      <c r="T57" s="8">
        <f t="shared" si="37"/>
        <v>15004.238417710003</v>
      </c>
      <c r="U57" s="8"/>
      <c r="V57" s="8"/>
    </row>
    <row r="58" spans="1:22" ht="15" customHeight="1" x14ac:dyDescent="0.3">
      <c r="A58" s="12" t="s">
        <v>68</v>
      </c>
      <c r="B58" s="8">
        <v>2202.4301864600002</v>
      </c>
      <c r="C58" s="8">
        <v>1431.4036270700005</v>
      </c>
      <c r="D58" s="8">
        <v>1327.8128087999989</v>
      </c>
      <c r="E58" s="8">
        <f t="shared" si="33"/>
        <v>4961.6466223299994</v>
      </c>
      <c r="F58" s="8">
        <v>2758.2135314100015</v>
      </c>
      <c r="G58" s="8">
        <v>1817.8261230299991</v>
      </c>
      <c r="H58" s="8">
        <v>1644.6422918900005</v>
      </c>
      <c r="I58" s="8">
        <f t="shared" si="34"/>
        <v>6220.6819463300017</v>
      </c>
      <c r="J58" s="8">
        <f t="shared" si="3"/>
        <v>11182.328568660001</v>
      </c>
      <c r="K58" s="8">
        <v>1820.3743704100002</v>
      </c>
      <c r="L58" s="8">
        <v>2070.391079439999</v>
      </c>
      <c r="M58" s="8">
        <v>1575.3383686499983</v>
      </c>
      <c r="N58" s="8">
        <f t="shared" si="35"/>
        <v>5466.1038184999979</v>
      </c>
      <c r="O58" s="8">
        <v>2212.0578125700008</v>
      </c>
      <c r="P58" s="8">
        <v>2289.0251400399993</v>
      </c>
      <c r="Q58" s="8">
        <v>1510.9773939199995</v>
      </c>
      <c r="R58" s="8">
        <f t="shared" si="36"/>
        <v>6012.0603465300001</v>
      </c>
      <c r="S58" s="8">
        <f t="shared" si="6"/>
        <v>11478.164165029997</v>
      </c>
      <c r="T58" s="8">
        <f t="shared" si="37"/>
        <v>22660.49273369</v>
      </c>
      <c r="U58" s="8"/>
      <c r="V58" s="8"/>
    </row>
    <row r="59" spans="1:22" ht="15" customHeight="1" x14ac:dyDescent="0.3">
      <c r="A59" s="12" t="s">
        <v>69</v>
      </c>
      <c r="B59" s="8">
        <v>2243.3822469799998</v>
      </c>
      <c r="C59" s="8">
        <v>1365.6022590099994</v>
      </c>
      <c r="D59" s="8">
        <v>1700.9938757599989</v>
      </c>
      <c r="E59" s="8">
        <f t="shared" si="33"/>
        <v>5309.9783817499974</v>
      </c>
      <c r="F59" s="8">
        <v>3386.4391014700022</v>
      </c>
      <c r="G59" s="8">
        <v>2143.0279016200006</v>
      </c>
      <c r="H59" s="8">
        <v>1512.2696602899998</v>
      </c>
      <c r="I59" s="8">
        <f t="shared" si="34"/>
        <v>7041.7366633800029</v>
      </c>
      <c r="J59" s="8">
        <f t="shared" si="3"/>
        <v>12351.71504513</v>
      </c>
      <c r="K59" s="8">
        <v>1981.9978587800006</v>
      </c>
      <c r="L59" s="8">
        <v>2472.0538000899987</v>
      </c>
      <c r="M59" s="8">
        <v>1674.4402562500009</v>
      </c>
      <c r="N59" s="8">
        <f t="shared" si="35"/>
        <v>6128.4919151200002</v>
      </c>
      <c r="O59" s="8">
        <v>2044.9563603599986</v>
      </c>
      <c r="P59" s="8">
        <v>2903.0701488299983</v>
      </c>
      <c r="Q59" s="8">
        <v>1760.7798055499989</v>
      </c>
      <c r="R59" s="8">
        <f t="shared" si="36"/>
        <v>6708.8063147399953</v>
      </c>
      <c r="S59" s="8">
        <f t="shared" si="6"/>
        <v>12837.298229859996</v>
      </c>
      <c r="T59" s="8">
        <f t="shared" si="37"/>
        <v>25189.013274989997</v>
      </c>
      <c r="U59" s="8"/>
      <c r="V59" s="8"/>
    </row>
    <row r="60" spans="1:22" ht="15" customHeight="1" x14ac:dyDescent="0.3">
      <c r="A60" s="12" t="s">
        <v>70</v>
      </c>
      <c r="B60" s="8">
        <v>72.974625939999996</v>
      </c>
      <c r="C60" s="8">
        <v>29.005546260000003</v>
      </c>
      <c r="D60" s="8">
        <v>32.170778579999997</v>
      </c>
      <c r="E60" s="8">
        <f t="shared" si="33"/>
        <v>134.15095077999999</v>
      </c>
      <c r="F60" s="8">
        <v>73.401192459999976</v>
      </c>
      <c r="G60" s="8">
        <v>32.612110700000009</v>
      </c>
      <c r="H60" s="8">
        <v>41.964024670000065</v>
      </c>
      <c r="I60" s="8">
        <f t="shared" si="34"/>
        <v>147.97732783000006</v>
      </c>
      <c r="J60" s="8">
        <f t="shared" si="3"/>
        <v>282.12827861000005</v>
      </c>
      <c r="K60" s="8">
        <v>63.641056289999966</v>
      </c>
      <c r="L60" s="8">
        <v>37.823891889999992</v>
      </c>
      <c r="M60" s="8">
        <v>40.067709519999994</v>
      </c>
      <c r="N60" s="8">
        <f t="shared" si="35"/>
        <v>141.53265769999996</v>
      </c>
      <c r="O60" s="8">
        <v>56.395746510000002</v>
      </c>
      <c r="P60" s="8">
        <v>46.609230970000013</v>
      </c>
      <c r="Q60" s="8">
        <v>42.729479210000001</v>
      </c>
      <c r="R60" s="8">
        <f t="shared" si="36"/>
        <v>145.73445669</v>
      </c>
      <c r="S60" s="8">
        <f t="shared" si="6"/>
        <v>287.26711438999996</v>
      </c>
      <c r="T60" s="8">
        <f t="shared" si="37"/>
        <v>569.39539300000001</v>
      </c>
      <c r="U60" s="8"/>
      <c r="V60" s="8"/>
    </row>
    <row r="61" spans="1:22" ht="18" customHeight="1" x14ac:dyDescent="0.3">
      <c r="A61" s="12" t="s">
        <v>71</v>
      </c>
      <c r="B61" s="8">
        <v>466.12933450999992</v>
      </c>
      <c r="C61" s="8">
        <v>322.07565102999996</v>
      </c>
      <c r="D61" s="8">
        <v>316.54974474999983</v>
      </c>
      <c r="E61" s="8">
        <f t="shared" si="33"/>
        <v>1104.7547302899998</v>
      </c>
      <c r="F61" s="8">
        <v>580.61889917999974</v>
      </c>
      <c r="G61" s="8">
        <v>432.82237124999989</v>
      </c>
      <c r="H61" s="8">
        <v>347.18229695000008</v>
      </c>
      <c r="I61" s="8">
        <f t="shared" si="34"/>
        <v>1360.6235673799997</v>
      </c>
      <c r="J61" s="8">
        <f t="shared" si="3"/>
        <v>2465.3782976699995</v>
      </c>
      <c r="K61" s="8">
        <v>431.12373535999996</v>
      </c>
      <c r="L61" s="8">
        <v>446.68070378999977</v>
      </c>
      <c r="M61" s="8">
        <v>355.25138625999989</v>
      </c>
      <c r="N61" s="8">
        <f t="shared" si="35"/>
        <v>1233.0558254099997</v>
      </c>
      <c r="O61" s="8">
        <v>466.28272898000051</v>
      </c>
      <c r="P61" s="8">
        <v>761.70249294999962</v>
      </c>
      <c r="Q61" s="8">
        <v>430.21967482000008</v>
      </c>
      <c r="R61" s="8">
        <f t="shared" si="36"/>
        <v>1658.2048967500002</v>
      </c>
      <c r="S61" s="8">
        <f t="shared" si="6"/>
        <v>2891.2607221600001</v>
      </c>
      <c r="T61" s="8">
        <f t="shared" si="37"/>
        <v>5356.6390198299996</v>
      </c>
      <c r="U61" s="8"/>
      <c r="V61" s="8"/>
    </row>
    <row r="62" spans="1:22" ht="18" customHeight="1" x14ac:dyDescent="0.3">
      <c r="A62" s="12" t="s">
        <v>72</v>
      </c>
      <c r="B62" s="8">
        <v>297.89982881999998</v>
      </c>
      <c r="C62" s="8">
        <v>268.53845271999995</v>
      </c>
      <c r="D62" s="8">
        <v>200.30283297000003</v>
      </c>
      <c r="E62" s="8">
        <f t="shared" si="33"/>
        <v>766.74111450999999</v>
      </c>
      <c r="F62" s="8">
        <v>339.94147599000001</v>
      </c>
      <c r="G62" s="8">
        <v>249.32816645999995</v>
      </c>
      <c r="H62" s="8">
        <v>213.37595789000002</v>
      </c>
      <c r="I62" s="8">
        <f t="shared" si="34"/>
        <v>802.64560033999999</v>
      </c>
      <c r="J62" s="8">
        <f t="shared" si="3"/>
        <v>1569.3867148499999</v>
      </c>
      <c r="K62" s="8">
        <v>270.91049691000001</v>
      </c>
      <c r="L62" s="8">
        <v>273.0875386699999</v>
      </c>
      <c r="M62" s="8">
        <v>227.76824963999991</v>
      </c>
      <c r="N62" s="8">
        <f t="shared" si="35"/>
        <v>771.76628521999976</v>
      </c>
      <c r="O62" s="8">
        <v>291.68911459000014</v>
      </c>
      <c r="P62" s="8">
        <v>283.07797156000009</v>
      </c>
      <c r="Q62" s="8">
        <v>232.18514930000009</v>
      </c>
      <c r="R62" s="8">
        <f t="shared" si="36"/>
        <v>806.95223545000044</v>
      </c>
      <c r="S62" s="8">
        <f t="shared" si="6"/>
        <v>1578.7185206700001</v>
      </c>
      <c r="T62" s="8">
        <f t="shared" si="37"/>
        <v>3148.10523552</v>
      </c>
      <c r="U62" s="8"/>
      <c r="V62" s="8"/>
    </row>
    <row r="63" spans="1:22" s="10" customFormat="1" ht="15" customHeight="1" x14ac:dyDescent="0.3">
      <c r="A63" s="3"/>
      <c r="B63" s="11"/>
      <c r="C63" s="11"/>
      <c r="D63" s="11"/>
      <c r="E63" s="11"/>
      <c r="F63" s="11"/>
      <c r="G63" s="11"/>
      <c r="H63" s="11"/>
      <c r="I63" s="11"/>
      <c r="J63" s="11"/>
      <c r="K63" s="11"/>
      <c r="L63" s="11"/>
      <c r="M63" s="11"/>
      <c r="N63" s="11"/>
      <c r="O63" s="11"/>
      <c r="P63" s="11"/>
      <c r="Q63" s="11"/>
      <c r="R63" s="11"/>
      <c r="S63" s="11"/>
      <c r="T63" s="11"/>
      <c r="U63" s="11"/>
      <c r="V63" s="11"/>
    </row>
    <row r="64" spans="1:22" s="10" customFormat="1" ht="15" customHeight="1" x14ac:dyDescent="0.25">
      <c r="A64" s="10" t="s">
        <v>73</v>
      </c>
      <c r="B64" s="11">
        <f>SUM(B65:B69)</f>
        <v>669.03377546999991</v>
      </c>
      <c r="C64" s="11">
        <f t="shared" ref="C64:Q64" si="38">SUM(C65:C69)</f>
        <v>385.36049234999973</v>
      </c>
      <c r="D64" s="11">
        <f t="shared" si="38"/>
        <v>405.27816391000005</v>
      </c>
      <c r="E64" s="11">
        <f t="shared" ref="E64:E69" si="39">SUM(B64:D64)</f>
        <v>1459.6724317299997</v>
      </c>
      <c r="F64" s="11">
        <f t="shared" si="38"/>
        <v>884.1554587400002</v>
      </c>
      <c r="G64" s="11">
        <f t="shared" si="38"/>
        <v>567.68236960000024</v>
      </c>
      <c r="H64" s="11">
        <f t="shared" si="38"/>
        <v>434.79446775000002</v>
      </c>
      <c r="I64" s="11">
        <f t="shared" ref="I64:I69" si="40">SUM(F64:H64)</f>
        <v>1886.6322960900004</v>
      </c>
      <c r="J64" s="11">
        <f t="shared" si="3"/>
        <v>3346.3047278200002</v>
      </c>
      <c r="K64" s="11">
        <f t="shared" si="38"/>
        <v>603.25496700999997</v>
      </c>
      <c r="L64" s="11">
        <f t="shared" si="38"/>
        <v>594.59846047999986</v>
      </c>
      <c r="M64" s="11">
        <f t="shared" si="38"/>
        <v>424.41033655999985</v>
      </c>
      <c r="N64" s="11">
        <f t="shared" ref="N64:N69" si="41">SUM(K64:M64)</f>
        <v>1622.2637640499997</v>
      </c>
      <c r="O64" s="11">
        <f t="shared" si="38"/>
        <v>632.60219740999969</v>
      </c>
      <c r="P64" s="11">
        <f t="shared" si="38"/>
        <v>551.57567536000022</v>
      </c>
      <c r="Q64" s="11">
        <f t="shared" si="38"/>
        <v>429.06241827999997</v>
      </c>
      <c r="R64" s="11">
        <f t="shared" ref="R64:R69" si="42">SUM(O64:Q64)</f>
        <v>1613.2402910499998</v>
      </c>
      <c r="S64" s="11">
        <f t="shared" si="6"/>
        <v>3235.5040550999993</v>
      </c>
      <c r="T64" s="11">
        <f t="shared" ref="T64:T69" si="43">+J64+S64</f>
        <v>6581.8087829199994</v>
      </c>
      <c r="U64" s="11"/>
      <c r="V64" s="11"/>
    </row>
    <row r="65" spans="1:22" ht="15" customHeight="1" x14ac:dyDescent="0.3">
      <c r="A65" s="12" t="s">
        <v>74</v>
      </c>
      <c r="B65" s="8">
        <v>30.532583429999999</v>
      </c>
      <c r="C65" s="8">
        <v>9.4193579799999991</v>
      </c>
      <c r="D65" s="8">
        <v>16.204334520000003</v>
      </c>
      <c r="E65" s="8">
        <f t="shared" si="39"/>
        <v>56.15627593</v>
      </c>
      <c r="F65" s="8">
        <v>25.478480290000004</v>
      </c>
      <c r="G65" s="8">
        <v>18.613735949999999</v>
      </c>
      <c r="H65" s="8">
        <v>17.838026899999999</v>
      </c>
      <c r="I65" s="8">
        <f t="shared" si="40"/>
        <v>61.930243140000002</v>
      </c>
      <c r="J65" s="8">
        <f t="shared" si="3"/>
        <v>118.08651907000001</v>
      </c>
      <c r="K65" s="8">
        <v>22.364982539999996</v>
      </c>
      <c r="L65" s="8">
        <v>15.215781369999993</v>
      </c>
      <c r="M65" s="8">
        <v>15.452501299999998</v>
      </c>
      <c r="N65" s="8">
        <f t="shared" si="41"/>
        <v>53.033265209999982</v>
      </c>
      <c r="O65" s="8">
        <v>18.715136139999991</v>
      </c>
      <c r="P65" s="8">
        <v>14.978520299999992</v>
      </c>
      <c r="Q65" s="8">
        <v>22.524491629999996</v>
      </c>
      <c r="R65" s="8">
        <f t="shared" si="42"/>
        <v>56.218148069999984</v>
      </c>
      <c r="S65" s="8">
        <f t="shared" si="6"/>
        <v>109.25141327999997</v>
      </c>
      <c r="T65" s="8">
        <f t="shared" si="43"/>
        <v>227.33793234999996</v>
      </c>
      <c r="U65" s="8"/>
      <c r="V65" s="8"/>
    </row>
    <row r="66" spans="1:22" ht="15" customHeight="1" x14ac:dyDescent="0.3">
      <c r="A66" s="12" t="s">
        <v>75</v>
      </c>
      <c r="B66" s="8">
        <v>66.465864300000007</v>
      </c>
      <c r="C66" s="8">
        <v>48.972912470000011</v>
      </c>
      <c r="D66" s="8">
        <v>44.347374910000013</v>
      </c>
      <c r="E66" s="8">
        <f t="shared" si="39"/>
        <v>159.78615168000005</v>
      </c>
      <c r="F66" s="8">
        <v>93.60089954999998</v>
      </c>
      <c r="G66" s="8">
        <v>54.009980010000007</v>
      </c>
      <c r="H66" s="8">
        <v>49.043303109999997</v>
      </c>
      <c r="I66" s="8">
        <f t="shared" si="40"/>
        <v>196.65418267000001</v>
      </c>
      <c r="J66" s="8">
        <f t="shared" si="3"/>
        <v>356.44033435000006</v>
      </c>
      <c r="K66" s="8">
        <v>67.089881289999994</v>
      </c>
      <c r="L66" s="8">
        <v>54.030276410000013</v>
      </c>
      <c r="M66" s="8">
        <v>40.564440789999985</v>
      </c>
      <c r="N66" s="8">
        <f t="shared" si="41"/>
        <v>161.68459848999998</v>
      </c>
      <c r="O66" s="8">
        <v>48.932036920000002</v>
      </c>
      <c r="P66" s="8">
        <v>49.228013949999983</v>
      </c>
      <c r="Q66" s="8">
        <v>43.128142980000021</v>
      </c>
      <c r="R66" s="8">
        <f t="shared" si="42"/>
        <v>141.28819385000003</v>
      </c>
      <c r="S66" s="8">
        <f t="shared" si="6"/>
        <v>302.97279234000001</v>
      </c>
      <c r="T66" s="8">
        <f t="shared" si="43"/>
        <v>659.41312669000013</v>
      </c>
      <c r="U66" s="8"/>
      <c r="V66" s="8"/>
    </row>
    <row r="67" spans="1:22" ht="15" customHeight="1" x14ac:dyDescent="0.3">
      <c r="A67" s="12" t="s">
        <v>76</v>
      </c>
      <c r="B67" s="8">
        <v>185.84179552999993</v>
      </c>
      <c r="C67" s="8">
        <v>106.34938415999997</v>
      </c>
      <c r="D67" s="8">
        <v>103.68435479999999</v>
      </c>
      <c r="E67" s="8">
        <f t="shared" si="39"/>
        <v>395.87553448999989</v>
      </c>
      <c r="F67" s="8">
        <v>214.80402276000001</v>
      </c>
      <c r="G67" s="8">
        <v>143.28970801</v>
      </c>
      <c r="H67" s="8">
        <v>128.29778500000003</v>
      </c>
      <c r="I67" s="8">
        <f t="shared" si="40"/>
        <v>486.39151577000001</v>
      </c>
      <c r="J67" s="8">
        <f t="shared" si="3"/>
        <v>882.26705025999991</v>
      </c>
      <c r="K67" s="8">
        <v>150.81550772999998</v>
      </c>
      <c r="L67" s="8">
        <v>155.00132019000006</v>
      </c>
      <c r="M67" s="8">
        <v>112.50967992999995</v>
      </c>
      <c r="N67" s="8">
        <f t="shared" si="41"/>
        <v>418.32650784999998</v>
      </c>
      <c r="O67" s="8">
        <v>141.47879775999996</v>
      </c>
      <c r="P67" s="8">
        <v>153.56502226000006</v>
      </c>
      <c r="Q67" s="8">
        <v>105.93279178000003</v>
      </c>
      <c r="R67" s="8">
        <f t="shared" si="42"/>
        <v>400.9766118</v>
      </c>
      <c r="S67" s="8">
        <f t="shared" si="6"/>
        <v>819.30311964999999</v>
      </c>
      <c r="T67" s="8">
        <f t="shared" si="43"/>
        <v>1701.57016991</v>
      </c>
      <c r="U67" s="8"/>
      <c r="V67" s="8"/>
    </row>
    <row r="68" spans="1:22" ht="15" customHeight="1" x14ac:dyDescent="0.3">
      <c r="A68" s="12" t="s">
        <v>77</v>
      </c>
      <c r="B68" s="8">
        <v>348.12961534000004</v>
      </c>
      <c r="C68" s="8">
        <v>199.7717282599998</v>
      </c>
      <c r="D68" s="8">
        <v>219.58442631000003</v>
      </c>
      <c r="E68" s="8">
        <f t="shared" si="39"/>
        <v>767.48576990999982</v>
      </c>
      <c r="F68" s="8">
        <v>509.99068356000021</v>
      </c>
      <c r="G68" s="8">
        <v>325.29275959000017</v>
      </c>
      <c r="H68" s="8">
        <v>216.56079949999997</v>
      </c>
      <c r="I68" s="8">
        <f t="shared" si="40"/>
        <v>1051.8442426500003</v>
      </c>
      <c r="J68" s="8">
        <f t="shared" si="3"/>
        <v>1819.3300125600001</v>
      </c>
      <c r="K68" s="8">
        <v>329.89374099000008</v>
      </c>
      <c r="L68" s="8">
        <v>352.36403710999991</v>
      </c>
      <c r="M68" s="8">
        <v>229.84615039999994</v>
      </c>
      <c r="N68" s="8">
        <f t="shared" si="41"/>
        <v>912.10392849999994</v>
      </c>
      <c r="O68" s="8">
        <v>393.54163872999982</v>
      </c>
      <c r="P68" s="8">
        <v>313.30036537000018</v>
      </c>
      <c r="Q68" s="8">
        <v>225.57561407999995</v>
      </c>
      <c r="R68" s="8">
        <f t="shared" si="42"/>
        <v>932.41761817999986</v>
      </c>
      <c r="S68" s="8">
        <f t="shared" si="6"/>
        <v>1844.5215466799998</v>
      </c>
      <c r="T68" s="8">
        <f t="shared" si="43"/>
        <v>3663.8515592399999</v>
      </c>
      <c r="U68" s="8"/>
      <c r="V68" s="8"/>
    </row>
    <row r="69" spans="1:22" ht="15" customHeight="1" x14ac:dyDescent="0.3">
      <c r="A69" s="12" t="s">
        <v>78</v>
      </c>
      <c r="B69" s="8">
        <v>38.06391687</v>
      </c>
      <c r="C69" s="8">
        <v>20.84710948</v>
      </c>
      <c r="D69" s="8">
        <v>21.457673370000006</v>
      </c>
      <c r="E69" s="8">
        <f t="shared" si="39"/>
        <v>80.368699720000009</v>
      </c>
      <c r="F69" s="8">
        <v>40.281372579999996</v>
      </c>
      <c r="G69" s="8">
        <v>26.476186040000002</v>
      </c>
      <c r="H69" s="8">
        <v>23.054553240000004</v>
      </c>
      <c r="I69" s="8">
        <f t="shared" si="40"/>
        <v>89.812111860000002</v>
      </c>
      <c r="J69" s="8">
        <f t="shared" si="3"/>
        <v>170.18081158000001</v>
      </c>
      <c r="K69" s="8">
        <v>33.090854459999996</v>
      </c>
      <c r="L69" s="8">
        <v>17.9870454</v>
      </c>
      <c r="M69" s="8">
        <v>26.037564139999997</v>
      </c>
      <c r="N69" s="8">
        <f t="shared" si="41"/>
        <v>77.115463999999989</v>
      </c>
      <c r="O69" s="8">
        <v>29.934587860000008</v>
      </c>
      <c r="P69" s="8">
        <v>20.503753480000004</v>
      </c>
      <c r="Q69" s="8">
        <v>31.901377810000003</v>
      </c>
      <c r="R69" s="8">
        <f t="shared" si="42"/>
        <v>82.339719150000008</v>
      </c>
      <c r="S69" s="8">
        <f t="shared" si="6"/>
        <v>159.45518314999998</v>
      </c>
      <c r="T69" s="8">
        <f t="shared" si="43"/>
        <v>329.63599472999999</v>
      </c>
      <c r="U69" s="8"/>
      <c r="V69" s="8"/>
    </row>
    <row r="70" spans="1:22" s="10" customFormat="1" ht="15" customHeight="1" x14ac:dyDescent="0.3">
      <c r="A70" s="3"/>
      <c r="B70" s="11"/>
      <c r="C70" s="11"/>
      <c r="D70" s="11"/>
      <c r="E70" s="11"/>
      <c r="F70" s="11"/>
      <c r="G70" s="11"/>
      <c r="H70" s="11"/>
      <c r="I70" s="11"/>
      <c r="J70" s="11"/>
      <c r="K70" s="11"/>
      <c r="L70" s="11"/>
      <c r="M70" s="11"/>
      <c r="N70" s="11"/>
      <c r="O70" s="11"/>
      <c r="P70" s="11"/>
      <c r="Q70" s="11"/>
      <c r="R70" s="11"/>
      <c r="S70" s="11"/>
      <c r="T70" s="11"/>
      <c r="U70" s="11"/>
      <c r="V70" s="11"/>
    </row>
    <row r="71" spans="1:22" s="10" customFormat="1" ht="15" customHeight="1" x14ac:dyDescent="0.25">
      <c r="A71" s="10" t="s">
        <v>79</v>
      </c>
      <c r="B71" s="11">
        <f>SUM(B72:B77)</f>
        <v>948.20756508000011</v>
      </c>
      <c r="C71" s="11">
        <f t="shared" ref="C71:Q71" si="44">SUM(C72:C77)</f>
        <v>526.87571037999999</v>
      </c>
      <c r="D71" s="11">
        <f t="shared" si="44"/>
        <v>570.42326177999996</v>
      </c>
      <c r="E71" s="11">
        <f t="shared" ref="E71:E77" si="45">SUM(B71:D71)</f>
        <v>2045.5065372399999</v>
      </c>
      <c r="F71" s="11">
        <f t="shared" si="44"/>
        <v>1057.7063754400001</v>
      </c>
      <c r="G71" s="11">
        <f t="shared" si="44"/>
        <v>685.37376186000006</v>
      </c>
      <c r="H71" s="11">
        <f t="shared" si="44"/>
        <v>747.76220841000008</v>
      </c>
      <c r="I71" s="11">
        <f t="shared" ref="I71:I77" si="46">SUM(F71:H71)</f>
        <v>2490.8423457100002</v>
      </c>
      <c r="J71" s="11">
        <f t="shared" si="3"/>
        <v>4536.3488829500002</v>
      </c>
      <c r="K71" s="11">
        <f t="shared" si="44"/>
        <v>834.20719167000016</v>
      </c>
      <c r="L71" s="11">
        <f t="shared" si="44"/>
        <v>747.82380359000001</v>
      </c>
      <c r="M71" s="11">
        <f t="shared" si="44"/>
        <v>647.92564181000012</v>
      </c>
      <c r="N71" s="11">
        <f t="shared" ref="N71:N77" si="47">SUM(K71:M71)</f>
        <v>2229.9566370700004</v>
      </c>
      <c r="O71" s="11">
        <f t="shared" si="44"/>
        <v>847.31178168999975</v>
      </c>
      <c r="P71" s="11">
        <f t="shared" si="44"/>
        <v>804.73731872999963</v>
      </c>
      <c r="Q71" s="11">
        <f t="shared" si="44"/>
        <v>672.6115970000003</v>
      </c>
      <c r="R71" s="11">
        <f t="shared" ref="R71:R77" si="48">SUM(O71:Q71)</f>
        <v>2324.6606974199995</v>
      </c>
      <c r="S71" s="11">
        <f t="shared" si="6"/>
        <v>4554.6173344899998</v>
      </c>
      <c r="T71" s="11">
        <f t="shared" ref="T71:T77" si="49">+J71+S71</f>
        <v>9090.96621744</v>
      </c>
      <c r="U71" s="11"/>
      <c r="V71" s="11"/>
    </row>
    <row r="72" spans="1:22" ht="15" customHeight="1" x14ac:dyDescent="0.3">
      <c r="A72" s="12" t="s">
        <v>80</v>
      </c>
      <c r="B72" s="8">
        <v>318.39381203000005</v>
      </c>
      <c r="C72" s="8">
        <v>174.95237171999995</v>
      </c>
      <c r="D72" s="8">
        <v>192.11707154000001</v>
      </c>
      <c r="E72" s="8">
        <f t="shared" si="45"/>
        <v>685.46325529000001</v>
      </c>
      <c r="F72" s="8">
        <v>346.38712676999984</v>
      </c>
      <c r="G72" s="8">
        <v>237.34398249000017</v>
      </c>
      <c r="H72" s="8">
        <v>296.33311481000004</v>
      </c>
      <c r="I72" s="8">
        <f t="shared" si="46"/>
        <v>880.06422407000014</v>
      </c>
      <c r="J72" s="8">
        <f t="shared" ref="J72:J77" si="50">+E72+I72</f>
        <v>1565.5274793600001</v>
      </c>
      <c r="K72" s="8">
        <v>285.52242613999999</v>
      </c>
      <c r="L72" s="8">
        <v>250.55306714000002</v>
      </c>
      <c r="M72" s="8">
        <v>197.83705000000006</v>
      </c>
      <c r="N72" s="8">
        <f t="shared" si="47"/>
        <v>733.91254328000014</v>
      </c>
      <c r="O72" s="8">
        <v>290.33832439999998</v>
      </c>
      <c r="P72" s="8">
        <v>281.74744814999985</v>
      </c>
      <c r="Q72" s="8">
        <v>217.21058488000006</v>
      </c>
      <c r="R72" s="8">
        <f t="shared" si="48"/>
        <v>789.29635742999983</v>
      </c>
      <c r="S72" s="8">
        <f t="shared" ref="S72:S77" si="51">+N72+R72</f>
        <v>1523.2089007099999</v>
      </c>
      <c r="T72" s="8">
        <f t="shared" si="49"/>
        <v>3088.73638007</v>
      </c>
      <c r="U72" s="8"/>
      <c r="V72" s="8"/>
    </row>
    <row r="73" spans="1:22" ht="15" customHeight="1" x14ac:dyDescent="0.3">
      <c r="A73" s="12" t="s">
        <v>81</v>
      </c>
      <c r="B73" s="8">
        <v>76.361343989999995</v>
      </c>
      <c r="C73" s="8">
        <v>48.795595070000054</v>
      </c>
      <c r="D73" s="8">
        <v>54.674977299999959</v>
      </c>
      <c r="E73" s="8">
        <f t="shared" si="45"/>
        <v>179.83191636000001</v>
      </c>
      <c r="F73" s="8">
        <v>110.69195459000001</v>
      </c>
      <c r="G73" s="8">
        <v>70.214993250000035</v>
      </c>
      <c r="H73" s="8">
        <v>58.266248089999998</v>
      </c>
      <c r="I73" s="8">
        <f t="shared" si="46"/>
        <v>239.17319593000005</v>
      </c>
      <c r="J73" s="8">
        <f t="shared" si="50"/>
        <v>419.00511229000006</v>
      </c>
      <c r="K73" s="8">
        <v>78.42515240000003</v>
      </c>
      <c r="L73" s="8">
        <v>81.492675720000008</v>
      </c>
      <c r="M73" s="8">
        <v>58.558114079999967</v>
      </c>
      <c r="N73" s="8">
        <f t="shared" si="47"/>
        <v>218.47594219999999</v>
      </c>
      <c r="O73" s="8">
        <v>68.403467739999996</v>
      </c>
      <c r="P73" s="8">
        <v>72.378830969999996</v>
      </c>
      <c r="Q73" s="8">
        <v>58.626235569999992</v>
      </c>
      <c r="R73" s="8">
        <f t="shared" si="48"/>
        <v>199.40853427999997</v>
      </c>
      <c r="S73" s="8">
        <f t="shared" si="51"/>
        <v>417.88447647999999</v>
      </c>
      <c r="T73" s="8">
        <f t="shared" si="49"/>
        <v>836.88958877000005</v>
      </c>
      <c r="U73" s="8"/>
      <c r="V73" s="8"/>
    </row>
    <row r="74" spans="1:22" ht="15" customHeight="1" x14ac:dyDescent="0.3">
      <c r="A74" s="12" t="s">
        <v>82</v>
      </c>
      <c r="B74" s="8">
        <v>341.14439016000006</v>
      </c>
      <c r="C74" s="8">
        <v>185.20007265999999</v>
      </c>
      <c r="D74" s="8">
        <v>206.75557988</v>
      </c>
      <c r="E74" s="8">
        <f t="shared" si="45"/>
        <v>733.10004270000002</v>
      </c>
      <c r="F74" s="8">
        <v>364.80659693000018</v>
      </c>
      <c r="G74" s="8">
        <v>232.2911934599999</v>
      </c>
      <c r="H74" s="8">
        <v>241.02725313999989</v>
      </c>
      <c r="I74" s="8">
        <f t="shared" si="46"/>
        <v>838.12504352999997</v>
      </c>
      <c r="J74" s="8">
        <f t="shared" si="50"/>
        <v>1571.22508623</v>
      </c>
      <c r="K74" s="8">
        <v>276.37772508</v>
      </c>
      <c r="L74" s="8">
        <v>256.07687973999998</v>
      </c>
      <c r="M74" s="8">
        <v>241.64818918000014</v>
      </c>
      <c r="N74" s="8">
        <f t="shared" si="47"/>
        <v>774.10279400000013</v>
      </c>
      <c r="O74" s="8">
        <v>318.20900472999978</v>
      </c>
      <c r="P74" s="8">
        <v>291.67063810999997</v>
      </c>
      <c r="Q74" s="8">
        <v>236.55196213000019</v>
      </c>
      <c r="R74" s="8">
        <f t="shared" si="48"/>
        <v>846.43160496999997</v>
      </c>
      <c r="S74" s="8">
        <f t="shared" si="51"/>
        <v>1620.53439897</v>
      </c>
      <c r="T74" s="8">
        <f t="shared" si="49"/>
        <v>3191.7594852000002</v>
      </c>
      <c r="U74" s="8"/>
      <c r="V74" s="8"/>
    </row>
    <row r="75" spans="1:22" ht="15" customHeight="1" x14ac:dyDescent="0.3">
      <c r="A75" s="12" t="s">
        <v>83</v>
      </c>
      <c r="B75" s="8">
        <v>51.80135705</v>
      </c>
      <c r="C75" s="8">
        <v>27.362864410000007</v>
      </c>
      <c r="D75" s="8">
        <v>26.3236931</v>
      </c>
      <c r="E75" s="8">
        <f t="shared" si="45"/>
        <v>105.48791456000001</v>
      </c>
      <c r="F75" s="8">
        <v>58.137124969999981</v>
      </c>
      <c r="G75" s="8">
        <v>35.029563040000014</v>
      </c>
      <c r="H75" s="8">
        <v>34.759068249999991</v>
      </c>
      <c r="I75" s="8">
        <f t="shared" si="46"/>
        <v>127.92575625999999</v>
      </c>
      <c r="J75" s="8">
        <f t="shared" si="50"/>
        <v>233.41367081999999</v>
      </c>
      <c r="K75" s="8">
        <v>41.222004229999996</v>
      </c>
      <c r="L75" s="8">
        <v>39.510502470000006</v>
      </c>
      <c r="M75" s="8">
        <v>32.508444230000009</v>
      </c>
      <c r="N75" s="8">
        <f t="shared" si="47"/>
        <v>113.24095093000001</v>
      </c>
      <c r="O75" s="8">
        <v>46.075135500000002</v>
      </c>
      <c r="P75" s="8">
        <v>41.785355570000007</v>
      </c>
      <c r="Q75" s="8">
        <v>38.895723800000006</v>
      </c>
      <c r="R75" s="8">
        <f t="shared" si="48"/>
        <v>126.75621487000001</v>
      </c>
      <c r="S75" s="8">
        <f t="shared" si="51"/>
        <v>239.9971658</v>
      </c>
      <c r="T75" s="8">
        <f t="shared" si="49"/>
        <v>473.41083662</v>
      </c>
      <c r="U75" s="8"/>
      <c r="V75" s="8"/>
    </row>
    <row r="76" spans="1:22" ht="15" customHeight="1" x14ac:dyDescent="0.3">
      <c r="A76" s="12" t="s">
        <v>84</v>
      </c>
      <c r="B76" s="8">
        <v>79.551282669999992</v>
      </c>
      <c r="C76" s="8">
        <v>48.048289629999999</v>
      </c>
      <c r="D76" s="8">
        <v>40.870045590000004</v>
      </c>
      <c r="E76" s="8">
        <f t="shared" si="45"/>
        <v>168.46961788999999</v>
      </c>
      <c r="F76" s="8">
        <v>91.055800529999999</v>
      </c>
      <c r="G76" s="8">
        <v>55.296634649999994</v>
      </c>
      <c r="H76" s="8">
        <v>47.152425640000018</v>
      </c>
      <c r="I76" s="8">
        <f t="shared" si="46"/>
        <v>193.50486082</v>
      </c>
      <c r="J76" s="8">
        <f t="shared" si="50"/>
        <v>361.97447870999997</v>
      </c>
      <c r="K76" s="8">
        <v>66.912475250000014</v>
      </c>
      <c r="L76" s="8">
        <v>57.46088215999999</v>
      </c>
      <c r="M76" s="8">
        <v>51.73907516000002</v>
      </c>
      <c r="N76" s="8">
        <f t="shared" si="47"/>
        <v>176.11243257000004</v>
      </c>
      <c r="O76" s="8">
        <v>55.097850689999987</v>
      </c>
      <c r="P76" s="8">
        <v>46.788290419999989</v>
      </c>
      <c r="Q76" s="8">
        <v>66.552577960000008</v>
      </c>
      <c r="R76" s="8">
        <f t="shared" si="48"/>
        <v>168.43871906999999</v>
      </c>
      <c r="S76" s="8">
        <f t="shared" si="51"/>
        <v>344.55115164000006</v>
      </c>
      <c r="T76" s="8">
        <f t="shared" si="49"/>
        <v>706.52563035000003</v>
      </c>
      <c r="U76" s="8"/>
      <c r="V76" s="8"/>
    </row>
    <row r="77" spans="1:22" ht="15" customHeight="1" x14ac:dyDescent="0.3">
      <c r="A77" s="12" t="s">
        <v>85</v>
      </c>
      <c r="B77" s="8">
        <v>80.955379180000008</v>
      </c>
      <c r="C77" s="8">
        <v>42.516516889999984</v>
      </c>
      <c r="D77" s="8">
        <v>49.681894369999995</v>
      </c>
      <c r="E77" s="8">
        <f t="shared" si="45"/>
        <v>173.15379043999997</v>
      </c>
      <c r="F77" s="8">
        <v>86.62777165</v>
      </c>
      <c r="G77" s="8">
        <v>55.197394969999984</v>
      </c>
      <c r="H77" s="8">
        <v>70.224098480000023</v>
      </c>
      <c r="I77" s="8">
        <f t="shared" si="46"/>
        <v>212.04926510000001</v>
      </c>
      <c r="J77" s="8">
        <f t="shared" si="50"/>
        <v>385.20305553999998</v>
      </c>
      <c r="K77" s="8">
        <v>85.747408570000019</v>
      </c>
      <c r="L77" s="8">
        <v>62.729796359999987</v>
      </c>
      <c r="M77" s="8">
        <v>65.634769160000033</v>
      </c>
      <c r="N77" s="8">
        <f t="shared" si="47"/>
        <v>214.11197409000005</v>
      </c>
      <c r="O77" s="8">
        <v>69.18799863000001</v>
      </c>
      <c r="P77" s="8">
        <v>70.36675550999999</v>
      </c>
      <c r="Q77" s="8">
        <v>54.774512659999985</v>
      </c>
      <c r="R77" s="8">
        <f t="shared" si="48"/>
        <v>194.32926679999997</v>
      </c>
      <c r="S77" s="8">
        <f t="shared" si="51"/>
        <v>408.44124089000002</v>
      </c>
      <c r="T77" s="8">
        <f t="shared" si="49"/>
        <v>793.64429642999994</v>
      </c>
      <c r="U77" s="8"/>
      <c r="V77" s="8"/>
    </row>
    <row r="78" spans="1:22" s="10" customFormat="1" ht="15" customHeight="1" x14ac:dyDescent="0.3">
      <c r="A78" s="3"/>
      <c r="B78" s="11"/>
      <c r="C78" s="11"/>
      <c r="D78" s="11"/>
      <c r="E78" s="11"/>
      <c r="F78" s="11"/>
      <c r="G78" s="11"/>
      <c r="H78" s="11"/>
      <c r="I78" s="11"/>
      <c r="J78" s="11"/>
      <c r="K78" s="11"/>
      <c r="L78" s="11"/>
      <c r="M78" s="11"/>
      <c r="N78" s="11"/>
      <c r="O78" s="11"/>
      <c r="P78" s="11"/>
      <c r="Q78" s="11"/>
      <c r="R78" s="11"/>
      <c r="S78" s="11"/>
      <c r="T78" s="11"/>
      <c r="U78" s="11"/>
      <c r="V78" s="11"/>
    </row>
    <row r="79" spans="1:22" s="10" customFormat="1" ht="15" customHeight="1" x14ac:dyDescent="0.25">
      <c r="A79" s="10" t="s">
        <v>86</v>
      </c>
      <c r="B79" s="11">
        <f>SUM(B80:B84)</f>
        <v>1157.7983196800001</v>
      </c>
      <c r="C79" s="11">
        <f t="shared" ref="C79:Q79" si="52">SUM(C80:C84)</f>
        <v>634.63401452000016</v>
      </c>
      <c r="D79" s="11">
        <f t="shared" si="52"/>
        <v>664.58483026999966</v>
      </c>
      <c r="E79" s="11">
        <f t="shared" ref="E79:E84" si="53">SUM(B79:D79)</f>
        <v>2457.0171644699999</v>
      </c>
      <c r="F79" s="11">
        <f t="shared" si="52"/>
        <v>1193.7263686799997</v>
      </c>
      <c r="G79" s="11">
        <f t="shared" si="52"/>
        <v>895.54993246999993</v>
      </c>
      <c r="H79" s="11">
        <f t="shared" si="52"/>
        <v>822.83686381000007</v>
      </c>
      <c r="I79" s="11">
        <f t="shared" ref="I79:I84" si="54">SUM(F79:H79)</f>
        <v>2912.1131649599997</v>
      </c>
      <c r="J79" s="11">
        <f t="shared" ref="J79:J84" si="55">+E79+I79</f>
        <v>5369.1303294299996</v>
      </c>
      <c r="K79" s="11">
        <f t="shared" si="52"/>
        <v>993.94356760999995</v>
      </c>
      <c r="L79" s="11">
        <f t="shared" si="52"/>
        <v>938.54783805999955</v>
      </c>
      <c r="M79" s="11">
        <f t="shared" si="52"/>
        <v>755.43708788000004</v>
      </c>
      <c r="N79" s="11">
        <f t="shared" ref="N79:N84" si="56">SUM(K79:M79)</f>
        <v>2687.9284935499995</v>
      </c>
      <c r="O79" s="11">
        <f t="shared" si="52"/>
        <v>1090.6766461699992</v>
      </c>
      <c r="P79" s="11">
        <f t="shared" si="52"/>
        <v>1107.3992046199992</v>
      </c>
      <c r="Q79" s="11">
        <f t="shared" si="52"/>
        <v>970.32243542000037</v>
      </c>
      <c r="R79" s="11">
        <f t="shared" ref="R79:R84" si="57">SUM(O79:Q79)</f>
        <v>3168.3982862099983</v>
      </c>
      <c r="S79" s="11">
        <f t="shared" ref="S79:S84" si="58">+N79+R79</f>
        <v>5856.3267797599983</v>
      </c>
      <c r="T79" s="11">
        <f t="shared" ref="T79:T84" si="59">+J79+S79</f>
        <v>11225.457109189998</v>
      </c>
      <c r="U79" s="11"/>
      <c r="V79" s="11"/>
    </row>
    <row r="80" spans="1:22" ht="15" customHeight="1" x14ac:dyDescent="0.3">
      <c r="A80" s="12" t="s">
        <v>87</v>
      </c>
      <c r="B80" s="8">
        <v>180.20122025999996</v>
      </c>
      <c r="C80" s="8">
        <v>105.49064114000006</v>
      </c>
      <c r="D80" s="8">
        <v>128.77303183000001</v>
      </c>
      <c r="E80" s="8">
        <f t="shared" si="53"/>
        <v>414.46489323000003</v>
      </c>
      <c r="F80" s="8">
        <v>178.32279151999995</v>
      </c>
      <c r="G80" s="8">
        <v>187.12052394000008</v>
      </c>
      <c r="H80" s="8">
        <v>141.03377253000002</v>
      </c>
      <c r="I80" s="8">
        <f t="shared" si="54"/>
        <v>506.47708799000003</v>
      </c>
      <c r="J80" s="8">
        <f t="shared" si="55"/>
        <v>920.94198122000012</v>
      </c>
      <c r="K80" s="8">
        <v>167.2625223900001</v>
      </c>
      <c r="L80" s="8">
        <v>183.75477125999998</v>
      </c>
      <c r="M80" s="8">
        <v>136.88114228000003</v>
      </c>
      <c r="N80" s="8">
        <f t="shared" si="56"/>
        <v>487.89843593000012</v>
      </c>
      <c r="O80" s="8">
        <v>209.31812368999994</v>
      </c>
      <c r="P80" s="8">
        <v>230.11376762000003</v>
      </c>
      <c r="Q80" s="8">
        <v>151.66000742000008</v>
      </c>
      <c r="R80" s="8">
        <f t="shared" si="57"/>
        <v>591.09189873000003</v>
      </c>
      <c r="S80" s="8">
        <f t="shared" si="58"/>
        <v>1078.9903346600001</v>
      </c>
      <c r="T80" s="8">
        <f t="shared" si="59"/>
        <v>1999.9323158800003</v>
      </c>
      <c r="U80" s="8"/>
      <c r="V80" s="8"/>
    </row>
    <row r="81" spans="1:22" ht="15" customHeight="1" x14ac:dyDescent="0.3">
      <c r="A81" s="12" t="s">
        <v>88</v>
      </c>
      <c r="B81" s="8">
        <v>74.170787569999987</v>
      </c>
      <c r="C81" s="8">
        <v>40.037852610000002</v>
      </c>
      <c r="D81" s="8">
        <v>38.295423580000005</v>
      </c>
      <c r="E81" s="8">
        <f t="shared" si="53"/>
        <v>152.50406376000001</v>
      </c>
      <c r="F81" s="8">
        <v>68.042658899999992</v>
      </c>
      <c r="G81" s="8">
        <v>61.995863430000021</v>
      </c>
      <c r="H81" s="8">
        <v>59.937533389999984</v>
      </c>
      <c r="I81" s="8">
        <f t="shared" si="54"/>
        <v>189.97605571999998</v>
      </c>
      <c r="J81" s="8">
        <f t="shared" si="55"/>
        <v>342.48011947999998</v>
      </c>
      <c r="K81" s="8">
        <v>63.819344300000004</v>
      </c>
      <c r="L81" s="8">
        <v>41.834575800000003</v>
      </c>
      <c r="M81" s="8">
        <v>43.139790929999997</v>
      </c>
      <c r="N81" s="8">
        <f t="shared" si="56"/>
        <v>148.79371103</v>
      </c>
      <c r="O81" s="8">
        <v>67.851991160000026</v>
      </c>
      <c r="P81" s="8">
        <v>51.352956019999986</v>
      </c>
      <c r="Q81" s="8">
        <v>58.114230370000001</v>
      </c>
      <c r="R81" s="8">
        <f t="shared" si="57"/>
        <v>177.31917755000001</v>
      </c>
      <c r="S81" s="8">
        <f t="shared" si="58"/>
        <v>326.11288858</v>
      </c>
      <c r="T81" s="8">
        <f t="shared" si="59"/>
        <v>668.59300805999999</v>
      </c>
      <c r="U81" s="8"/>
      <c r="V81" s="8"/>
    </row>
    <row r="82" spans="1:22" ht="15" customHeight="1" x14ac:dyDescent="0.3">
      <c r="A82" s="12" t="s">
        <v>89</v>
      </c>
      <c r="B82" s="8">
        <v>132.86713403999997</v>
      </c>
      <c r="C82" s="8">
        <v>74.283675669999965</v>
      </c>
      <c r="D82" s="8">
        <v>73.316199309999973</v>
      </c>
      <c r="E82" s="8">
        <f t="shared" si="53"/>
        <v>280.46700901999986</v>
      </c>
      <c r="F82" s="8">
        <v>118.93956992999993</v>
      </c>
      <c r="G82" s="8">
        <v>89.546074320000002</v>
      </c>
      <c r="H82" s="8">
        <v>89.975140279999991</v>
      </c>
      <c r="I82" s="8">
        <f t="shared" si="54"/>
        <v>298.46078452999996</v>
      </c>
      <c r="J82" s="8">
        <f t="shared" si="55"/>
        <v>578.92779354999982</v>
      </c>
      <c r="K82" s="8">
        <v>101.71347216999996</v>
      </c>
      <c r="L82" s="8">
        <v>97.247327749999997</v>
      </c>
      <c r="M82" s="8">
        <v>74.510446360000017</v>
      </c>
      <c r="N82" s="8">
        <f t="shared" si="56"/>
        <v>273.47124627999995</v>
      </c>
      <c r="O82" s="8">
        <v>104.75664960999995</v>
      </c>
      <c r="P82" s="8">
        <v>116.49666046999994</v>
      </c>
      <c r="Q82" s="8">
        <v>120.18239785000002</v>
      </c>
      <c r="R82" s="8">
        <f t="shared" si="57"/>
        <v>341.43570792999992</v>
      </c>
      <c r="S82" s="8">
        <f t="shared" si="58"/>
        <v>614.90695420999987</v>
      </c>
      <c r="T82" s="8">
        <f t="shared" si="59"/>
        <v>1193.8347477599996</v>
      </c>
      <c r="U82" s="8"/>
      <c r="V82" s="8"/>
    </row>
    <row r="83" spans="1:22" ht="15" customHeight="1" x14ac:dyDescent="0.3">
      <c r="A83" s="12" t="s">
        <v>90</v>
      </c>
      <c r="B83" s="8">
        <v>98.321505779999995</v>
      </c>
      <c r="C83" s="8">
        <v>47.780565509999995</v>
      </c>
      <c r="D83" s="8">
        <v>64.93473195</v>
      </c>
      <c r="E83" s="8">
        <f t="shared" si="53"/>
        <v>211.03680323999998</v>
      </c>
      <c r="F83" s="8">
        <v>94.368115969999991</v>
      </c>
      <c r="G83" s="8">
        <v>83.583200290000008</v>
      </c>
      <c r="H83" s="8">
        <v>62.676743259999995</v>
      </c>
      <c r="I83" s="8">
        <f t="shared" si="54"/>
        <v>240.62805951999999</v>
      </c>
      <c r="J83" s="8">
        <f t="shared" si="55"/>
        <v>451.66486276000001</v>
      </c>
      <c r="K83" s="8">
        <v>93.611653339999975</v>
      </c>
      <c r="L83" s="8">
        <v>75.84960851000001</v>
      </c>
      <c r="M83" s="8">
        <v>65.043510500000011</v>
      </c>
      <c r="N83" s="8">
        <f t="shared" si="56"/>
        <v>234.50477235</v>
      </c>
      <c r="O83" s="8">
        <v>92.923752810000011</v>
      </c>
      <c r="P83" s="8">
        <v>74.560230160000003</v>
      </c>
      <c r="Q83" s="8">
        <v>89.129659270000005</v>
      </c>
      <c r="R83" s="8">
        <f t="shared" si="57"/>
        <v>256.61364223999999</v>
      </c>
      <c r="S83" s="8">
        <f t="shared" si="58"/>
        <v>491.11841458999999</v>
      </c>
      <c r="T83" s="8">
        <f t="shared" si="59"/>
        <v>942.78327734999993</v>
      </c>
      <c r="U83" s="8"/>
      <c r="V83" s="8"/>
    </row>
    <row r="84" spans="1:22" ht="18" customHeight="1" x14ac:dyDescent="0.3">
      <c r="A84" s="12" t="s">
        <v>91</v>
      </c>
      <c r="B84" s="8">
        <v>672.23767203000023</v>
      </c>
      <c r="C84" s="8">
        <v>367.04127959000022</v>
      </c>
      <c r="D84" s="8">
        <v>359.26544359999974</v>
      </c>
      <c r="E84" s="8">
        <f t="shared" si="53"/>
        <v>1398.5443952200003</v>
      </c>
      <c r="F84" s="8">
        <v>734.05323235999981</v>
      </c>
      <c r="G84" s="8">
        <v>473.30427048999979</v>
      </c>
      <c r="H84" s="8">
        <v>469.21367435000002</v>
      </c>
      <c r="I84" s="8">
        <f t="shared" si="54"/>
        <v>1676.5711771999995</v>
      </c>
      <c r="J84" s="8">
        <f t="shared" si="55"/>
        <v>3075.1155724199998</v>
      </c>
      <c r="K84" s="8">
        <v>567.53657540999984</v>
      </c>
      <c r="L84" s="8">
        <v>539.86155473999963</v>
      </c>
      <c r="M84" s="8">
        <v>435.86219780999988</v>
      </c>
      <c r="N84" s="8">
        <f t="shared" si="56"/>
        <v>1543.2603279599994</v>
      </c>
      <c r="O84" s="8">
        <v>615.82612889999939</v>
      </c>
      <c r="P84" s="8">
        <v>634.87559034999936</v>
      </c>
      <c r="Q84" s="8">
        <v>551.23614051000027</v>
      </c>
      <c r="R84" s="8">
        <f t="shared" si="57"/>
        <v>1801.9378597599991</v>
      </c>
      <c r="S84" s="8">
        <f t="shared" si="58"/>
        <v>3345.1981877199987</v>
      </c>
      <c r="T84" s="8">
        <f t="shared" si="59"/>
        <v>6420.3137601399985</v>
      </c>
      <c r="U84" s="8"/>
      <c r="V84" s="8"/>
    </row>
    <row r="85" spans="1:22" s="10" customFormat="1" ht="15" customHeight="1" x14ac:dyDescent="0.3">
      <c r="A85" s="3"/>
      <c r="B85" s="11"/>
      <c r="C85" s="11"/>
      <c r="D85" s="11"/>
      <c r="E85" s="11"/>
      <c r="F85" s="11"/>
      <c r="G85" s="11"/>
      <c r="H85" s="11"/>
      <c r="I85" s="11"/>
      <c r="J85" s="11"/>
      <c r="K85" s="11"/>
      <c r="L85" s="11"/>
      <c r="M85" s="11"/>
      <c r="N85" s="11"/>
      <c r="O85" s="11"/>
      <c r="P85" s="11"/>
      <c r="Q85" s="11"/>
      <c r="R85" s="11"/>
      <c r="S85" s="11"/>
      <c r="T85" s="11"/>
      <c r="U85" s="11"/>
      <c r="V85" s="11"/>
    </row>
    <row r="86" spans="1:22" s="10" customFormat="1" ht="15" customHeight="1" x14ac:dyDescent="0.25">
      <c r="A86" s="10" t="s">
        <v>92</v>
      </c>
      <c r="B86" s="11">
        <f>SUM(B87:B88)</f>
        <v>1012.7979500500001</v>
      </c>
      <c r="C86" s="11">
        <f t="shared" ref="C86:Q86" si="60">SUM(C87:C88)</f>
        <v>623.71474345000001</v>
      </c>
      <c r="D86" s="11">
        <f t="shared" si="60"/>
        <v>646.87142296999968</v>
      </c>
      <c r="E86" s="11">
        <f t="shared" ref="E86:E88" si="61">SUM(B86:D86)</f>
        <v>2283.3841164699998</v>
      </c>
      <c r="F86" s="11">
        <f t="shared" si="60"/>
        <v>1313.7996049799988</v>
      </c>
      <c r="G86" s="11">
        <f t="shared" si="60"/>
        <v>810.97056603999965</v>
      </c>
      <c r="H86" s="11">
        <f t="shared" si="60"/>
        <v>696.60779317000015</v>
      </c>
      <c r="I86" s="11">
        <f t="shared" ref="I86:I88" si="62">SUM(F86:H86)</f>
        <v>2821.3779641899987</v>
      </c>
      <c r="J86" s="11">
        <f t="shared" ref="J86:J88" si="63">+E86+I86</f>
        <v>5104.7620806599989</v>
      </c>
      <c r="K86" s="11">
        <f t="shared" si="60"/>
        <v>828.86624486000039</v>
      </c>
      <c r="L86" s="11">
        <f t="shared" si="60"/>
        <v>893.73383810999962</v>
      </c>
      <c r="M86" s="11">
        <f t="shared" si="60"/>
        <v>717.20405366999989</v>
      </c>
      <c r="N86" s="11">
        <f t="shared" ref="N86:N88" si="64">SUM(K86:M86)</f>
        <v>2439.8041366400003</v>
      </c>
      <c r="O86" s="11">
        <f t="shared" si="60"/>
        <v>867.21238661000029</v>
      </c>
      <c r="P86" s="11">
        <f t="shared" si="60"/>
        <v>995.43852684999956</v>
      </c>
      <c r="Q86" s="11">
        <f t="shared" si="60"/>
        <v>781.6706921900003</v>
      </c>
      <c r="R86" s="11">
        <f t="shared" ref="R86:R88" si="65">SUM(O86:Q86)</f>
        <v>2644.32160565</v>
      </c>
      <c r="S86" s="11">
        <f t="shared" ref="S86:S88" si="66">+N86+R86</f>
        <v>5084.1257422899998</v>
      </c>
      <c r="T86" s="11">
        <f t="shared" ref="T86:T88" si="67">+J86+S86</f>
        <v>10188.887822949999</v>
      </c>
      <c r="U86" s="11"/>
      <c r="V86" s="11"/>
    </row>
    <row r="87" spans="1:22" ht="15" customHeight="1" x14ac:dyDescent="0.3">
      <c r="A87" s="12" t="s">
        <v>93</v>
      </c>
      <c r="B87" s="8">
        <v>804.83583743000008</v>
      </c>
      <c r="C87" s="8">
        <v>463.07140556000007</v>
      </c>
      <c r="D87" s="8">
        <v>504.75190833999977</v>
      </c>
      <c r="E87" s="8">
        <f t="shared" si="61"/>
        <v>1772.65915133</v>
      </c>
      <c r="F87" s="8">
        <v>978.09272226999883</v>
      </c>
      <c r="G87" s="8">
        <v>620.40949475999969</v>
      </c>
      <c r="H87" s="8">
        <v>520.48104414000011</v>
      </c>
      <c r="I87" s="8">
        <f t="shared" si="62"/>
        <v>2118.9832611699985</v>
      </c>
      <c r="J87" s="8">
        <f t="shared" si="63"/>
        <v>3891.6424124999985</v>
      </c>
      <c r="K87" s="8">
        <v>633.91358394000019</v>
      </c>
      <c r="L87" s="8">
        <v>627.37022406999972</v>
      </c>
      <c r="M87" s="8">
        <v>546.54469807999988</v>
      </c>
      <c r="N87" s="8">
        <f t="shared" si="64"/>
        <v>1807.8285060899998</v>
      </c>
      <c r="O87" s="8">
        <v>666.84457815000042</v>
      </c>
      <c r="P87" s="8">
        <v>752.82372775999943</v>
      </c>
      <c r="Q87" s="8">
        <v>617.6850871500003</v>
      </c>
      <c r="R87" s="8">
        <f t="shared" si="65"/>
        <v>2037.3533930600001</v>
      </c>
      <c r="S87" s="8">
        <f t="shared" si="66"/>
        <v>3845.1818991499999</v>
      </c>
      <c r="T87" s="8">
        <f t="shared" si="67"/>
        <v>7736.824311649998</v>
      </c>
      <c r="U87" s="8"/>
      <c r="V87" s="8"/>
    </row>
    <row r="88" spans="1:22" ht="15" customHeight="1" x14ac:dyDescent="0.3">
      <c r="A88" s="12" t="s">
        <v>94</v>
      </c>
      <c r="B88" s="8">
        <v>207.96211261999997</v>
      </c>
      <c r="C88" s="8">
        <v>160.64333788999997</v>
      </c>
      <c r="D88" s="8">
        <v>142.11951462999997</v>
      </c>
      <c r="E88" s="8">
        <f t="shared" si="61"/>
        <v>510.72496513999994</v>
      </c>
      <c r="F88" s="8">
        <v>335.70688270999995</v>
      </c>
      <c r="G88" s="8">
        <v>190.56107127999994</v>
      </c>
      <c r="H88" s="8">
        <v>176.12674903000007</v>
      </c>
      <c r="I88" s="8">
        <f t="shared" si="62"/>
        <v>702.39470301999995</v>
      </c>
      <c r="J88" s="8">
        <f t="shared" si="63"/>
        <v>1213.1196681599999</v>
      </c>
      <c r="K88" s="8">
        <v>194.9526609200002</v>
      </c>
      <c r="L88" s="8">
        <v>266.36361403999996</v>
      </c>
      <c r="M88" s="8">
        <v>170.65935559000005</v>
      </c>
      <c r="N88" s="8">
        <f t="shared" si="64"/>
        <v>631.97563055000023</v>
      </c>
      <c r="O88" s="8">
        <v>200.36780845999985</v>
      </c>
      <c r="P88" s="8">
        <v>242.6147990900001</v>
      </c>
      <c r="Q88" s="8">
        <v>163.98560504000002</v>
      </c>
      <c r="R88" s="8">
        <f t="shared" si="65"/>
        <v>606.96821259000001</v>
      </c>
      <c r="S88" s="8">
        <f t="shared" si="66"/>
        <v>1238.9438431400004</v>
      </c>
      <c r="T88" s="8">
        <f t="shared" si="67"/>
        <v>2452.0635113000003</v>
      </c>
      <c r="U88" s="8"/>
      <c r="V88" s="8"/>
    </row>
    <row r="89" spans="1:22" s="10" customFormat="1" ht="15" customHeight="1" x14ac:dyDescent="0.3">
      <c r="A89" s="3"/>
      <c r="B89" s="11"/>
      <c r="C89" s="11"/>
      <c r="D89" s="11"/>
      <c r="E89" s="11"/>
      <c r="F89" s="11"/>
      <c r="G89" s="11"/>
      <c r="H89" s="11"/>
      <c r="I89" s="11"/>
      <c r="J89" s="11"/>
      <c r="K89" s="11"/>
      <c r="L89" s="11"/>
      <c r="M89" s="11"/>
      <c r="N89" s="11"/>
      <c r="O89" s="11"/>
      <c r="P89" s="11"/>
      <c r="Q89" s="11"/>
      <c r="R89" s="11"/>
      <c r="S89" s="11"/>
      <c r="T89" s="11"/>
      <c r="U89" s="11"/>
      <c r="V89" s="11"/>
    </row>
    <row r="90" spans="1:22" s="10" customFormat="1" ht="15" customHeight="1" x14ac:dyDescent="0.25">
      <c r="A90" s="10" t="s">
        <v>95</v>
      </c>
      <c r="B90" s="11">
        <f>SUM(B91:B94)</f>
        <v>5927.8093274400007</v>
      </c>
      <c r="C90" s="11">
        <f t="shared" ref="C90:Q90" si="68">SUM(C91:C94)</f>
        <v>3838.1852610399997</v>
      </c>
      <c r="D90" s="11">
        <f t="shared" si="68"/>
        <v>4786.2474922500005</v>
      </c>
      <c r="E90" s="11">
        <f t="shared" ref="E90:E94" si="69">SUM(B90:D90)</f>
        <v>14552.24208073</v>
      </c>
      <c r="F90" s="11">
        <f t="shared" si="68"/>
        <v>7427.9278204600014</v>
      </c>
      <c r="G90" s="11">
        <f t="shared" si="68"/>
        <v>6431.9876016100006</v>
      </c>
      <c r="H90" s="11">
        <f t="shared" si="68"/>
        <v>4402.6362870899993</v>
      </c>
      <c r="I90" s="11">
        <f t="shared" ref="I90:I94" si="70">SUM(F90:H90)</f>
        <v>18262.551709160001</v>
      </c>
      <c r="J90" s="11">
        <f t="shared" ref="J90:J94" si="71">+E90+I90</f>
        <v>32814.793789889998</v>
      </c>
      <c r="K90" s="11">
        <f t="shared" si="68"/>
        <v>4762.1798205600007</v>
      </c>
      <c r="L90" s="11">
        <f t="shared" si="68"/>
        <v>7569.3011020000004</v>
      </c>
      <c r="M90" s="11">
        <f t="shared" si="68"/>
        <v>4305.8773207200011</v>
      </c>
      <c r="N90" s="11">
        <f t="shared" ref="N90:N94" si="72">SUM(K90:M90)</f>
        <v>16637.358243280003</v>
      </c>
      <c r="O90" s="11">
        <f t="shared" si="68"/>
        <v>5595.6133586999995</v>
      </c>
      <c r="P90" s="11">
        <f t="shared" si="68"/>
        <v>7016.2136103900011</v>
      </c>
      <c r="Q90" s="11">
        <f t="shared" si="68"/>
        <v>4884.2039251700007</v>
      </c>
      <c r="R90" s="11">
        <f t="shared" ref="R90:R94" si="73">SUM(O90:Q90)</f>
        <v>17496.030894260002</v>
      </c>
      <c r="S90" s="11">
        <f t="shared" ref="S90:S94" si="74">+N90+R90</f>
        <v>34133.389137540005</v>
      </c>
      <c r="T90" s="11">
        <f t="shared" ref="T90:T94" si="75">+J90+S90</f>
        <v>66948.182927429996</v>
      </c>
      <c r="U90" s="11"/>
      <c r="V90" s="11"/>
    </row>
    <row r="91" spans="1:22" ht="15" customHeight="1" x14ac:dyDescent="0.3">
      <c r="A91" s="12" t="s">
        <v>96</v>
      </c>
      <c r="B91" s="8">
        <v>189.10092557000002</v>
      </c>
      <c r="C91" s="8">
        <v>232.23793253000014</v>
      </c>
      <c r="D91" s="8">
        <v>215.74420726</v>
      </c>
      <c r="E91" s="8">
        <f t="shared" si="69"/>
        <v>637.08306536000009</v>
      </c>
      <c r="F91" s="8">
        <v>312.58227185999993</v>
      </c>
      <c r="G91" s="8">
        <v>192.38929082000016</v>
      </c>
      <c r="H91" s="8">
        <v>200.53825659000017</v>
      </c>
      <c r="I91" s="8">
        <f t="shared" si="70"/>
        <v>705.50981927000021</v>
      </c>
      <c r="J91" s="8">
        <f t="shared" si="71"/>
        <v>1342.5928846300003</v>
      </c>
      <c r="K91" s="8">
        <v>238.99257503999996</v>
      </c>
      <c r="L91" s="8">
        <v>202.80356686000007</v>
      </c>
      <c r="M91" s="8">
        <v>170.21262768000008</v>
      </c>
      <c r="N91" s="8">
        <f t="shared" si="72"/>
        <v>612.00876958000015</v>
      </c>
      <c r="O91" s="8">
        <v>205.74210727999989</v>
      </c>
      <c r="P91" s="8">
        <v>214.37762165000021</v>
      </c>
      <c r="Q91" s="8">
        <v>552.44998673000009</v>
      </c>
      <c r="R91" s="8">
        <f t="shared" si="73"/>
        <v>972.56971566000016</v>
      </c>
      <c r="S91" s="8">
        <f t="shared" si="74"/>
        <v>1584.5784852400002</v>
      </c>
      <c r="T91" s="8">
        <f t="shared" si="75"/>
        <v>2927.1713698700005</v>
      </c>
      <c r="U91" s="8"/>
      <c r="V91" s="8"/>
    </row>
    <row r="92" spans="1:22" ht="15" customHeight="1" x14ac:dyDescent="0.3">
      <c r="A92" s="12" t="s">
        <v>97</v>
      </c>
      <c r="B92" s="8">
        <v>1288.1788327100001</v>
      </c>
      <c r="C92" s="8">
        <v>904.40734699000029</v>
      </c>
      <c r="D92" s="8">
        <v>980.43094046000078</v>
      </c>
      <c r="E92" s="8">
        <f t="shared" si="69"/>
        <v>3173.017120160001</v>
      </c>
      <c r="F92" s="8">
        <v>1720.1758452499994</v>
      </c>
      <c r="G92" s="8">
        <v>1137.0533827999998</v>
      </c>
      <c r="H92" s="8">
        <v>916.7722621599994</v>
      </c>
      <c r="I92" s="8">
        <f t="shared" si="70"/>
        <v>3774.0014902099983</v>
      </c>
      <c r="J92" s="8">
        <f t="shared" si="71"/>
        <v>6947.0186103699998</v>
      </c>
      <c r="K92" s="8">
        <v>1147.4026298399997</v>
      </c>
      <c r="L92" s="8">
        <v>1563.4112177800007</v>
      </c>
      <c r="M92" s="8">
        <v>1016.3752224299998</v>
      </c>
      <c r="N92" s="8">
        <f t="shared" si="72"/>
        <v>3727.1890700499998</v>
      </c>
      <c r="O92" s="8">
        <v>1430.5055437100016</v>
      </c>
      <c r="P92" s="8">
        <v>1440.8508919699984</v>
      </c>
      <c r="Q92" s="8">
        <v>1082.4526570700004</v>
      </c>
      <c r="R92" s="8">
        <f t="shared" si="73"/>
        <v>3953.8090927500002</v>
      </c>
      <c r="S92" s="8">
        <f t="shared" si="74"/>
        <v>7680.9981628000005</v>
      </c>
      <c r="T92" s="8">
        <f t="shared" si="75"/>
        <v>14628.01677317</v>
      </c>
      <c r="U92" s="8"/>
      <c r="V92" s="8"/>
    </row>
    <row r="93" spans="1:22" ht="15" customHeight="1" x14ac:dyDescent="0.3">
      <c r="A93" s="12" t="s">
        <v>98</v>
      </c>
      <c r="B93" s="8">
        <v>1986.3413871100001</v>
      </c>
      <c r="C93" s="8">
        <v>884.54873280000015</v>
      </c>
      <c r="D93" s="8">
        <v>1136.2642727899997</v>
      </c>
      <c r="E93" s="8">
        <f t="shared" si="69"/>
        <v>4007.1543926999998</v>
      </c>
      <c r="F93" s="8">
        <v>1842.1050760900014</v>
      </c>
      <c r="G93" s="8">
        <v>1384.7076075800005</v>
      </c>
      <c r="H93" s="8">
        <v>956.99524078999991</v>
      </c>
      <c r="I93" s="8">
        <f t="shared" si="70"/>
        <v>4183.8079244600021</v>
      </c>
      <c r="J93" s="8">
        <f t="shared" si="71"/>
        <v>8190.9623171600015</v>
      </c>
      <c r="K93" s="8">
        <v>1250.3025670000011</v>
      </c>
      <c r="L93" s="8">
        <v>1530.9204810199997</v>
      </c>
      <c r="M93" s="8">
        <v>1178.5948512</v>
      </c>
      <c r="N93" s="8">
        <f t="shared" si="72"/>
        <v>3959.8178992200005</v>
      </c>
      <c r="O93" s="8">
        <v>1650.902117879999</v>
      </c>
      <c r="P93" s="8">
        <v>1396.0971877299994</v>
      </c>
      <c r="Q93" s="8">
        <v>1205.9032491</v>
      </c>
      <c r="R93" s="8">
        <f t="shared" si="73"/>
        <v>4252.9025547099982</v>
      </c>
      <c r="S93" s="8">
        <f t="shared" si="74"/>
        <v>8212.7204539299983</v>
      </c>
      <c r="T93" s="8">
        <f t="shared" si="75"/>
        <v>16403.68277109</v>
      </c>
      <c r="U93" s="8"/>
      <c r="V93" s="8"/>
    </row>
    <row r="94" spans="1:22" ht="18" customHeight="1" x14ac:dyDescent="0.3">
      <c r="A94" s="12" t="s">
        <v>99</v>
      </c>
      <c r="B94" s="8">
        <v>2464.1881820500003</v>
      </c>
      <c r="C94" s="8">
        <v>1816.991248719999</v>
      </c>
      <c r="D94" s="8">
        <v>2453.8080717399998</v>
      </c>
      <c r="E94" s="8">
        <f t="shared" si="69"/>
        <v>6734.9875025099991</v>
      </c>
      <c r="F94" s="8">
        <v>3553.0646272600002</v>
      </c>
      <c r="G94" s="8">
        <v>3717.8373204100003</v>
      </c>
      <c r="H94" s="8">
        <v>2328.3305275499997</v>
      </c>
      <c r="I94" s="8">
        <f t="shared" si="70"/>
        <v>9599.2324752200002</v>
      </c>
      <c r="J94" s="8">
        <f t="shared" si="71"/>
        <v>16334.219977729999</v>
      </c>
      <c r="K94" s="8">
        <v>2125.4820486799999</v>
      </c>
      <c r="L94" s="8">
        <v>4272.1658363400002</v>
      </c>
      <c r="M94" s="8">
        <v>1940.6946194100012</v>
      </c>
      <c r="N94" s="8">
        <f t="shared" si="72"/>
        <v>8338.342504430002</v>
      </c>
      <c r="O94" s="8">
        <v>2308.4635898299994</v>
      </c>
      <c r="P94" s="8">
        <v>3964.8879090400028</v>
      </c>
      <c r="Q94" s="8">
        <v>2043.3980322699997</v>
      </c>
      <c r="R94" s="8">
        <f t="shared" si="73"/>
        <v>8316.7495311400016</v>
      </c>
      <c r="S94" s="8">
        <f t="shared" si="74"/>
        <v>16655.092035570004</v>
      </c>
      <c r="T94" s="8">
        <f t="shared" si="75"/>
        <v>32989.312013300005</v>
      </c>
      <c r="U94" s="8"/>
      <c r="V94" s="8"/>
    </row>
    <row r="95" spans="1:22" ht="15" customHeight="1" x14ac:dyDescent="0.3">
      <c r="A95" s="12"/>
      <c r="B95" s="8"/>
      <c r="C95" s="8"/>
      <c r="D95" s="8"/>
      <c r="E95" s="8"/>
      <c r="F95" s="8"/>
      <c r="G95" s="8"/>
      <c r="H95" s="8"/>
      <c r="I95" s="8"/>
      <c r="J95" s="8"/>
      <c r="K95" s="8"/>
      <c r="L95" s="8"/>
      <c r="M95" s="8"/>
      <c r="N95" s="8"/>
      <c r="O95" s="8"/>
      <c r="P95" s="8"/>
      <c r="Q95" s="8"/>
      <c r="R95" s="8"/>
      <c r="S95" s="8"/>
      <c r="T95" s="8"/>
      <c r="U95" s="8"/>
      <c r="V95" s="8"/>
    </row>
    <row r="96" spans="1:22" s="10" customFormat="1" ht="15" customHeight="1" x14ac:dyDescent="0.25">
      <c r="A96" s="13" t="s">
        <v>100</v>
      </c>
      <c r="B96" s="11">
        <f>SUM(B97:B102)</f>
        <v>707.22537075000002</v>
      </c>
      <c r="C96" s="11">
        <f t="shared" ref="C96:Q96" si="76">SUM(C97:C102)</f>
        <v>431.19476036000003</v>
      </c>
      <c r="D96" s="11">
        <f t="shared" si="76"/>
        <v>488.21864525000007</v>
      </c>
      <c r="E96" s="11">
        <f t="shared" ref="E96:E102" si="77">SUM(B96:D96)</f>
        <v>1626.6387763600001</v>
      </c>
      <c r="F96" s="11">
        <f t="shared" si="76"/>
        <v>855.58810589999985</v>
      </c>
      <c r="G96" s="11">
        <f t="shared" si="76"/>
        <v>541.61406651000004</v>
      </c>
      <c r="H96" s="11">
        <f t="shared" si="76"/>
        <v>533.37514701999987</v>
      </c>
      <c r="I96" s="11">
        <f t="shared" ref="I96:I102" si="78">SUM(F96:H96)</f>
        <v>1930.57731943</v>
      </c>
      <c r="J96" s="11">
        <f t="shared" ref="J96:J102" si="79">+E96+I96</f>
        <v>3557.2160957900001</v>
      </c>
      <c r="K96" s="11">
        <f t="shared" si="76"/>
        <v>602.64381772000002</v>
      </c>
      <c r="L96" s="11">
        <f t="shared" si="76"/>
        <v>564.29817434000006</v>
      </c>
      <c r="M96" s="11">
        <f t="shared" si="76"/>
        <v>471.45221146000011</v>
      </c>
      <c r="N96" s="11">
        <f t="shared" ref="N96:N102" si="80">SUM(K96:M96)</f>
        <v>1638.3942035200002</v>
      </c>
      <c r="O96" s="11">
        <f t="shared" si="76"/>
        <v>634.35565304999977</v>
      </c>
      <c r="P96" s="11">
        <f t="shared" si="76"/>
        <v>651.31188818999999</v>
      </c>
      <c r="Q96" s="11">
        <f t="shared" si="76"/>
        <v>565.4408903399999</v>
      </c>
      <c r="R96" s="11">
        <f t="shared" ref="R96:R102" si="81">SUM(O96:Q96)</f>
        <v>1851.1084315799997</v>
      </c>
      <c r="S96" s="11">
        <f t="shared" ref="S96:S102" si="82">+N96+R96</f>
        <v>3489.5026350999997</v>
      </c>
      <c r="T96" s="11">
        <f t="shared" ref="T96:T102" si="83">+J96+S96</f>
        <v>7046.7187308899993</v>
      </c>
      <c r="U96" s="11"/>
      <c r="V96" s="11"/>
    </row>
    <row r="97" spans="1:22" ht="15" customHeight="1" x14ac:dyDescent="0.3">
      <c r="A97" s="12" t="s">
        <v>101</v>
      </c>
      <c r="B97" s="8">
        <v>54.925485810000005</v>
      </c>
      <c r="C97" s="8">
        <v>32.540517410000007</v>
      </c>
      <c r="D97" s="8">
        <v>43.215111960000009</v>
      </c>
      <c r="E97" s="8">
        <f t="shared" si="77"/>
        <v>130.68111518000001</v>
      </c>
      <c r="F97" s="8">
        <v>56.196425899999987</v>
      </c>
      <c r="G97" s="8">
        <v>41.434168639999996</v>
      </c>
      <c r="H97" s="8">
        <v>53.734134869999991</v>
      </c>
      <c r="I97" s="8">
        <f t="shared" si="78"/>
        <v>151.36472940999997</v>
      </c>
      <c r="J97" s="8">
        <f t="shared" si="79"/>
        <v>282.04584459</v>
      </c>
      <c r="K97" s="8">
        <v>39.231571250000002</v>
      </c>
      <c r="L97" s="8">
        <v>43.052709460000003</v>
      </c>
      <c r="M97" s="8">
        <v>34.964379049999998</v>
      </c>
      <c r="N97" s="8">
        <f t="shared" si="80"/>
        <v>117.24865976000001</v>
      </c>
      <c r="O97" s="8">
        <v>51.949237810000014</v>
      </c>
      <c r="P97" s="8">
        <v>43.577870989999994</v>
      </c>
      <c r="Q97" s="8">
        <v>39.914436409999993</v>
      </c>
      <c r="R97" s="8">
        <f t="shared" si="81"/>
        <v>135.44154521000002</v>
      </c>
      <c r="S97" s="8">
        <f t="shared" si="82"/>
        <v>252.69020497000002</v>
      </c>
      <c r="T97" s="8">
        <f t="shared" si="83"/>
        <v>534.73604956000008</v>
      </c>
      <c r="U97" s="8"/>
      <c r="V97" s="8"/>
    </row>
    <row r="98" spans="1:22" ht="15" customHeight="1" x14ac:dyDescent="0.3">
      <c r="A98" s="12" t="s">
        <v>102</v>
      </c>
      <c r="B98" s="8">
        <v>139.52722441000006</v>
      </c>
      <c r="C98" s="8">
        <v>90.395460430000043</v>
      </c>
      <c r="D98" s="8">
        <v>113.12842257000004</v>
      </c>
      <c r="E98" s="8">
        <f t="shared" si="77"/>
        <v>343.05110741000016</v>
      </c>
      <c r="F98" s="8">
        <v>254.72120692999991</v>
      </c>
      <c r="G98" s="8">
        <v>117.20415888000001</v>
      </c>
      <c r="H98" s="8">
        <v>111.65960382999999</v>
      </c>
      <c r="I98" s="8">
        <f t="shared" si="78"/>
        <v>483.58496963999988</v>
      </c>
      <c r="J98" s="8">
        <f t="shared" si="79"/>
        <v>826.63607705000004</v>
      </c>
      <c r="K98" s="8">
        <v>152.63035666999997</v>
      </c>
      <c r="L98" s="8">
        <v>124.86491142999995</v>
      </c>
      <c r="M98" s="8">
        <v>98.965439720000035</v>
      </c>
      <c r="N98" s="8">
        <f t="shared" si="80"/>
        <v>376.46070781999993</v>
      </c>
      <c r="O98" s="8">
        <v>150.02339055999988</v>
      </c>
      <c r="P98" s="8">
        <v>156.08822168999995</v>
      </c>
      <c r="Q98" s="8">
        <v>125.77880375999993</v>
      </c>
      <c r="R98" s="8">
        <f t="shared" si="81"/>
        <v>431.89041600999974</v>
      </c>
      <c r="S98" s="8">
        <f t="shared" si="82"/>
        <v>808.35112382999966</v>
      </c>
      <c r="T98" s="8">
        <f t="shared" si="83"/>
        <v>1634.9872008799998</v>
      </c>
      <c r="U98" s="8"/>
      <c r="V98" s="8"/>
    </row>
    <row r="99" spans="1:22" ht="15" customHeight="1" x14ac:dyDescent="0.3">
      <c r="A99" s="12" t="s">
        <v>103</v>
      </c>
      <c r="B99" s="8">
        <v>54.488576330000001</v>
      </c>
      <c r="C99" s="8">
        <v>37.734979919999979</v>
      </c>
      <c r="D99" s="8">
        <v>40.944738049999998</v>
      </c>
      <c r="E99" s="8">
        <f t="shared" si="77"/>
        <v>133.16829429999996</v>
      </c>
      <c r="F99" s="8">
        <v>57.156100929999987</v>
      </c>
      <c r="G99" s="8">
        <v>44.895485220000005</v>
      </c>
      <c r="H99" s="8">
        <v>39.683958670000003</v>
      </c>
      <c r="I99" s="8">
        <f t="shared" si="78"/>
        <v>141.73554482</v>
      </c>
      <c r="J99" s="8">
        <f t="shared" si="79"/>
        <v>274.90383911999993</v>
      </c>
      <c r="K99" s="8">
        <v>53.077159390000013</v>
      </c>
      <c r="L99" s="8">
        <v>45.277692520000009</v>
      </c>
      <c r="M99" s="8">
        <v>40.056695720000015</v>
      </c>
      <c r="N99" s="8">
        <f t="shared" si="80"/>
        <v>138.41154763000003</v>
      </c>
      <c r="O99" s="8">
        <v>49.280564149999996</v>
      </c>
      <c r="P99" s="8">
        <v>64.757465370000006</v>
      </c>
      <c r="Q99" s="8">
        <v>55.983474619999996</v>
      </c>
      <c r="R99" s="8">
        <f t="shared" si="81"/>
        <v>170.02150413999999</v>
      </c>
      <c r="S99" s="8">
        <f t="shared" si="82"/>
        <v>308.43305177000002</v>
      </c>
      <c r="T99" s="8">
        <f t="shared" si="83"/>
        <v>583.33689088999995</v>
      </c>
      <c r="U99" s="8"/>
      <c r="V99" s="8"/>
    </row>
    <row r="100" spans="1:22" ht="15" customHeight="1" x14ac:dyDescent="0.3">
      <c r="A100" s="12" t="s">
        <v>104</v>
      </c>
      <c r="B100" s="8">
        <v>76.457010890000006</v>
      </c>
      <c r="C100" s="8">
        <v>61.13728768999998</v>
      </c>
      <c r="D100" s="8">
        <v>60.360119090000005</v>
      </c>
      <c r="E100" s="8">
        <f t="shared" si="77"/>
        <v>197.95441767</v>
      </c>
      <c r="F100" s="8">
        <v>98.622446919999973</v>
      </c>
      <c r="G100" s="8">
        <v>80.026388869999991</v>
      </c>
      <c r="H100" s="8">
        <v>65.818634000000031</v>
      </c>
      <c r="I100" s="8">
        <f t="shared" si="78"/>
        <v>244.46746979</v>
      </c>
      <c r="J100" s="8">
        <f t="shared" si="79"/>
        <v>442.42188745999999</v>
      </c>
      <c r="K100" s="8">
        <v>68.036237220000032</v>
      </c>
      <c r="L100" s="8">
        <v>56.765074250000012</v>
      </c>
      <c r="M100" s="8">
        <v>58.264105310000012</v>
      </c>
      <c r="N100" s="8">
        <f t="shared" si="80"/>
        <v>183.06541678000005</v>
      </c>
      <c r="O100" s="8">
        <v>78.570128749999995</v>
      </c>
      <c r="P100" s="8">
        <v>80.473863919999999</v>
      </c>
      <c r="Q100" s="8">
        <v>62.45937602999998</v>
      </c>
      <c r="R100" s="8">
        <f t="shared" si="81"/>
        <v>221.50336869999998</v>
      </c>
      <c r="S100" s="8">
        <f t="shared" si="82"/>
        <v>404.56878548000003</v>
      </c>
      <c r="T100" s="8">
        <f t="shared" si="83"/>
        <v>846.99067293999997</v>
      </c>
      <c r="U100" s="8"/>
      <c r="V100" s="8"/>
    </row>
    <row r="101" spans="1:22" ht="15" customHeight="1" x14ac:dyDescent="0.3">
      <c r="A101" s="12" t="s">
        <v>105</v>
      </c>
      <c r="B101" s="8">
        <v>67.088624960000004</v>
      </c>
      <c r="C101" s="8">
        <v>30.877150519999997</v>
      </c>
      <c r="D101" s="8">
        <v>37.017155520000003</v>
      </c>
      <c r="E101" s="8">
        <f t="shared" si="77"/>
        <v>134.98293100000001</v>
      </c>
      <c r="F101" s="8">
        <v>64.150006030000029</v>
      </c>
      <c r="G101" s="8">
        <v>40.107496559999994</v>
      </c>
      <c r="H101" s="8">
        <v>39.919700859999999</v>
      </c>
      <c r="I101" s="8">
        <f t="shared" si="78"/>
        <v>144.17720345000004</v>
      </c>
      <c r="J101" s="8">
        <f t="shared" si="79"/>
        <v>279.16013445000004</v>
      </c>
      <c r="K101" s="8">
        <v>48.355735199999984</v>
      </c>
      <c r="L101" s="8">
        <v>43.627307059999993</v>
      </c>
      <c r="M101" s="8">
        <v>37.515259249999986</v>
      </c>
      <c r="N101" s="8">
        <f t="shared" si="80"/>
        <v>129.49830150999998</v>
      </c>
      <c r="O101" s="8">
        <v>51.748360339999977</v>
      </c>
      <c r="P101" s="8">
        <v>43.385735009999998</v>
      </c>
      <c r="Q101" s="8">
        <v>51.272769359999984</v>
      </c>
      <c r="R101" s="8">
        <f t="shared" si="81"/>
        <v>146.40686470999995</v>
      </c>
      <c r="S101" s="8">
        <f t="shared" si="82"/>
        <v>275.90516621999996</v>
      </c>
      <c r="T101" s="8">
        <f t="shared" si="83"/>
        <v>555.06530066999994</v>
      </c>
      <c r="U101" s="8"/>
      <c r="V101" s="8"/>
    </row>
    <row r="102" spans="1:22" ht="18" customHeight="1" x14ac:dyDescent="0.3">
      <c r="A102" s="12" t="s">
        <v>106</v>
      </c>
      <c r="B102" s="8">
        <v>314.73844834999994</v>
      </c>
      <c r="C102" s="8">
        <v>178.50936439000006</v>
      </c>
      <c r="D102" s="8">
        <v>193.55309805999997</v>
      </c>
      <c r="E102" s="8">
        <f t="shared" si="77"/>
        <v>686.80091079999988</v>
      </c>
      <c r="F102" s="8">
        <v>324.74191919000003</v>
      </c>
      <c r="G102" s="8">
        <v>217.94636833999999</v>
      </c>
      <c r="H102" s="8">
        <v>222.55911478999994</v>
      </c>
      <c r="I102" s="8">
        <f t="shared" si="78"/>
        <v>765.24740231999999</v>
      </c>
      <c r="J102" s="8">
        <f t="shared" si="79"/>
        <v>1452.0483131199999</v>
      </c>
      <c r="K102" s="8">
        <v>241.31275799000005</v>
      </c>
      <c r="L102" s="8">
        <v>250.71047962000006</v>
      </c>
      <c r="M102" s="8">
        <v>201.68633241000003</v>
      </c>
      <c r="N102" s="8">
        <f t="shared" si="80"/>
        <v>693.70957002000023</v>
      </c>
      <c r="O102" s="8">
        <v>252.78397143999993</v>
      </c>
      <c r="P102" s="8">
        <v>263.02873120999999</v>
      </c>
      <c r="Q102" s="8">
        <v>230.03203015999998</v>
      </c>
      <c r="R102" s="8">
        <f t="shared" si="81"/>
        <v>745.84473280999987</v>
      </c>
      <c r="S102" s="8">
        <f t="shared" si="82"/>
        <v>1439.5543028300001</v>
      </c>
      <c r="T102" s="8">
        <f t="shared" si="83"/>
        <v>2891.6026159499997</v>
      </c>
      <c r="U102" s="8"/>
      <c r="V102" s="8"/>
    </row>
    <row r="103" spans="1:22" s="10" customFormat="1" ht="15" customHeight="1" x14ac:dyDescent="0.3">
      <c r="A103" s="12"/>
      <c r="B103" s="11"/>
      <c r="C103" s="11"/>
      <c r="D103" s="11"/>
      <c r="E103" s="11"/>
      <c r="F103" s="11"/>
      <c r="G103" s="11"/>
      <c r="H103" s="11"/>
      <c r="I103" s="11"/>
      <c r="J103" s="11"/>
      <c r="K103" s="11"/>
      <c r="L103" s="11"/>
      <c r="M103" s="11"/>
      <c r="N103" s="11"/>
      <c r="O103" s="11"/>
      <c r="P103" s="11"/>
      <c r="Q103" s="11"/>
      <c r="R103" s="11"/>
      <c r="S103" s="11"/>
      <c r="T103" s="11"/>
      <c r="U103" s="11"/>
      <c r="V103" s="11"/>
    </row>
    <row r="104" spans="1:22" s="10" customFormat="1" ht="15" customHeight="1" x14ac:dyDescent="0.25">
      <c r="A104" s="13" t="s">
        <v>107</v>
      </c>
      <c r="B104" s="11">
        <f>SUM(B105:B109)</f>
        <v>536.80535485999985</v>
      </c>
      <c r="C104" s="11">
        <f t="shared" ref="C104:Q104" si="84">SUM(C105:C109)</f>
        <v>325.49612292999996</v>
      </c>
      <c r="D104" s="11">
        <f t="shared" si="84"/>
        <v>380.45556069000008</v>
      </c>
      <c r="E104" s="11">
        <f t="shared" ref="E104:E107" si="85">SUM(B104:D104)</f>
        <v>1242.7570384799999</v>
      </c>
      <c r="F104" s="11">
        <f t="shared" si="84"/>
        <v>639.37322360999997</v>
      </c>
      <c r="G104" s="11">
        <f t="shared" si="84"/>
        <v>468.44447790000015</v>
      </c>
      <c r="H104" s="11">
        <f t="shared" si="84"/>
        <v>426.81857525999988</v>
      </c>
      <c r="I104" s="11">
        <f t="shared" ref="I104:I107" si="86">SUM(F104:H104)</f>
        <v>1534.6362767699998</v>
      </c>
      <c r="J104" s="11">
        <f t="shared" ref="J104:J107" si="87">+E104+I104</f>
        <v>2777.3933152499994</v>
      </c>
      <c r="K104" s="11">
        <f t="shared" si="84"/>
        <v>496.73812791</v>
      </c>
      <c r="L104" s="11">
        <f t="shared" si="84"/>
        <v>494.49260016000017</v>
      </c>
      <c r="M104" s="11">
        <f t="shared" si="84"/>
        <v>411.92471005000004</v>
      </c>
      <c r="N104" s="11">
        <f t="shared" ref="N104:N107" si="88">SUM(K104:M104)</f>
        <v>1403.1554381200003</v>
      </c>
      <c r="O104" s="11">
        <f t="shared" si="84"/>
        <v>572.22370896999996</v>
      </c>
      <c r="P104" s="11">
        <f t="shared" si="84"/>
        <v>550.55641993999996</v>
      </c>
      <c r="Q104" s="11">
        <f t="shared" si="84"/>
        <v>482.76308076000021</v>
      </c>
      <c r="R104" s="11">
        <f t="shared" ref="R104:R107" si="89">SUM(O104:Q104)</f>
        <v>1605.5432096700001</v>
      </c>
      <c r="S104" s="11">
        <f t="shared" ref="S104:S107" si="90">+N104+R104</f>
        <v>3008.6986477900005</v>
      </c>
      <c r="T104" s="11">
        <f t="shared" ref="T104:T107" si="91">+J104+S104</f>
        <v>5786.0919630400003</v>
      </c>
      <c r="U104" s="11"/>
      <c r="V104" s="11"/>
    </row>
    <row r="105" spans="1:22" ht="15" customHeight="1" x14ac:dyDescent="0.3">
      <c r="A105" s="12" t="s">
        <v>108</v>
      </c>
      <c r="B105" s="8">
        <v>131.14426931999995</v>
      </c>
      <c r="C105" s="8">
        <v>81.627604450000007</v>
      </c>
      <c r="D105" s="8">
        <v>104.82456715000008</v>
      </c>
      <c r="E105" s="8">
        <f t="shared" si="85"/>
        <v>317.59644092000002</v>
      </c>
      <c r="F105" s="8">
        <v>187.23839129000001</v>
      </c>
      <c r="G105" s="8">
        <v>120.16391614999993</v>
      </c>
      <c r="H105" s="8">
        <v>107.56538637999996</v>
      </c>
      <c r="I105" s="8">
        <f t="shared" si="86"/>
        <v>414.96769381999991</v>
      </c>
      <c r="J105" s="8">
        <f t="shared" si="87"/>
        <v>732.56413473999987</v>
      </c>
      <c r="K105" s="8">
        <v>140.28067969000006</v>
      </c>
      <c r="L105" s="8">
        <v>128.81921667000006</v>
      </c>
      <c r="M105" s="8">
        <v>109.32141732000002</v>
      </c>
      <c r="N105" s="8">
        <f t="shared" si="88"/>
        <v>378.42131368000014</v>
      </c>
      <c r="O105" s="8">
        <v>142.82028237999995</v>
      </c>
      <c r="P105" s="8">
        <v>145.09334551000006</v>
      </c>
      <c r="Q105" s="8">
        <v>131.99348816000006</v>
      </c>
      <c r="R105" s="8">
        <f t="shared" si="89"/>
        <v>419.90711605000013</v>
      </c>
      <c r="S105" s="8">
        <f t="shared" si="90"/>
        <v>798.32842973000027</v>
      </c>
      <c r="T105" s="8">
        <f t="shared" si="91"/>
        <v>1530.8925644700003</v>
      </c>
      <c r="U105" s="8"/>
      <c r="V105" s="8"/>
    </row>
    <row r="106" spans="1:22" ht="15" customHeight="1" x14ac:dyDescent="0.3">
      <c r="A106" s="12" t="s">
        <v>109</v>
      </c>
      <c r="B106" s="8">
        <v>117.25473015999999</v>
      </c>
      <c r="C106" s="8">
        <v>65.41052449999998</v>
      </c>
      <c r="D106" s="8">
        <v>82.077085870000005</v>
      </c>
      <c r="E106" s="8">
        <f t="shared" si="85"/>
        <v>264.74234052999998</v>
      </c>
      <c r="F106" s="8">
        <v>120.94887736999998</v>
      </c>
      <c r="G106" s="8">
        <v>97.792746840000007</v>
      </c>
      <c r="H106" s="8">
        <v>86.129081589999984</v>
      </c>
      <c r="I106" s="8">
        <f t="shared" si="86"/>
        <v>304.8707058</v>
      </c>
      <c r="J106" s="8">
        <f t="shared" si="87"/>
        <v>569.61304632999997</v>
      </c>
      <c r="K106" s="8">
        <v>98.623508369999996</v>
      </c>
      <c r="L106" s="8">
        <v>98.621928230000023</v>
      </c>
      <c r="M106" s="8">
        <v>72.03331455</v>
      </c>
      <c r="N106" s="8">
        <f t="shared" si="88"/>
        <v>269.27875115000001</v>
      </c>
      <c r="O106" s="8">
        <v>123.32499067000001</v>
      </c>
      <c r="P106" s="8">
        <v>103.93197902999992</v>
      </c>
      <c r="Q106" s="8">
        <v>107.12386211999997</v>
      </c>
      <c r="R106" s="8">
        <f t="shared" si="89"/>
        <v>334.38083181999991</v>
      </c>
      <c r="S106" s="8">
        <f t="shared" si="90"/>
        <v>603.65958296999997</v>
      </c>
      <c r="T106" s="8">
        <f t="shared" si="91"/>
        <v>1173.2726293000001</v>
      </c>
      <c r="U106" s="8"/>
      <c r="V106" s="8"/>
    </row>
    <row r="107" spans="1:22" ht="15" customHeight="1" x14ac:dyDescent="0.3">
      <c r="A107" s="12" t="s">
        <v>110</v>
      </c>
      <c r="B107" s="8">
        <v>43.184798510000007</v>
      </c>
      <c r="C107" s="8">
        <v>28.606190270000003</v>
      </c>
      <c r="D107" s="8">
        <v>33.345174120000003</v>
      </c>
      <c r="E107" s="8">
        <f t="shared" si="85"/>
        <v>105.13616290000002</v>
      </c>
      <c r="F107" s="8">
        <v>52.975681060000007</v>
      </c>
      <c r="G107" s="8">
        <v>37.115988539999996</v>
      </c>
      <c r="H107" s="8">
        <v>38.576205960000003</v>
      </c>
      <c r="I107" s="8">
        <f t="shared" si="86"/>
        <v>128.66787556</v>
      </c>
      <c r="J107" s="8">
        <f t="shared" si="87"/>
        <v>233.80403846000002</v>
      </c>
      <c r="K107" s="8">
        <v>35.159915670000004</v>
      </c>
      <c r="L107" s="8">
        <v>34.688503420000004</v>
      </c>
      <c r="M107" s="8">
        <v>32.468248620000004</v>
      </c>
      <c r="N107" s="8">
        <f t="shared" si="88"/>
        <v>102.31666771000002</v>
      </c>
      <c r="O107" s="8">
        <v>38.529379190000007</v>
      </c>
      <c r="P107" s="8">
        <v>40.319958299999996</v>
      </c>
      <c r="Q107" s="8">
        <v>32.066144030000004</v>
      </c>
      <c r="R107" s="8">
        <f t="shared" si="89"/>
        <v>110.91548152000001</v>
      </c>
      <c r="S107" s="8">
        <f t="shared" si="90"/>
        <v>213.23214923000003</v>
      </c>
      <c r="T107" s="8">
        <f t="shared" si="91"/>
        <v>447.03618769000002</v>
      </c>
      <c r="U107" s="8"/>
      <c r="V107" s="8"/>
    </row>
    <row r="108" spans="1:22" ht="18" customHeight="1" x14ac:dyDescent="0.3">
      <c r="A108" s="12" t="s">
        <v>111</v>
      </c>
      <c r="B108" s="8"/>
      <c r="C108" s="8"/>
      <c r="D108" s="8"/>
      <c r="E108" s="8"/>
      <c r="F108" s="8"/>
      <c r="G108" s="8"/>
      <c r="H108" s="8"/>
      <c r="I108" s="8"/>
      <c r="J108" s="8"/>
      <c r="K108" s="8"/>
      <c r="L108" s="8"/>
      <c r="M108" s="8"/>
      <c r="N108" s="8"/>
      <c r="O108" s="8"/>
      <c r="P108" s="8"/>
      <c r="Q108" s="8"/>
      <c r="R108" s="8"/>
      <c r="S108" s="8"/>
      <c r="T108" s="8"/>
      <c r="U108" s="8"/>
      <c r="V108" s="8"/>
    </row>
    <row r="109" spans="1:22" ht="15" customHeight="1" x14ac:dyDescent="0.3">
      <c r="A109" s="12" t="s">
        <v>112</v>
      </c>
      <c r="B109" s="8">
        <v>245.22155686999997</v>
      </c>
      <c r="C109" s="8">
        <v>149.85180370999996</v>
      </c>
      <c r="D109" s="8">
        <v>160.20873355000001</v>
      </c>
      <c r="E109" s="8">
        <f>SUM(B109:D109)</f>
        <v>555.2820941299999</v>
      </c>
      <c r="F109" s="8">
        <v>278.21027389000005</v>
      </c>
      <c r="G109" s="8">
        <v>213.37182637000021</v>
      </c>
      <c r="H109" s="8">
        <v>194.54790132999992</v>
      </c>
      <c r="I109" s="8">
        <f>SUM(F109:H109)</f>
        <v>686.13000159000023</v>
      </c>
      <c r="J109" s="8">
        <f t="shared" ref="J109" si="92">+E109+I109</f>
        <v>1241.4120957200003</v>
      </c>
      <c r="K109" s="8">
        <v>222.67402417999992</v>
      </c>
      <c r="L109" s="8">
        <v>232.36295184000002</v>
      </c>
      <c r="M109" s="8">
        <v>198.10172956</v>
      </c>
      <c r="N109" s="8">
        <f>SUM(K109:M109)</f>
        <v>653.13870557999996</v>
      </c>
      <c r="O109" s="8">
        <v>267.54905672999996</v>
      </c>
      <c r="P109" s="8">
        <v>261.21113709999997</v>
      </c>
      <c r="Q109" s="8">
        <v>211.57958645000016</v>
      </c>
      <c r="R109" s="8">
        <f>SUM(O109:Q109)</f>
        <v>740.33978028000013</v>
      </c>
      <c r="S109" s="8">
        <f t="shared" ref="S109" si="93">+N109+R109</f>
        <v>1393.4784858600001</v>
      </c>
      <c r="T109" s="8">
        <f>+J109+S109</f>
        <v>2634.8905815800003</v>
      </c>
      <c r="U109" s="8"/>
      <c r="V109" s="8"/>
    </row>
    <row r="110" spans="1:22" s="10" customFormat="1" ht="15" customHeight="1" x14ac:dyDescent="0.3">
      <c r="A110" s="12"/>
      <c r="B110" s="11"/>
      <c r="C110" s="11"/>
      <c r="D110" s="11"/>
      <c r="E110" s="11"/>
      <c r="F110" s="11"/>
      <c r="G110" s="11"/>
      <c r="H110" s="11"/>
      <c r="I110" s="11"/>
      <c r="J110" s="11"/>
      <c r="K110" s="11"/>
      <c r="L110" s="11"/>
      <c r="M110" s="11"/>
      <c r="N110" s="11"/>
      <c r="O110" s="11"/>
      <c r="P110" s="11"/>
      <c r="Q110" s="11"/>
      <c r="R110" s="11"/>
      <c r="S110" s="11"/>
      <c r="T110" s="11"/>
      <c r="U110" s="11"/>
      <c r="V110" s="11"/>
    </row>
    <row r="111" spans="1:22" s="10" customFormat="1" ht="15" customHeight="1" x14ac:dyDescent="0.25">
      <c r="A111" s="13" t="s">
        <v>113</v>
      </c>
      <c r="B111" s="11">
        <f>SUM(B112:B116)</f>
        <v>975.38060876999998</v>
      </c>
      <c r="C111" s="11">
        <f t="shared" ref="C111:Q111" si="94">SUM(C112:C116)</f>
        <v>685.37442936999946</v>
      </c>
      <c r="D111" s="11">
        <f t="shared" si="94"/>
        <v>713.54462600999989</v>
      </c>
      <c r="E111" s="11">
        <f t="shared" ref="E111:E116" si="95">SUM(B111:D111)</f>
        <v>2374.2996641499994</v>
      </c>
      <c r="F111" s="11">
        <f t="shared" si="94"/>
        <v>1279.5060930200011</v>
      </c>
      <c r="G111" s="11">
        <f t="shared" si="94"/>
        <v>812.78084418000003</v>
      </c>
      <c r="H111" s="11">
        <f t="shared" si="94"/>
        <v>734.14734237000016</v>
      </c>
      <c r="I111" s="11">
        <f t="shared" ref="I111:I116" si="96">SUM(F111:H111)</f>
        <v>2826.4342795700013</v>
      </c>
      <c r="J111" s="11">
        <f t="shared" ref="J111:J116" si="97">+E111+I111</f>
        <v>5200.7339437200008</v>
      </c>
      <c r="K111" s="11">
        <f t="shared" si="94"/>
        <v>853.41346914999986</v>
      </c>
      <c r="L111" s="11">
        <f t="shared" si="94"/>
        <v>1068.0291893399999</v>
      </c>
      <c r="M111" s="11">
        <f t="shared" si="94"/>
        <v>795.24205468999992</v>
      </c>
      <c r="N111" s="11">
        <f t="shared" ref="N111:N116" si="98">SUM(K111:M111)</f>
        <v>2716.6847131799996</v>
      </c>
      <c r="O111" s="11">
        <f t="shared" si="94"/>
        <v>1169.5631992699998</v>
      </c>
      <c r="P111" s="11">
        <f t="shared" si="94"/>
        <v>1136.5293805599999</v>
      </c>
      <c r="Q111" s="11">
        <f t="shared" si="94"/>
        <v>882.95148029999973</v>
      </c>
      <c r="R111" s="11">
        <f t="shared" ref="R111:R116" si="99">SUM(O111:Q111)</f>
        <v>3189.0440601299993</v>
      </c>
      <c r="S111" s="11">
        <f t="shared" ref="S111:S116" si="100">+N111+R111</f>
        <v>5905.7287733099984</v>
      </c>
      <c r="T111" s="11">
        <f t="shared" ref="T111:T116" si="101">+J111+S111</f>
        <v>11106.462717029999</v>
      </c>
      <c r="U111" s="11"/>
      <c r="V111" s="11"/>
    </row>
    <row r="112" spans="1:22" ht="15" customHeight="1" x14ac:dyDescent="0.3">
      <c r="A112" s="12" t="s">
        <v>114</v>
      </c>
      <c r="B112" s="8">
        <v>195.75363155000005</v>
      </c>
      <c r="C112" s="8">
        <v>121.70224402000001</v>
      </c>
      <c r="D112" s="8">
        <v>125.21478829</v>
      </c>
      <c r="E112" s="8">
        <f t="shared" si="95"/>
        <v>442.67066386000005</v>
      </c>
      <c r="F112" s="8">
        <v>253.58562225000006</v>
      </c>
      <c r="G112" s="8">
        <v>130.9626614500001</v>
      </c>
      <c r="H112" s="8">
        <v>129.75315305000004</v>
      </c>
      <c r="I112" s="8">
        <f t="shared" si="96"/>
        <v>514.30143675000022</v>
      </c>
      <c r="J112" s="8">
        <f t="shared" si="97"/>
        <v>956.97210061000033</v>
      </c>
      <c r="K112" s="8">
        <v>168.51127397000008</v>
      </c>
      <c r="L112" s="8">
        <v>165.70156675000004</v>
      </c>
      <c r="M112" s="8">
        <v>148.51152123000006</v>
      </c>
      <c r="N112" s="8">
        <f t="shared" si="98"/>
        <v>482.72436195000023</v>
      </c>
      <c r="O112" s="8">
        <v>196.69734037999996</v>
      </c>
      <c r="P112" s="8">
        <v>187.61017890000002</v>
      </c>
      <c r="Q112" s="8">
        <v>170.39948295000008</v>
      </c>
      <c r="R112" s="8">
        <f t="shared" si="99"/>
        <v>554.70700223000006</v>
      </c>
      <c r="S112" s="8">
        <f t="shared" si="100"/>
        <v>1037.4313641800004</v>
      </c>
      <c r="T112" s="8">
        <f t="shared" si="101"/>
        <v>1994.4034647900007</v>
      </c>
      <c r="U112" s="8"/>
      <c r="V112" s="8"/>
    </row>
    <row r="113" spans="1:22" ht="15" customHeight="1" x14ac:dyDescent="0.3">
      <c r="A113" s="12" t="s">
        <v>115</v>
      </c>
      <c r="B113" s="8">
        <v>138.68614468999999</v>
      </c>
      <c r="C113" s="8">
        <v>87.587829029999995</v>
      </c>
      <c r="D113" s="8">
        <v>94.595585750000012</v>
      </c>
      <c r="E113" s="8">
        <f t="shared" si="95"/>
        <v>320.86955947000001</v>
      </c>
      <c r="F113" s="8">
        <v>165.36792942000008</v>
      </c>
      <c r="G113" s="8">
        <v>109.50303171999997</v>
      </c>
      <c r="H113" s="8">
        <v>110.31765088000003</v>
      </c>
      <c r="I113" s="8">
        <f t="shared" si="96"/>
        <v>385.18861202000011</v>
      </c>
      <c r="J113" s="8">
        <f t="shared" si="97"/>
        <v>706.05817149000018</v>
      </c>
      <c r="K113" s="8">
        <v>119.05152453000004</v>
      </c>
      <c r="L113" s="8">
        <v>171.57086682000005</v>
      </c>
      <c r="M113" s="8">
        <v>117.03330301000003</v>
      </c>
      <c r="N113" s="8">
        <f t="shared" si="98"/>
        <v>407.6556943600001</v>
      </c>
      <c r="O113" s="8">
        <v>145.89661427999999</v>
      </c>
      <c r="P113" s="8">
        <v>137.80258751</v>
      </c>
      <c r="Q113" s="8">
        <v>157.65134522000002</v>
      </c>
      <c r="R113" s="8">
        <f t="shared" si="99"/>
        <v>441.35054701000001</v>
      </c>
      <c r="S113" s="8">
        <f t="shared" si="100"/>
        <v>849.00624137000011</v>
      </c>
      <c r="T113" s="8">
        <f t="shared" si="101"/>
        <v>1555.0644128600002</v>
      </c>
      <c r="U113" s="8"/>
      <c r="V113" s="8"/>
    </row>
    <row r="114" spans="1:22" ht="15" customHeight="1" x14ac:dyDescent="0.3">
      <c r="A114" s="12" t="s">
        <v>116</v>
      </c>
      <c r="B114" s="8">
        <v>84.755929279999989</v>
      </c>
      <c r="C114" s="8">
        <v>79.804090189999982</v>
      </c>
      <c r="D114" s="8">
        <v>75.102534409999976</v>
      </c>
      <c r="E114" s="8">
        <f t="shared" si="95"/>
        <v>239.66255387999996</v>
      </c>
      <c r="F114" s="8">
        <v>114.30898757999998</v>
      </c>
      <c r="G114" s="8">
        <v>87.914281759999966</v>
      </c>
      <c r="H114" s="8">
        <v>79.359144440000009</v>
      </c>
      <c r="I114" s="8">
        <f t="shared" si="96"/>
        <v>281.58241377999997</v>
      </c>
      <c r="J114" s="8">
        <f t="shared" si="97"/>
        <v>521.24496765999993</v>
      </c>
      <c r="K114" s="8">
        <v>87.857773519999995</v>
      </c>
      <c r="L114" s="8">
        <v>79.870339430000058</v>
      </c>
      <c r="M114" s="8">
        <v>78.038746800000013</v>
      </c>
      <c r="N114" s="8">
        <f t="shared" si="98"/>
        <v>245.76685975000007</v>
      </c>
      <c r="O114" s="8">
        <v>97.872049610000019</v>
      </c>
      <c r="P114" s="8">
        <v>88.304930199999959</v>
      </c>
      <c r="Q114" s="8">
        <v>84.049578859999997</v>
      </c>
      <c r="R114" s="8">
        <f t="shared" si="99"/>
        <v>270.22655866999997</v>
      </c>
      <c r="S114" s="8">
        <f t="shared" si="100"/>
        <v>515.99341842000001</v>
      </c>
      <c r="T114" s="8">
        <f t="shared" si="101"/>
        <v>1037.2383860800001</v>
      </c>
      <c r="U114" s="8"/>
      <c r="V114" s="8"/>
    </row>
    <row r="115" spans="1:22" ht="18" customHeight="1" x14ac:dyDescent="0.3">
      <c r="A115" s="12" t="s">
        <v>117</v>
      </c>
      <c r="B115" s="8">
        <v>41.562555199999998</v>
      </c>
      <c r="C115" s="8">
        <v>24.480099139999997</v>
      </c>
      <c r="D115" s="8">
        <v>29.565630069999997</v>
      </c>
      <c r="E115" s="8">
        <f t="shared" si="95"/>
        <v>95.608284409999996</v>
      </c>
      <c r="F115" s="8">
        <v>56.097538209999996</v>
      </c>
      <c r="G115" s="8">
        <v>36.232677800000005</v>
      </c>
      <c r="H115" s="8">
        <v>36.561878890000003</v>
      </c>
      <c r="I115" s="8">
        <f t="shared" si="96"/>
        <v>128.89209490000002</v>
      </c>
      <c r="J115" s="8">
        <f t="shared" si="97"/>
        <v>224.50037931000003</v>
      </c>
      <c r="K115" s="8">
        <v>40.636010700000007</v>
      </c>
      <c r="L115" s="8">
        <v>49.154337720000022</v>
      </c>
      <c r="M115" s="8">
        <v>37.383153150000005</v>
      </c>
      <c r="N115" s="8">
        <f t="shared" si="98"/>
        <v>127.17350157000004</v>
      </c>
      <c r="O115" s="8">
        <v>44.672458980000002</v>
      </c>
      <c r="P115" s="8">
        <v>50.373525759999978</v>
      </c>
      <c r="Q115" s="8">
        <v>38.741868410000002</v>
      </c>
      <c r="R115" s="8">
        <f t="shared" si="99"/>
        <v>133.78785314999999</v>
      </c>
      <c r="S115" s="8">
        <f t="shared" si="100"/>
        <v>260.96135472000003</v>
      </c>
      <c r="T115" s="8">
        <f t="shared" si="101"/>
        <v>485.46173403000006</v>
      </c>
      <c r="U115" s="8"/>
      <c r="V115" s="8"/>
    </row>
    <row r="116" spans="1:22" ht="18" customHeight="1" x14ac:dyDescent="0.3">
      <c r="A116" s="12" t="s">
        <v>118</v>
      </c>
      <c r="B116" s="8">
        <v>514.62234805000003</v>
      </c>
      <c r="C116" s="8">
        <v>371.80016698999958</v>
      </c>
      <c r="D116" s="8">
        <v>389.06608748999992</v>
      </c>
      <c r="E116" s="8">
        <f t="shared" si="95"/>
        <v>1275.4886025299995</v>
      </c>
      <c r="F116" s="8">
        <v>690.14601556000082</v>
      </c>
      <c r="G116" s="8">
        <v>448.16819144999994</v>
      </c>
      <c r="H116" s="8">
        <v>378.15551511000001</v>
      </c>
      <c r="I116" s="8">
        <f t="shared" si="96"/>
        <v>1516.4697221200008</v>
      </c>
      <c r="J116" s="8">
        <f t="shared" si="97"/>
        <v>2791.9583246500006</v>
      </c>
      <c r="K116" s="8">
        <v>437.35688642999969</v>
      </c>
      <c r="L116" s="8">
        <v>601.7320786199997</v>
      </c>
      <c r="M116" s="8">
        <v>414.27533049999982</v>
      </c>
      <c r="N116" s="8">
        <f t="shared" si="98"/>
        <v>1453.3642955499993</v>
      </c>
      <c r="O116" s="8">
        <v>684.42473601999984</v>
      </c>
      <c r="P116" s="8">
        <v>672.43815819000008</v>
      </c>
      <c r="Q116" s="8">
        <v>432.10920485999964</v>
      </c>
      <c r="R116" s="8">
        <f t="shared" si="99"/>
        <v>1788.9720990699996</v>
      </c>
      <c r="S116" s="8">
        <f t="shared" si="100"/>
        <v>3242.3363946199988</v>
      </c>
      <c r="T116" s="8">
        <f t="shared" si="101"/>
        <v>6034.2947192699994</v>
      </c>
      <c r="U116" s="8"/>
      <c r="V116" s="8"/>
    </row>
    <row r="117" spans="1:22" s="10" customFormat="1" ht="15" customHeight="1" x14ac:dyDescent="0.3">
      <c r="A117" s="12"/>
      <c r="B117" s="11"/>
      <c r="C117" s="11"/>
      <c r="D117" s="11"/>
      <c r="E117" s="11"/>
      <c r="F117" s="11"/>
      <c r="G117" s="11"/>
      <c r="H117" s="11"/>
      <c r="I117" s="11"/>
      <c r="J117" s="11"/>
      <c r="K117" s="11"/>
      <c r="L117" s="11"/>
      <c r="M117" s="11"/>
      <c r="N117" s="11"/>
      <c r="O117" s="11"/>
      <c r="P117" s="11"/>
      <c r="Q117" s="11"/>
      <c r="R117" s="11"/>
      <c r="S117" s="11"/>
      <c r="T117" s="11"/>
      <c r="U117" s="11"/>
      <c r="V117" s="11"/>
    </row>
    <row r="118" spans="1:22" s="10" customFormat="1" ht="15" customHeight="1" x14ac:dyDescent="0.25">
      <c r="A118" s="13" t="s">
        <v>119</v>
      </c>
      <c r="B118" s="11">
        <f>SUM(B119:B123)</f>
        <v>3315.9296368800005</v>
      </c>
      <c r="C118" s="11">
        <f t="shared" ref="C118:Q118" si="102">SUM(C119:C123)</f>
        <v>1831.61033114</v>
      </c>
      <c r="D118" s="11">
        <f t="shared" si="102"/>
        <v>2376.0377635599998</v>
      </c>
      <c r="E118" s="11">
        <f t="shared" ref="E118:E123" si="103">SUM(B118:D118)</f>
        <v>7523.5777315800005</v>
      </c>
      <c r="F118" s="11">
        <f t="shared" si="102"/>
        <v>4381.0570099600009</v>
      </c>
      <c r="G118" s="11">
        <f t="shared" si="102"/>
        <v>3303.0910210199991</v>
      </c>
      <c r="H118" s="11">
        <f t="shared" si="102"/>
        <v>2424.2235742100002</v>
      </c>
      <c r="I118" s="11">
        <f t="shared" ref="I118:I123" si="104">SUM(F118:H118)</f>
        <v>10108.371605190001</v>
      </c>
      <c r="J118" s="11">
        <f t="shared" ref="J118:J123" si="105">+E118+I118</f>
        <v>17631.949336770002</v>
      </c>
      <c r="K118" s="11">
        <f t="shared" si="102"/>
        <v>4783.8747706799977</v>
      </c>
      <c r="L118" s="11">
        <f t="shared" si="102"/>
        <v>3421.6444671500008</v>
      </c>
      <c r="M118" s="11">
        <f t="shared" si="102"/>
        <v>2437.5535888599998</v>
      </c>
      <c r="N118" s="11">
        <f t="shared" ref="N118:N123" si="106">SUM(K118:M118)</f>
        <v>10643.072826689997</v>
      </c>
      <c r="O118" s="11">
        <f t="shared" si="102"/>
        <v>2830.2069217900007</v>
      </c>
      <c r="P118" s="11">
        <f t="shared" si="102"/>
        <v>3518.5147725299994</v>
      </c>
      <c r="Q118" s="11">
        <f t="shared" si="102"/>
        <v>2994.7399840199996</v>
      </c>
      <c r="R118" s="11">
        <f t="shared" ref="R118:R123" si="107">SUM(O118:Q118)</f>
        <v>9343.4616783399997</v>
      </c>
      <c r="S118" s="11">
        <f t="shared" ref="S118:S123" si="108">+N118+R118</f>
        <v>19986.534505029995</v>
      </c>
      <c r="T118" s="11">
        <f t="shared" ref="T118:T123" si="109">+J118+S118</f>
        <v>37618.4838418</v>
      </c>
      <c r="U118" s="11"/>
      <c r="V118" s="11"/>
    </row>
    <row r="119" spans="1:22" ht="15" customHeight="1" x14ac:dyDescent="0.3">
      <c r="A119" s="12" t="s">
        <v>120</v>
      </c>
      <c r="B119" s="8">
        <v>345.56582964999996</v>
      </c>
      <c r="C119" s="8">
        <v>180.61390253999997</v>
      </c>
      <c r="D119" s="8">
        <v>214.67121678999996</v>
      </c>
      <c r="E119" s="8">
        <f t="shared" si="103"/>
        <v>740.85094897999988</v>
      </c>
      <c r="F119" s="8">
        <v>375.61700794000029</v>
      </c>
      <c r="G119" s="8">
        <v>231.99089966999992</v>
      </c>
      <c r="H119" s="8">
        <v>216.7017660299999</v>
      </c>
      <c r="I119" s="8">
        <f t="shared" si="104"/>
        <v>824.30967364000014</v>
      </c>
      <c r="J119" s="8">
        <f t="shared" si="105"/>
        <v>1565.1606226200001</v>
      </c>
      <c r="K119" s="8">
        <v>292.05064393999982</v>
      </c>
      <c r="L119" s="8">
        <v>254.77705797000016</v>
      </c>
      <c r="M119" s="8">
        <v>217.44457411999997</v>
      </c>
      <c r="N119" s="8">
        <f t="shared" si="106"/>
        <v>764.27227602999994</v>
      </c>
      <c r="O119" s="8">
        <v>301.33387591000002</v>
      </c>
      <c r="P119" s="8">
        <v>325.98158747999997</v>
      </c>
      <c r="Q119" s="8">
        <v>276.68100116000005</v>
      </c>
      <c r="R119" s="8">
        <f t="shared" si="107"/>
        <v>903.99646455000004</v>
      </c>
      <c r="S119" s="8">
        <f t="shared" si="108"/>
        <v>1668.26874058</v>
      </c>
      <c r="T119" s="8">
        <f t="shared" si="109"/>
        <v>3233.4293631999999</v>
      </c>
      <c r="U119" s="8"/>
      <c r="V119" s="8"/>
    </row>
    <row r="120" spans="1:22" ht="15" customHeight="1" x14ac:dyDescent="0.3">
      <c r="A120" s="12" t="s">
        <v>121</v>
      </c>
      <c r="B120" s="8">
        <v>94.495369140000022</v>
      </c>
      <c r="C120" s="8">
        <v>75.619648480000038</v>
      </c>
      <c r="D120" s="8">
        <v>60.591118639999976</v>
      </c>
      <c r="E120" s="8">
        <f t="shared" si="103"/>
        <v>230.70613626000005</v>
      </c>
      <c r="F120" s="8">
        <v>117.46871364999991</v>
      </c>
      <c r="G120" s="8">
        <v>83.195390289999978</v>
      </c>
      <c r="H120" s="8">
        <v>76.546665749999988</v>
      </c>
      <c r="I120" s="8">
        <f t="shared" si="104"/>
        <v>277.21076968999989</v>
      </c>
      <c r="J120" s="8">
        <f t="shared" si="105"/>
        <v>507.91690594999994</v>
      </c>
      <c r="K120" s="8">
        <v>107.79095</v>
      </c>
      <c r="L120" s="8">
        <v>85.508961409999998</v>
      </c>
      <c r="M120" s="8">
        <v>61.988453160000013</v>
      </c>
      <c r="N120" s="8">
        <f t="shared" si="106"/>
        <v>255.28836457</v>
      </c>
      <c r="O120" s="8">
        <v>78.45313910000003</v>
      </c>
      <c r="P120" s="8">
        <v>83.614198670000007</v>
      </c>
      <c r="Q120" s="8">
        <v>74.994869300000005</v>
      </c>
      <c r="R120" s="8">
        <f t="shared" si="107"/>
        <v>237.06220707000006</v>
      </c>
      <c r="S120" s="8">
        <f t="shared" si="108"/>
        <v>492.35057164000006</v>
      </c>
      <c r="T120" s="8">
        <f t="shared" si="109"/>
        <v>1000.26747759</v>
      </c>
      <c r="U120" s="8"/>
      <c r="V120" s="8"/>
    </row>
    <row r="121" spans="1:22" ht="15" customHeight="1" x14ac:dyDescent="0.3">
      <c r="A121" s="12" t="s">
        <v>122</v>
      </c>
      <c r="B121" s="8">
        <v>52.04846572999999</v>
      </c>
      <c r="C121" s="8">
        <v>36.939543710000002</v>
      </c>
      <c r="D121" s="8">
        <v>41.692312730000005</v>
      </c>
      <c r="E121" s="8">
        <f t="shared" si="103"/>
        <v>130.68032216999998</v>
      </c>
      <c r="F121" s="8">
        <v>61.334387409999984</v>
      </c>
      <c r="G121" s="8">
        <v>41.024791829999998</v>
      </c>
      <c r="H121" s="8">
        <v>38.351644829999998</v>
      </c>
      <c r="I121" s="8">
        <f t="shared" si="104"/>
        <v>140.71082406999997</v>
      </c>
      <c r="J121" s="8">
        <f t="shared" si="105"/>
        <v>271.39114623999996</v>
      </c>
      <c r="K121" s="8">
        <v>46.733771020000013</v>
      </c>
      <c r="L121" s="8">
        <v>41.503458019999997</v>
      </c>
      <c r="M121" s="8">
        <v>39.645801440000014</v>
      </c>
      <c r="N121" s="8">
        <f t="shared" si="106"/>
        <v>127.88303048000003</v>
      </c>
      <c r="O121" s="8">
        <v>54.094575650000039</v>
      </c>
      <c r="P121" s="8">
        <v>54.400571369999994</v>
      </c>
      <c r="Q121" s="8">
        <v>69.33388690999999</v>
      </c>
      <c r="R121" s="8">
        <f t="shared" si="107"/>
        <v>177.82903393000004</v>
      </c>
      <c r="S121" s="8">
        <f t="shared" si="108"/>
        <v>305.71206441000004</v>
      </c>
      <c r="T121" s="8">
        <f t="shared" si="109"/>
        <v>577.10321064999994</v>
      </c>
      <c r="U121" s="8"/>
      <c r="V121" s="8"/>
    </row>
    <row r="122" spans="1:22" ht="15" customHeight="1" x14ac:dyDescent="0.3">
      <c r="A122" s="12" t="s">
        <v>123</v>
      </c>
      <c r="B122" s="8">
        <v>1228.8315535500001</v>
      </c>
      <c r="C122" s="8">
        <v>708.22738202999972</v>
      </c>
      <c r="D122" s="8">
        <v>1031.3017789899995</v>
      </c>
      <c r="E122" s="8">
        <f t="shared" si="103"/>
        <v>2968.3607145699993</v>
      </c>
      <c r="F122" s="8">
        <v>1565.40765027</v>
      </c>
      <c r="G122" s="8">
        <v>1075.2768584599999</v>
      </c>
      <c r="H122" s="8">
        <v>917.69184585000005</v>
      </c>
      <c r="I122" s="8">
        <f t="shared" si="104"/>
        <v>3558.3763545799998</v>
      </c>
      <c r="J122" s="8">
        <f t="shared" si="105"/>
        <v>6526.7370691499991</v>
      </c>
      <c r="K122" s="8">
        <v>1011.96347707</v>
      </c>
      <c r="L122" s="8">
        <v>1211.1817600600002</v>
      </c>
      <c r="M122" s="8">
        <v>911.94317563000027</v>
      </c>
      <c r="N122" s="8">
        <f t="shared" si="106"/>
        <v>3135.0884127600002</v>
      </c>
      <c r="O122" s="8">
        <v>1170.26859861</v>
      </c>
      <c r="P122" s="8">
        <v>1242.8716151200001</v>
      </c>
      <c r="Q122" s="8">
        <v>1158.2631112099998</v>
      </c>
      <c r="R122" s="8">
        <f t="shared" si="107"/>
        <v>3571.4033249399999</v>
      </c>
      <c r="S122" s="8">
        <f t="shared" si="108"/>
        <v>6706.4917377000002</v>
      </c>
      <c r="T122" s="8">
        <f t="shared" si="109"/>
        <v>13233.228806849998</v>
      </c>
      <c r="U122" s="8"/>
      <c r="V122" s="8"/>
    </row>
    <row r="123" spans="1:22" ht="18" customHeight="1" x14ac:dyDescent="0.3">
      <c r="A123" s="12" t="s">
        <v>124</v>
      </c>
      <c r="B123" s="8">
        <v>1594.9884188100004</v>
      </c>
      <c r="C123" s="8">
        <v>830.20985438000025</v>
      </c>
      <c r="D123" s="8">
        <v>1027.7813364100002</v>
      </c>
      <c r="E123" s="8">
        <f t="shared" si="103"/>
        <v>3452.9796096000009</v>
      </c>
      <c r="F123" s="8">
        <v>2261.2292506900008</v>
      </c>
      <c r="G123" s="8">
        <v>1871.6030807699992</v>
      </c>
      <c r="H123" s="8">
        <v>1174.9316517499999</v>
      </c>
      <c r="I123" s="8">
        <f t="shared" si="104"/>
        <v>5307.7639832100003</v>
      </c>
      <c r="J123" s="8">
        <f t="shared" si="105"/>
        <v>8760.7435928100022</v>
      </c>
      <c r="K123" s="8">
        <v>3325.3359286499981</v>
      </c>
      <c r="L123" s="8">
        <v>1828.6732296900004</v>
      </c>
      <c r="M123" s="8">
        <v>1206.5315845099997</v>
      </c>
      <c r="N123" s="8">
        <f t="shared" si="106"/>
        <v>6360.5407428499984</v>
      </c>
      <c r="O123" s="8">
        <v>1226.0567325200007</v>
      </c>
      <c r="P123" s="8">
        <v>1811.6467998899996</v>
      </c>
      <c r="Q123" s="8">
        <v>1415.46711544</v>
      </c>
      <c r="R123" s="8">
        <f t="shared" si="107"/>
        <v>4453.17064785</v>
      </c>
      <c r="S123" s="8">
        <f t="shared" si="108"/>
        <v>10813.711390699998</v>
      </c>
      <c r="T123" s="8">
        <f t="shared" si="109"/>
        <v>19574.454983510001</v>
      </c>
      <c r="U123" s="8"/>
      <c r="V123" s="8"/>
    </row>
    <row r="124" spans="1:22" s="10" customFormat="1" ht="15" customHeight="1" x14ac:dyDescent="0.3">
      <c r="A124" s="12"/>
      <c r="B124" s="11"/>
      <c r="C124" s="11"/>
      <c r="D124" s="11"/>
      <c r="E124" s="11"/>
      <c r="F124" s="11"/>
      <c r="G124" s="11"/>
      <c r="H124" s="11"/>
      <c r="I124" s="11"/>
      <c r="J124" s="11"/>
      <c r="K124" s="11"/>
      <c r="L124" s="11"/>
      <c r="M124" s="11"/>
      <c r="N124" s="11"/>
      <c r="O124" s="11"/>
      <c r="P124" s="11"/>
      <c r="Q124" s="11"/>
      <c r="R124" s="11"/>
      <c r="S124" s="11"/>
      <c r="T124" s="11"/>
      <c r="U124" s="11"/>
      <c r="V124" s="11"/>
    </row>
    <row r="125" spans="1:22" s="10" customFormat="1" ht="15" customHeight="1" x14ac:dyDescent="0.25">
      <c r="A125" s="13" t="s">
        <v>125</v>
      </c>
      <c r="B125" s="11">
        <f>SUM(B126:B129)</f>
        <v>588.88001340999995</v>
      </c>
      <c r="C125" s="11">
        <f t="shared" ref="C125:Q125" si="110">SUM(C126:C129)</f>
        <v>447.01363320000002</v>
      </c>
      <c r="D125" s="11">
        <f t="shared" si="110"/>
        <v>461.4699971799995</v>
      </c>
      <c r="E125" s="11">
        <f t="shared" ref="E125:E129" si="111">SUM(B125:D125)</f>
        <v>1497.3636437899995</v>
      </c>
      <c r="F125" s="11">
        <f t="shared" si="110"/>
        <v>875.93955062999964</v>
      </c>
      <c r="G125" s="11">
        <f t="shared" si="110"/>
        <v>557.82125484999983</v>
      </c>
      <c r="H125" s="11">
        <f t="shared" si="110"/>
        <v>472.31520914000015</v>
      </c>
      <c r="I125" s="11">
        <f t="shared" ref="I125:I129" si="112">SUM(F125:H125)</f>
        <v>1906.0760146199996</v>
      </c>
      <c r="J125" s="11">
        <f t="shared" ref="J125:J129" si="113">+E125+I125</f>
        <v>3403.4396584099991</v>
      </c>
      <c r="K125" s="11">
        <f t="shared" si="110"/>
        <v>546.62484243999995</v>
      </c>
      <c r="L125" s="11">
        <f t="shared" si="110"/>
        <v>598.43161530999964</v>
      </c>
      <c r="M125" s="11">
        <f t="shared" si="110"/>
        <v>425.77838742000006</v>
      </c>
      <c r="N125" s="11">
        <f t="shared" ref="N125:N129" si="114">SUM(K125:M125)</f>
        <v>1570.8348451699994</v>
      </c>
      <c r="O125" s="11">
        <f t="shared" si="110"/>
        <v>587.39449599</v>
      </c>
      <c r="P125" s="11">
        <f t="shared" si="110"/>
        <v>605.6917580400002</v>
      </c>
      <c r="Q125" s="11">
        <f t="shared" si="110"/>
        <v>589.78545327999996</v>
      </c>
      <c r="R125" s="11">
        <f t="shared" ref="R125:R129" si="115">SUM(O125:Q125)</f>
        <v>1782.8717073100001</v>
      </c>
      <c r="S125" s="11">
        <f t="shared" ref="S125:S129" si="116">+N125+R125</f>
        <v>3353.7065524799996</v>
      </c>
      <c r="T125" s="11">
        <f t="shared" ref="T125:T129" si="117">+J125+S125</f>
        <v>6757.1462108899987</v>
      </c>
      <c r="U125" s="11"/>
      <c r="V125" s="11"/>
    </row>
    <row r="126" spans="1:22" ht="15" customHeight="1" x14ac:dyDescent="0.3">
      <c r="A126" s="12" t="s">
        <v>126</v>
      </c>
      <c r="B126" s="8">
        <v>128.96440822999998</v>
      </c>
      <c r="C126" s="8">
        <v>114.44468794000005</v>
      </c>
      <c r="D126" s="8">
        <v>93.340765399999938</v>
      </c>
      <c r="E126" s="8">
        <f t="shared" si="111"/>
        <v>336.74986156999995</v>
      </c>
      <c r="F126" s="8">
        <v>154.05114004999999</v>
      </c>
      <c r="G126" s="8">
        <v>119.33561538999997</v>
      </c>
      <c r="H126" s="8">
        <v>99.222768750000085</v>
      </c>
      <c r="I126" s="8">
        <f t="shared" si="112"/>
        <v>372.60952419</v>
      </c>
      <c r="J126" s="8">
        <f t="shared" si="113"/>
        <v>709.3593857599999</v>
      </c>
      <c r="K126" s="8">
        <v>117.14019319999996</v>
      </c>
      <c r="L126" s="8">
        <v>145.30561326999998</v>
      </c>
      <c r="M126" s="8">
        <v>88.153966850000018</v>
      </c>
      <c r="N126" s="8">
        <f t="shared" si="114"/>
        <v>350.59977331999994</v>
      </c>
      <c r="O126" s="8">
        <v>123.14057414000004</v>
      </c>
      <c r="P126" s="8">
        <v>108.65333497999997</v>
      </c>
      <c r="Q126" s="8">
        <v>97.225286060000002</v>
      </c>
      <c r="R126" s="8">
        <f t="shared" si="115"/>
        <v>329.01919518</v>
      </c>
      <c r="S126" s="8">
        <f t="shared" si="116"/>
        <v>679.61896849999994</v>
      </c>
      <c r="T126" s="8">
        <f t="shared" si="117"/>
        <v>1388.9783542599998</v>
      </c>
      <c r="U126" s="8"/>
      <c r="V126" s="8"/>
    </row>
    <row r="127" spans="1:22" ht="15" customHeight="1" x14ac:dyDescent="0.3">
      <c r="A127" s="12" t="s">
        <v>127</v>
      </c>
      <c r="B127" s="8">
        <v>227.40834275999995</v>
      </c>
      <c r="C127" s="8">
        <v>159.52680550999997</v>
      </c>
      <c r="D127" s="8">
        <v>202.95944501999969</v>
      </c>
      <c r="E127" s="8">
        <f t="shared" si="111"/>
        <v>589.89459328999965</v>
      </c>
      <c r="F127" s="8">
        <v>397.12157470999966</v>
      </c>
      <c r="G127" s="8">
        <v>246.38263365999978</v>
      </c>
      <c r="H127" s="8">
        <v>160.35930292</v>
      </c>
      <c r="I127" s="8">
        <f t="shared" si="112"/>
        <v>803.86351128999945</v>
      </c>
      <c r="J127" s="8">
        <f t="shared" si="113"/>
        <v>1393.7581045799991</v>
      </c>
      <c r="K127" s="8">
        <v>207.8365017699999</v>
      </c>
      <c r="L127" s="8">
        <v>239.59454682999993</v>
      </c>
      <c r="M127" s="8">
        <v>157.27861935999996</v>
      </c>
      <c r="N127" s="8">
        <f t="shared" si="114"/>
        <v>604.70966795999982</v>
      </c>
      <c r="O127" s="8">
        <v>232.50612635999991</v>
      </c>
      <c r="P127" s="8">
        <v>258.51114668000019</v>
      </c>
      <c r="Q127" s="8">
        <v>227.79876103999996</v>
      </c>
      <c r="R127" s="8">
        <f t="shared" si="115"/>
        <v>718.81603408000001</v>
      </c>
      <c r="S127" s="8">
        <f t="shared" si="116"/>
        <v>1323.5257020399999</v>
      </c>
      <c r="T127" s="8">
        <f t="shared" si="117"/>
        <v>2717.2838066199993</v>
      </c>
      <c r="U127" s="8"/>
      <c r="V127" s="8"/>
    </row>
    <row r="128" spans="1:22" ht="15" customHeight="1" x14ac:dyDescent="0.3">
      <c r="A128" s="12" t="s">
        <v>128</v>
      </c>
      <c r="B128" s="8">
        <v>156.83475240000004</v>
      </c>
      <c r="C128" s="8">
        <v>113.41490467999995</v>
      </c>
      <c r="D128" s="8">
        <v>107.73760334999993</v>
      </c>
      <c r="E128" s="8">
        <f t="shared" si="111"/>
        <v>377.98726042999994</v>
      </c>
      <c r="F128" s="8">
        <v>223.27660561999997</v>
      </c>
      <c r="G128" s="8">
        <v>118.66075691000005</v>
      </c>
      <c r="H128" s="8">
        <v>151.45204041</v>
      </c>
      <c r="I128" s="8">
        <f t="shared" si="112"/>
        <v>493.38940294000002</v>
      </c>
      <c r="J128" s="8">
        <f t="shared" si="113"/>
        <v>871.37666336999996</v>
      </c>
      <c r="K128" s="8">
        <v>145.14843844000006</v>
      </c>
      <c r="L128" s="8">
        <v>142.3268857299999</v>
      </c>
      <c r="M128" s="8">
        <v>117.52168718000004</v>
      </c>
      <c r="N128" s="8">
        <f t="shared" si="114"/>
        <v>404.99701134999998</v>
      </c>
      <c r="O128" s="8">
        <v>166.59050943999998</v>
      </c>
      <c r="P128" s="8">
        <v>158.03842340999998</v>
      </c>
      <c r="Q128" s="8">
        <v>203.48635118000001</v>
      </c>
      <c r="R128" s="8">
        <f t="shared" si="115"/>
        <v>528.11528403</v>
      </c>
      <c r="S128" s="8">
        <f t="shared" si="116"/>
        <v>933.11229537999998</v>
      </c>
      <c r="T128" s="8">
        <f t="shared" si="117"/>
        <v>1804.4889587499999</v>
      </c>
      <c r="U128" s="8"/>
      <c r="V128" s="8"/>
    </row>
    <row r="129" spans="1:22" ht="15" customHeight="1" x14ac:dyDescent="0.3">
      <c r="A129" s="12" t="s">
        <v>129</v>
      </c>
      <c r="B129" s="8">
        <v>75.672510020000004</v>
      </c>
      <c r="C129" s="8">
        <v>59.627235070000033</v>
      </c>
      <c r="D129" s="8">
        <v>57.432183409999965</v>
      </c>
      <c r="E129" s="8">
        <f t="shared" si="111"/>
        <v>192.73192850000001</v>
      </c>
      <c r="F129" s="8">
        <v>101.4902302500001</v>
      </c>
      <c r="G129" s="8">
        <v>73.442248889999988</v>
      </c>
      <c r="H129" s="8">
        <v>61.281097060000029</v>
      </c>
      <c r="I129" s="8">
        <f t="shared" si="112"/>
        <v>236.21357620000012</v>
      </c>
      <c r="J129" s="8">
        <f t="shared" si="113"/>
        <v>428.94550470000013</v>
      </c>
      <c r="K129" s="8">
        <v>76.499709029999991</v>
      </c>
      <c r="L129" s="8">
        <v>71.204569479999961</v>
      </c>
      <c r="M129" s="8">
        <v>62.824114030000004</v>
      </c>
      <c r="N129" s="8">
        <f t="shared" si="114"/>
        <v>210.52839253999994</v>
      </c>
      <c r="O129" s="8">
        <v>65.157286049999996</v>
      </c>
      <c r="P129" s="8">
        <v>80.488852970000011</v>
      </c>
      <c r="Q129" s="8">
        <v>61.275055000000002</v>
      </c>
      <c r="R129" s="8">
        <f t="shared" si="115"/>
        <v>206.92119402000003</v>
      </c>
      <c r="S129" s="8">
        <f t="shared" si="116"/>
        <v>417.44958655999994</v>
      </c>
      <c r="T129" s="8">
        <f t="shared" si="117"/>
        <v>846.39509126000007</v>
      </c>
      <c r="U129" s="8"/>
      <c r="V129" s="8"/>
    </row>
    <row r="130" spans="1:22" s="10" customFormat="1" ht="15" customHeight="1" x14ac:dyDescent="0.3">
      <c r="A130" s="12"/>
      <c r="B130" s="11"/>
      <c r="C130" s="11"/>
      <c r="D130" s="11"/>
      <c r="E130" s="11"/>
      <c r="F130" s="11"/>
      <c r="G130" s="11"/>
      <c r="H130" s="11"/>
      <c r="I130" s="11"/>
      <c r="J130" s="11"/>
      <c r="K130" s="11"/>
      <c r="L130" s="11"/>
      <c r="M130" s="11"/>
      <c r="N130" s="11"/>
      <c r="O130" s="11"/>
      <c r="P130" s="11"/>
      <c r="Q130" s="11"/>
      <c r="R130" s="11"/>
      <c r="S130" s="11"/>
      <c r="T130" s="11"/>
      <c r="U130" s="11"/>
      <c r="V130" s="11"/>
    </row>
    <row r="131" spans="1:22" s="10" customFormat="1" ht="15" customHeight="1" x14ac:dyDescent="0.25">
      <c r="A131" s="13" t="s">
        <v>130</v>
      </c>
      <c r="B131" s="11">
        <f>SUM(B132:B135)</f>
        <v>493.62268515999995</v>
      </c>
      <c r="C131" s="11">
        <f t="shared" ref="C131:Q131" si="118">SUM(C132:C135)</f>
        <v>298.09595750999995</v>
      </c>
      <c r="D131" s="11">
        <f t="shared" si="118"/>
        <v>321.14509170999992</v>
      </c>
      <c r="E131" s="11">
        <f t="shared" ref="E131:E135" si="119">SUM(B131:D131)</f>
        <v>1112.8637343799999</v>
      </c>
      <c r="F131" s="11">
        <f t="shared" si="118"/>
        <v>546.53275892999989</v>
      </c>
      <c r="G131" s="11">
        <f t="shared" si="118"/>
        <v>386.09942192999995</v>
      </c>
      <c r="H131" s="11">
        <f t="shared" si="118"/>
        <v>363.38259041000009</v>
      </c>
      <c r="I131" s="11">
        <f t="shared" ref="I131:I135" si="120">SUM(F131:H131)</f>
        <v>1296.01477127</v>
      </c>
      <c r="J131" s="11">
        <f t="shared" ref="J131:J135" si="121">+E131+I131</f>
        <v>2408.8785056500001</v>
      </c>
      <c r="K131" s="11">
        <f t="shared" si="118"/>
        <v>445.49568092999982</v>
      </c>
      <c r="L131" s="11">
        <f t="shared" si="118"/>
        <v>429.12610478999989</v>
      </c>
      <c r="M131" s="11">
        <f t="shared" si="118"/>
        <v>426.57743976999996</v>
      </c>
      <c r="N131" s="11">
        <f t="shared" ref="N131:N135" si="122">SUM(K131:M131)</f>
        <v>1301.1992254899997</v>
      </c>
      <c r="O131" s="11">
        <f t="shared" si="118"/>
        <v>469.71266739999999</v>
      </c>
      <c r="P131" s="11">
        <f t="shared" si="118"/>
        <v>509.42100630000016</v>
      </c>
      <c r="Q131" s="11">
        <f t="shared" si="118"/>
        <v>453.89909424000012</v>
      </c>
      <c r="R131" s="11">
        <f t="shared" ref="R131:R135" si="123">SUM(O131:Q131)</f>
        <v>1433.0327679400002</v>
      </c>
      <c r="S131" s="11">
        <f t="shared" ref="S131:S135" si="124">+N131+R131</f>
        <v>2734.2319934299999</v>
      </c>
      <c r="T131" s="11">
        <f t="shared" ref="T131:T135" si="125">+J131+S131</f>
        <v>5143.1104990799995</v>
      </c>
      <c r="U131" s="11"/>
      <c r="V131" s="11"/>
    </row>
    <row r="132" spans="1:22" ht="15" customHeight="1" x14ac:dyDescent="0.3">
      <c r="A132" s="12" t="s">
        <v>131</v>
      </c>
      <c r="B132" s="8">
        <v>189.79089605999997</v>
      </c>
      <c r="C132" s="8">
        <v>119.74317372999995</v>
      </c>
      <c r="D132" s="8">
        <v>132.45956151999999</v>
      </c>
      <c r="E132" s="8">
        <f t="shared" si="119"/>
        <v>441.99363130999996</v>
      </c>
      <c r="F132" s="8">
        <v>233.54719788000003</v>
      </c>
      <c r="G132" s="8">
        <v>186.40879000999999</v>
      </c>
      <c r="H132" s="8">
        <v>165.59403690000005</v>
      </c>
      <c r="I132" s="8">
        <f t="shared" si="120"/>
        <v>585.55002479000007</v>
      </c>
      <c r="J132" s="8">
        <f t="shared" si="121"/>
        <v>1027.5436561000001</v>
      </c>
      <c r="K132" s="8">
        <v>203.26705561999984</v>
      </c>
      <c r="L132" s="8">
        <v>195.99629878999991</v>
      </c>
      <c r="M132" s="8">
        <v>184.23492297999994</v>
      </c>
      <c r="N132" s="8">
        <f t="shared" si="122"/>
        <v>583.49827738999966</v>
      </c>
      <c r="O132" s="8">
        <v>195.79938642999997</v>
      </c>
      <c r="P132" s="8">
        <v>230.57591554000012</v>
      </c>
      <c r="Q132" s="8">
        <v>207.80149135000013</v>
      </c>
      <c r="R132" s="8">
        <f t="shared" si="123"/>
        <v>634.17679332000023</v>
      </c>
      <c r="S132" s="8">
        <f t="shared" si="124"/>
        <v>1217.67507071</v>
      </c>
      <c r="T132" s="8">
        <f t="shared" si="125"/>
        <v>2245.2187268100001</v>
      </c>
      <c r="U132" s="8"/>
      <c r="V132" s="8"/>
    </row>
    <row r="133" spans="1:22" ht="15" customHeight="1" x14ac:dyDescent="0.3">
      <c r="A133" s="12" t="s">
        <v>132</v>
      </c>
      <c r="B133" s="8">
        <v>93.548742070000003</v>
      </c>
      <c r="C133" s="8">
        <v>56.368224050000009</v>
      </c>
      <c r="D133" s="8">
        <v>56.399895749999985</v>
      </c>
      <c r="E133" s="8">
        <f t="shared" si="119"/>
        <v>206.31686187</v>
      </c>
      <c r="F133" s="8">
        <v>107.38148083999999</v>
      </c>
      <c r="G133" s="8">
        <v>60.433417389999981</v>
      </c>
      <c r="H133" s="8">
        <v>63.544236019999992</v>
      </c>
      <c r="I133" s="8">
        <f t="shared" si="120"/>
        <v>231.35913424999998</v>
      </c>
      <c r="J133" s="8">
        <f t="shared" si="121"/>
        <v>437.67599611999998</v>
      </c>
      <c r="K133" s="8">
        <v>75.382793769999978</v>
      </c>
      <c r="L133" s="8">
        <v>72.647050870000001</v>
      </c>
      <c r="M133" s="8">
        <v>67.455541510000003</v>
      </c>
      <c r="N133" s="8">
        <f t="shared" si="122"/>
        <v>215.48538614999995</v>
      </c>
      <c r="O133" s="8">
        <v>83.686375790000042</v>
      </c>
      <c r="P133" s="8">
        <v>86.417557960000011</v>
      </c>
      <c r="Q133" s="8">
        <v>70.850488279999993</v>
      </c>
      <c r="R133" s="8">
        <f t="shared" si="123"/>
        <v>240.95442203000005</v>
      </c>
      <c r="S133" s="8">
        <f t="shared" si="124"/>
        <v>456.43980818</v>
      </c>
      <c r="T133" s="8">
        <f t="shared" si="125"/>
        <v>894.11580430000004</v>
      </c>
      <c r="U133" s="8"/>
      <c r="V133" s="8"/>
    </row>
    <row r="134" spans="1:22" ht="15" customHeight="1" x14ac:dyDescent="0.3">
      <c r="A134" s="12" t="s">
        <v>133</v>
      </c>
      <c r="B134" s="8">
        <v>133.55286334000002</v>
      </c>
      <c r="C134" s="8">
        <v>72.29482225000001</v>
      </c>
      <c r="D134" s="8">
        <v>79.994781119999956</v>
      </c>
      <c r="E134" s="8">
        <f t="shared" si="119"/>
        <v>285.84246671</v>
      </c>
      <c r="F134" s="8">
        <v>131.73134939999991</v>
      </c>
      <c r="G134" s="8">
        <v>84.026070759999982</v>
      </c>
      <c r="H134" s="8">
        <v>83.416035440000044</v>
      </c>
      <c r="I134" s="8">
        <f t="shared" si="120"/>
        <v>299.17345559999995</v>
      </c>
      <c r="J134" s="8">
        <f t="shared" si="121"/>
        <v>585.01592230999995</v>
      </c>
      <c r="K134" s="8">
        <v>107.58621582000002</v>
      </c>
      <c r="L134" s="8">
        <v>104.51362228999999</v>
      </c>
      <c r="M134" s="8">
        <v>116.06604694000005</v>
      </c>
      <c r="N134" s="8">
        <f t="shared" si="122"/>
        <v>328.16588505000004</v>
      </c>
      <c r="O134" s="8">
        <v>123.09985553999992</v>
      </c>
      <c r="P134" s="8">
        <v>125.57791034</v>
      </c>
      <c r="Q134" s="8">
        <v>97.469749179999994</v>
      </c>
      <c r="R134" s="8">
        <f t="shared" si="123"/>
        <v>346.14751505999993</v>
      </c>
      <c r="S134" s="8">
        <f t="shared" si="124"/>
        <v>674.31340010999998</v>
      </c>
      <c r="T134" s="8">
        <f t="shared" si="125"/>
        <v>1259.3293224199999</v>
      </c>
      <c r="U134" s="8"/>
      <c r="V134" s="8"/>
    </row>
    <row r="135" spans="1:22" ht="15" customHeight="1" x14ac:dyDescent="0.3">
      <c r="A135" s="12" t="s">
        <v>134</v>
      </c>
      <c r="B135" s="8">
        <v>76.730183690000004</v>
      </c>
      <c r="C135" s="8">
        <v>49.689737480000005</v>
      </c>
      <c r="D135" s="8">
        <v>52.290853320000004</v>
      </c>
      <c r="E135" s="8">
        <f t="shared" si="119"/>
        <v>178.71077449000001</v>
      </c>
      <c r="F135" s="8">
        <v>73.872730810000022</v>
      </c>
      <c r="G135" s="8">
        <v>55.231143769999996</v>
      </c>
      <c r="H135" s="8">
        <v>50.828282049999999</v>
      </c>
      <c r="I135" s="8">
        <f t="shared" si="120"/>
        <v>179.93215663000001</v>
      </c>
      <c r="J135" s="8">
        <f t="shared" si="121"/>
        <v>358.64293112000001</v>
      </c>
      <c r="K135" s="8">
        <v>59.259615719999999</v>
      </c>
      <c r="L135" s="8">
        <v>55.969132839999986</v>
      </c>
      <c r="M135" s="8">
        <v>58.820928339999988</v>
      </c>
      <c r="N135" s="8">
        <f t="shared" si="122"/>
        <v>174.04967689999998</v>
      </c>
      <c r="O135" s="8">
        <v>67.127049640000038</v>
      </c>
      <c r="P135" s="8">
        <v>66.849622460000006</v>
      </c>
      <c r="Q135" s="8">
        <v>77.777365429999975</v>
      </c>
      <c r="R135" s="8">
        <f t="shared" si="123"/>
        <v>211.75403753000001</v>
      </c>
      <c r="S135" s="8">
        <f t="shared" si="124"/>
        <v>385.80371443000001</v>
      </c>
      <c r="T135" s="8">
        <f t="shared" si="125"/>
        <v>744.44664555000008</v>
      </c>
      <c r="U135" s="8"/>
      <c r="V135" s="8"/>
    </row>
    <row r="136" spans="1:22" s="10" customFormat="1" ht="15" customHeight="1" x14ac:dyDescent="0.3">
      <c r="A136" s="12"/>
      <c r="B136" s="11"/>
      <c r="C136" s="11"/>
      <c r="D136" s="11"/>
      <c r="E136" s="11"/>
      <c r="F136" s="11"/>
      <c r="G136" s="11"/>
      <c r="H136" s="11"/>
      <c r="I136" s="11"/>
      <c r="J136" s="11"/>
      <c r="K136" s="11"/>
      <c r="L136" s="11"/>
      <c r="M136" s="11"/>
      <c r="N136" s="11"/>
      <c r="O136" s="11"/>
      <c r="P136" s="11"/>
      <c r="Q136" s="11"/>
      <c r="R136" s="11"/>
      <c r="S136" s="11"/>
      <c r="T136" s="11"/>
      <c r="U136" s="11"/>
      <c r="V136" s="11"/>
    </row>
    <row r="137" spans="1:22" s="10" customFormat="1" ht="15" customHeight="1" x14ac:dyDescent="0.25">
      <c r="A137" s="14" t="s">
        <v>135</v>
      </c>
      <c r="B137" s="11">
        <f>SUM(B138:B143)</f>
        <v>240.20693614000007</v>
      </c>
      <c r="C137" s="11">
        <f t="shared" ref="C137:Q137" si="126">SUM(C138:C143)</f>
        <v>280.05649569999997</v>
      </c>
      <c r="D137" s="11">
        <f t="shared" si="126"/>
        <v>290.51116712999999</v>
      </c>
      <c r="E137" s="11">
        <f t="shared" ref="E137:E142" si="127">SUM(B137:D137)</f>
        <v>810.77459897000006</v>
      </c>
      <c r="F137" s="11">
        <f t="shared" si="126"/>
        <v>222.75622999999999</v>
      </c>
      <c r="G137" s="11">
        <f t="shared" si="126"/>
        <v>228.93969820000001</v>
      </c>
      <c r="H137" s="11">
        <f t="shared" si="126"/>
        <v>205.22748853999997</v>
      </c>
      <c r="I137" s="11">
        <f t="shared" ref="I137:I142" si="128">SUM(F137:H137)</f>
        <v>656.92341673999999</v>
      </c>
      <c r="J137" s="11">
        <f t="shared" ref="J137:J142" si="129">+E137+I137</f>
        <v>1467.6980157100002</v>
      </c>
      <c r="K137" s="11">
        <f t="shared" si="126"/>
        <v>204.04979323000001</v>
      </c>
      <c r="L137" s="11">
        <f t="shared" si="126"/>
        <v>172.04371652</v>
      </c>
      <c r="M137" s="11">
        <f t="shared" si="126"/>
        <v>170.37977574000001</v>
      </c>
      <c r="N137" s="11">
        <f t="shared" ref="N137:N142" si="130">SUM(K137:M137)</f>
        <v>546.47328549000008</v>
      </c>
      <c r="O137" s="11">
        <f t="shared" si="126"/>
        <v>234.40154723000001</v>
      </c>
      <c r="P137" s="11">
        <f t="shared" si="126"/>
        <v>187.73449241</v>
      </c>
      <c r="Q137" s="11">
        <f t="shared" si="126"/>
        <v>227.85929353999998</v>
      </c>
      <c r="R137" s="11">
        <f t="shared" ref="R137:R142" si="131">SUM(O137:Q137)</f>
        <v>649.99533317999999</v>
      </c>
      <c r="S137" s="11">
        <f t="shared" ref="S137:S142" si="132">+N137+R137</f>
        <v>1196.4686186700001</v>
      </c>
      <c r="T137" s="11">
        <f t="shared" ref="T137:T142" si="133">+J137+S137</f>
        <v>2664.1666343800002</v>
      </c>
      <c r="U137" s="11"/>
      <c r="V137" s="11"/>
    </row>
    <row r="138" spans="1:22" ht="15" customHeight="1" x14ac:dyDescent="0.3">
      <c r="A138" s="12" t="s">
        <v>136</v>
      </c>
      <c r="B138" s="8">
        <v>19.930044119999998</v>
      </c>
      <c r="C138" s="8">
        <v>13.294433640000001</v>
      </c>
      <c r="D138" s="8">
        <v>10.605863869999999</v>
      </c>
      <c r="E138" s="8">
        <f t="shared" si="127"/>
        <v>43.830341629999999</v>
      </c>
      <c r="F138" s="8">
        <v>11.107231420000002</v>
      </c>
      <c r="G138" s="8">
        <v>11.416069529999998</v>
      </c>
      <c r="H138" s="8">
        <v>9.6299724499999986</v>
      </c>
      <c r="I138" s="8">
        <f t="shared" si="128"/>
        <v>32.153273399999996</v>
      </c>
      <c r="J138" s="8">
        <f t="shared" si="129"/>
        <v>75.983615029999996</v>
      </c>
      <c r="K138" s="8">
        <v>11.609018189999999</v>
      </c>
      <c r="L138" s="8">
        <v>11.037741570000001</v>
      </c>
      <c r="M138" s="8">
        <v>11.590891210000001</v>
      </c>
      <c r="N138" s="8">
        <f t="shared" si="130"/>
        <v>34.237650970000004</v>
      </c>
      <c r="O138" s="8">
        <v>14.409410920000003</v>
      </c>
      <c r="P138" s="8">
        <v>8.6589627399999998</v>
      </c>
      <c r="Q138" s="8">
        <v>10.104407140000003</v>
      </c>
      <c r="R138" s="8">
        <f t="shared" si="131"/>
        <v>33.172780800000005</v>
      </c>
      <c r="S138" s="8">
        <f t="shared" si="132"/>
        <v>67.410431770000002</v>
      </c>
      <c r="T138" s="8">
        <f t="shared" si="133"/>
        <v>143.39404680000001</v>
      </c>
      <c r="U138" s="8"/>
      <c r="V138" s="8"/>
    </row>
    <row r="139" spans="1:22" ht="15" customHeight="1" x14ac:dyDescent="0.3">
      <c r="A139" s="12" t="s">
        <v>137</v>
      </c>
      <c r="B139" s="8">
        <v>42.309649390000011</v>
      </c>
      <c r="C139" s="8">
        <v>35.863491310000001</v>
      </c>
      <c r="D139" s="8">
        <v>65.44941747</v>
      </c>
      <c r="E139" s="8">
        <f t="shared" si="127"/>
        <v>143.62255816999999</v>
      </c>
      <c r="F139" s="8">
        <v>53.321928429999993</v>
      </c>
      <c r="G139" s="8">
        <v>64.698208210000004</v>
      </c>
      <c r="H139" s="8">
        <v>37.492851169999994</v>
      </c>
      <c r="I139" s="8">
        <f t="shared" si="128"/>
        <v>155.51298781</v>
      </c>
      <c r="J139" s="8">
        <f t="shared" si="129"/>
        <v>299.13554597999996</v>
      </c>
      <c r="K139" s="8">
        <v>33.948144869999993</v>
      </c>
      <c r="L139" s="8">
        <v>37.993159429999992</v>
      </c>
      <c r="M139" s="8">
        <v>32.986723779999998</v>
      </c>
      <c r="N139" s="8">
        <f t="shared" si="130"/>
        <v>104.92802807999999</v>
      </c>
      <c r="O139" s="8">
        <v>34.160412319999999</v>
      </c>
      <c r="P139" s="8">
        <v>44.768338610000001</v>
      </c>
      <c r="Q139" s="8">
        <v>35.621209090000001</v>
      </c>
      <c r="R139" s="8">
        <f t="shared" si="131"/>
        <v>114.54996002000001</v>
      </c>
      <c r="S139" s="8">
        <f t="shared" si="132"/>
        <v>219.4779881</v>
      </c>
      <c r="T139" s="8">
        <f t="shared" si="133"/>
        <v>518.61353407999991</v>
      </c>
      <c r="U139" s="8"/>
      <c r="V139" s="8"/>
    </row>
    <row r="140" spans="1:22" ht="15" customHeight="1" x14ac:dyDescent="0.3">
      <c r="A140" s="12" t="s">
        <v>138</v>
      </c>
      <c r="B140" s="8">
        <v>135.85595715000002</v>
      </c>
      <c r="C140" s="8">
        <v>183.01564231999998</v>
      </c>
      <c r="D140" s="8">
        <v>131.05856980000001</v>
      </c>
      <c r="E140" s="8">
        <f t="shared" si="127"/>
        <v>449.93016926999996</v>
      </c>
      <c r="F140" s="8">
        <v>110.66160152</v>
      </c>
      <c r="G140" s="8">
        <v>107.64580941999999</v>
      </c>
      <c r="H140" s="8">
        <v>122.06592950999999</v>
      </c>
      <c r="I140" s="8">
        <f t="shared" si="128"/>
        <v>340.37334045</v>
      </c>
      <c r="J140" s="8">
        <f t="shared" si="129"/>
        <v>790.30350971999997</v>
      </c>
      <c r="K140" s="8">
        <v>123.57796687000001</v>
      </c>
      <c r="L140" s="8">
        <v>86.620546529999999</v>
      </c>
      <c r="M140" s="8">
        <v>97.287324339999998</v>
      </c>
      <c r="N140" s="8">
        <f t="shared" si="130"/>
        <v>307.48583774000002</v>
      </c>
      <c r="O140" s="8">
        <v>135.80706318</v>
      </c>
      <c r="P140" s="8">
        <v>96.021378599999991</v>
      </c>
      <c r="Q140" s="8">
        <v>97.034651749999995</v>
      </c>
      <c r="R140" s="8">
        <f t="shared" si="131"/>
        <v>328.86309353000001</v>
      </c>
      <c r="S140" s="8">
        <f t="shared" si="132"/>
        <v>636.34893127000009</v>
      </c>
      <c r="T140" s="8">
        <f t="shared" si="133"/>
        <v>1426.6524409900001</v>
      </c>
      <c r="U140" s="8"/>
      <c r="V140" s="8"/>
    </row>
    <row r="141" spans="1:22" ht="15" customHeight="1" x14ac:dyDescent="0.3">
      <c r="A141" s="12" t="s">
        <v>139</v>
      </c>
      <c r="B141" s="8">
        <v>14.53360262</v>
      </c>
      <c r="C141" s="8">
        <v>11.807968240000003</v>
      </c>
      <c r="D141" s="8">
        <v>6.8307804299999999</v>
      </c>
      <c r="E141" s="8">
        <f t="shared" si="127"/>
        <v>33.172351290000002</v>
      </c>
      <c r="F141" s="8">
        <v>15.013434789999998</v>
      </c>
      <c r="G141" s="8">
        <v>14.871385899999998</v>
      </c>
      <c r="H141" s="8">
        <v>11.601793039999999</v>
      </c>
      <c r="I141" s="8">
        <f t="shared" si="128"/>
        <v>41.486613729999995</v>
      </c>
      <c r="J141" s="8">
        <f t="shared" si="129"/>
        <v>74.658965019999997</v>
      </c>
      <c r="K141" s="8">
        <v>7.537208989999999</v>
      </c>
      <c r="L141" s="8">
        <v>8.9328233900000011</v>
      </c>
      <c r="M141" s="8">
        <v>7.1787860099999987</v>
      </c>
      <c r="N141" s="8">
        <f t="shared" si="130"/>
        <v>23.648818389999999</v>
      </c>
      <c r="O141" s="8">
        <v>9.4965739300000021</v>
      </c>
      <c r="P141" s="8">
        <v>12.000506969999998</v>
      </c>
      <c r="Q141" s="8">
        <v>28.280838620000001</v>
      </c>
      <c r="R141" s="8">
        <f t="shared" si="131"/>
        <v>49.777919519999998</v>
      </c>
      <c r="S141" s="8">
        <f t="shared" si="132"/>
        <v>73.42673791</v>
      </c>
      <c r="T141" s="8">
        <f t="shared" si="133"/>
        <v>148.08570293</v>
      </c>
      <c r="U141" s="8"/>
      <c r="V141" s="8"/>
    </row>
    <row r="142" spans="1:22" ht="15" customHeight="1" x14ac:dyDescent="0.3">
      <c r="A142" s="12" t="s">
        <v>140</v>
      </c>
      <c r="B142" s="8">
        <v>27.577682860000003</v>
      </c>
      <c r="C142" s="8">
        <v>36.074960189999999</v>
      </c>
      <c r="D142" s="8">
        <v>76.566535559999991</v>
      </c>
      <c r="E142" s="8">
        <f t="shared" si="127"/>
        <v>140.21917861</v>
      </c>
      <c r="F142" s="8">
        <v>32.652033840000001</v>
      </c>
      <c r="G142" s="8">
        <v>30.308225139999998</v>
      </c>
      <c r="H142" s="8">
        <v>24.436942370000004</v>
      </c>
      <c r="I142" s="8">
        <f t="shared" si="128"/>
        <v>87.397201350000003</v>
      </c>
      <c r="J142" s="8">
        <f t="shared" si="129"/>
        <v>227.61637996000002</v>
      </c>
      <c r="K142" s="8">
        <v>27.377454310000001</v>
      </c>
      <c r="L142" s="8">
        <v>27.459445599999999</v>
      </c>
      <c r="M142" s="8">
        <v>21.336050399999998</v>
      </c>
      <c r="N142" s="8">
        <f t="shared" si="130"/>
        <v>76.172950310000004</v>
      </c>
      <c r="O142" s="8">
        <v>40.528086879999996</v>
      </c>
      <c r="P142" s="8">
        <v>26.285305490000002</v>
      </c>
      <c r="Q142" s="8">
        <v>56.818186939999997</v>
      </c>
      <c r="R142" s="8">
        <f t="shared" si="131"/>
        <v>123.63157931000001</v>
      </c>
      <c r="S142" s="8">
        <f t="shared" si="132"/>
        <v>199.80452962000001</v>
      </c>
      <c r="T142" s="8">
        <f t="shared" si="133"/>
        <v>427.42090958000006</v>
      </c>
      <c r="U142" s="8"/>
      <c r="V142" s="8"/>
    </row>
    <row r="143" spans="1:22" ht="18" customHeight="1" x14ac:dyDescent="0.3">
      <c r="A143" s="12" t="s">
        <v>141</v>
      </c>
      <c r="B143" s="8"/>
      <c r="C143" s="8"/>
      <c r="D143" s="8"/>
      <c r="E143" s="8"/>
      <c r="F143" s="8"/>
      <c r="G143" s="8"/>
      <c r="H143" s="8"/>
      <c r="I143" s="8"/>
      <c r="J143" s="8"/>
      <c r="K143" s="8"/>
      <c r="L143" s="8"/>
      <c r="M143" s="8"/>
      <c r="N143" s="8"/>
      <c r="O143" s="8"/>
      <c r="P143" s="8"/>
      <c r="Q143" s="8"/>
      <c r="R143" s="8"/>
      <c r="S143" s="8"/>
      <c r="T143" s="8"/>
      <c r="U143" s="8"/>
      <c r="V143" s="8"/>
    </row>
    <row r="144" spans="1:22" ht="15" customHeight="1" x14ac:dyDescent="0.3">
      <c r="B144" s="8"/>
      <c r="C144" s="8"/>
      <c r="D144" s="8"/>
      <c r="E144" s="8"/>
      <c r="F144" s="8"/>
      <c r="G144" s="8"/>
      <c r="H144" s="8"/>
      <c r="I144" s="8"/>
      <c r="J144" s="8"/>
      <c r="K144" s="8"/>
      <c r="L144" s="8"/>
      <c r="M144" s="8"/>
      <c r="N144" s="8"/>
      <c r="O144" s="8"/>
      <c r="P144" s="8"/>
      <c r="Q144" s="8"/>
      <c r="R144" s="8"/>
      <c r="S144" s="8"/>
      <c r="T144" s="8"/>
      <c r="U144" s="8"/>
      <c r="V144" s="8"/>
    </row>
    <row r="145" spans="1:36" s="10" customFormat="1" ht="15" customHeight="1" x14ac:dyDescent="0.25">
      <c r="A145" s="10" t="s">
        <v>142</v>
      </c>
      <c r="B145" s="11">
        <f>+B7+B25+B33+B39+B45+B56+B64+B71+B79+B86+B90+B96+B104+B111+B118+B125+B131+B137</f>
        <v>179519.87176248</v>
      </c>
      <c r="C145" s="11">
        <f t="shared" ref="C145:Q145" si="134">+C7+C25+C33+C39+C45+C56+C64+C71+C79+C86+C90+C96+C104+C111+C118+C125+C131+C137</f>
        <v>132384.33122927998</v>
      </c>
      <c r="D145" s="11">
        <f t="shared" si="134"/>
        <v>141500.74761903999</v>
      </c>
      <c r="E145" s="11">
        <f>SUM(B145:D145)</f>
        <v>453404.95061079995</v>
      </c>
      <c r="F145" s="11">
        <f t="shared" si="134"/>
        <v>232413.72224410003</v>
      </c>
      <c r="G145" s="11">
        <f t="shared" si="134"/>
        <v>202202.04966383998</v>
      </c>
      <c r="H145" s="11">
        <f t="shared" si="134"/>
        <v>154897.89386274002</v>
      </c>
      <c r="I145" s="11">
        <f>SUM(F145:H145)</f>
        <v>589513.66577068006</v>
      </c>
      <c r="J145" s="11">
        <f t="shared" ref="J145" si="135">+E145+I145</f>
        <v>1042918.61638148</v>
      </c>
      <c r="K145" s="11">
        <f t="shared" si="134"/>
        <v>175702.89616480001</v>
      </c>
      <c r="L145" s="11">
        <f t="shared" si="134"/>
        <v>203578.13494005002</v>
      </c>
      <c r="M145" s="11">
        <f t="shared" si="134"/>
        <v>144519.18648499995</v>
      </c>
      <c r="N145" s="11">
        <f>SUM(K145:M145)</f>
        <v>523800.21758984996</v>
      </c>
      <c r="O145" s="11">
        <f t="shared" si="134"/>
        <v>176705.22081597996</v>
      </c>
      <c r="P145" s="11">
        <f t="shared" si="134"/>
        <v>229400.36179547998</v>
      </c>
      <c r="Q145" s="11">
        <f t="shared" si="134"/>
        <v>160162.12685768001</v>
      </c>
      <c r="R145" s="11">
        <f>SUM(O145:Q145)</f>
        <v>566267.70946913993</v>
      </c>
      <c r="S145" s="11">
        <f t="shared" ref="S145" si="136">+N145+R145</f>
        <v>1090067.9270589899</v>
      </c>
      <c r="T145" s="11">
        <f>+J145+S145</f>
        <v>2132986.54344047</v>
      </c>
      <c r="U145" s="11"/>
      <c r="V145" s="11"/>
    </row>
    <row r="146" spans="1:36" ht="15" customHeight="1" x14ac:dyDescent="0.3">
      <c r="B146" s="8"/>
      <c r="C146" s="8"/>
      <c r="D146" s="8"/>
      <c r="E146" s="8"/>
      <c r="F146" s="8"/>
      <c r="G146" s="8"/>
      <c r="H146" s="8"/>
      <c r="I146" s="8"/>
      <c r="J146" s="8"/>
      <c r="K146" s="8"/>
      <c r="L146" s="8"/>
      <c r="M146" s="8"/>
      <c r="N146" s="8"/>
      <c r="O146" s="8"/>
      <c r="P146" s="8"/>
      <c r="Q146" s="8"/>
      <c r="R146" s="8"/>
      <c r="S146" s="8"/>
      <c r="T146" s="8"/>
      <c r="U146" s="8"/>
      <c r="V146" s="8"/>
    </row>
    <row r="147" spans="1:36" s="10" customFormat="1" ht="15" customHeight="1" x14ac:dyDescent="0.25">
      <c r="A147" s="10" t="s">
        <v>143</v>
      </c>
      <c r="B147" s="11">
        <v>5515.0537506900009</v>
      </c>
      <c r="C147" s="11">
        <v>3327.9655175600001</v>
      </c>
      <c r="D147" s="11">
        <v>6311.81437362</v>
      </c>
      <c r="E147" s="11">
        <f>SUM(B147:D147)</f>
        <v>15154.833641870002</v>
      </c>
      <c r="F147" s="11">
        <v>5674.9632012499997</v>
      </c>
      <c r="G147" s="11">
        <v>3215.6262773000003</v>
      </c>
      <c r="H147" s="11">
        <v>5305.1340127199992</v>
      </c>
      <c r="I147" s="11">
        <f>SUM(F147:H147)</f>
        <v>14195.723491270001</v>
      </c>
      <c r="J147" s="11">
        <f t="shared" ref="J147" si="137">+E147+I147</f>
        <v>29350.557133140002</v>
      </c>
      <c r="K147" s="11">
        <v>5223.388568809999</v>
      </c>
      <c r="L147" s="11">
        <v>2945.7194853199999</v>
      </c>
      <c r="M147" s="11">
        <v>6364.4777979300006</v>
      </c>
      <c r="N147" s="11">
        <f>SUM(K147:M147)</f>
        <v>14533.58585206</v>
      </c>
      <c r="O147" s="11">
        <v>2736.8244423900001</v>
      </c>
      <c r="P147" s="11">
        <v>3125.5624723400001</v>
      </c>
      <c r="Q147" s="11">
        <v>3512.5951318800003</v>
      </c>
      <c r="R147" s="11">
        <f>SUM(O147:Q147)</f>
        <v>9374.9820466100009</v>
      </c>
      <c r="S147" s="11">
        <f t="shared" ref="S147" si="138">+N147+R147</f>
        <v>23908.56789867</v>
      </c>
      <c r="T147" s="11">
        <f>+J147+S147</f>
        <v>53259.125031810006</v>
      </c>
      <c r="U147" s="11"/>
      <c r="V147" s="11"/>
      <c r="W147" s="15"/>
      <c r="X147" s="15"/>
      <c r="Y147" s="15"/>
      <c r="Z147" s="15"/>
      <c r="AA147" s="15"/>
      <c r="AB147" s="15"/>
      <c r="AC147" s="15"/>
      <c r="AD147" s="15"/>
      <c r="AE147" s="15"/>
      <c r="AF147" s="15"/>
      <c r="AG147" s="15"/>
      <c r="AH147" s="15"/>
      <c r="AI147" s="15"/>
      <c r="AJ147" s="15"/>
    </row>
    <row r="148" spans="1:36" s="10" customFormat="1" ht="15" customHeight="1" x14ac:dyDescent="0.2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spans="1:36" s="10" customFormat="1" ht="15" customHeight="1" x14ac:dyDescent="0.25">
      <c r="A149" s="10" t="s">
        <v>144</v>
      </c>
      <c r="B149" s="15">
        <v>10.99473351</v>
      </c>
      <c r="C149" s="15">
        <v>9.6177022300000008</v>
      </c>
      <c r="D149" s="15">
        <v>72.929937160000009</v>
      </c>
      <c r="E149" s="15">
        <f>SUM(B149:D149)</f>
        <v>93.542372900000004</v>
      </c>
      <c r="F149" s="15">
        <v>11.064167269999999</v>
      </c>
      <c r="G149" s="15">
        <v>16.279186490000004</v>
      </c>
      <c r="H149" s="15">
        <v>5.9656450499999991</v>
      </c>
      <c r="I149" s="15">
        <f>SUM(F149:H149)</f>
        <v>33.308998810000006</v>
      </c>
      <c r="J149" s="15">
        <f t="shared" ref="J149" si="139">+E149+I149</f>
        <v>126.85137171000001</v>
      </c>
      <c r="K149" s="15">
        <v>6.4032837400000009</v>
      </c>
      <c r="L149" s="15">
        <v>6.0856771699999976</v>
      </c>
      <c r="M149" s="15">
        <v>8.5960772900000002</v>
      </c>
      <c r="N149" s="15">
        <f>SUM(K149:M149)</f>
        <v>21.0850382</v>
      </c>
      <c r="O149" s="15">
        <v>10.823999639999998</v>
      </c>
      <c r="P149" s="15">
        <v>8.3217471400000029</v>
      </c>
      <c r="Q149" s="15">
        <v>6.3537266299999997</v>
      </c>
      <c r="R149" s="15">
        <f>SUM(O149:Q149)</f>
        <v>25.499473410000004</v>
      </c>
      <c r="S149" s="15">
        <f t="shared" ref="S149" si="140">+N149+R149</f>
        <v>46.584511610000007</v>
      </c>
      <c r="T149" s="15">
        <f>+J149+S149</f>
        <v>173.43588332000002</v>
      </c>
      <c r="U149" s="15"/>
      <c r="V149" s="15"/>
      <c r="W149" s="15"/>
      <c r="X149" s="15"/>
      <c r="Y149" s="15"/>
      <c r="Z149" s="15"/>
      <c r="AA149" s="15"/>
      <c r="AB149" s="15"/>
      <c r="AC149" s="15"/>
      <c r="AD149" s="15"/>
      <c r="AE149" s="15"/>
      <c r="AF149" s="15"/>
      <c r="AG149" s="15"/>
      <c r="AH149" s="15"/>
      <c r="AI149" s="15"/>
      <c r="AJ149" s="15"/>
    </row>
    <row r="150" spans="1:36" s="10" customFormat="1" ht="15" customHeight="1" x14ac:dyDescent="0.2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spans="1:36" s="10" customFormat="1" ht="15" customHeight="1" x14ac:dyDescent="0.25">
      <c r="A151" s="10" t="s">
        <v>145</v>
      </c>
      <c r="B151" s="15">
        <f>+B145+B147+B149</f>
        <v>185045.92024668001</v>
      </c>
      <c r="C151" s="15">
        <f t="shared" ref="C151:Q151" si="141">+C145+C147+C149</f>
        <v>135721.91444906997</v>
      </c>
      <c r="D151" s="15">
        <f t="shared" si="141"/>
        <v>147885.49192981998</v>
      </c>
      <c r="E151" s="15">
        <f>SUM(B151:D151)</f>
        <v>468653.32662556996</v>
      </c>
      <c r="F151" s="15">
        <f t="shared" si="141"/>
        <v>238099.74961262004</v>
      </c>
      <c r="G151" s="15">
        <f t="shared" si="141"/>
        <v>205433.95512762998</v>
      </c>
      <c r="H151" s="15">
        <f t="shared" si="141"/>
        <v>160208.99352051</v>
      </c>
      <c r="I151" s="15">
        <f>SUM(F151:H151)</f>
        <v>603742.69826076005</v>
      </c>
      <c r="J151" s="15">
        <f t="shared" ref="J151" si="142">+E151+I151</f>
        <v>1072396.0248863301</v>
      </c>
      <c r="K151" s="15">
        <f t="shared" si="141"/>
        <v>180932.68801735001</v>
      </c>
      <c r="L151" s="15">
        <f t="shared" si="141"/>
        <v>206529.94010254001</v>
      </c>
      <c r="M151" s="15">
        <f t="shared" si="141"/>
        <v>150892.26036021998</v>
      </c>
      <c r="N151" s="15">
        <f>SUM(K151:M151)</f>
        <v>538354.88848010998</v>
      </c>
      <c r="O151" s="15">
        <f t="shared" si="141"/>
        <v>179452.86925800997</v>
      </c>
      <c r="P151" s="15">
        <f t="shared" si="141"/>
        <v>232534.24601495999</v>
      </c>
      <c r="Q151" s="15">
        <f t="shared" si="141"/>
        <v>163681.07571619001</v>
      </c>
      <c r="R151" s="15">
        <f>SUM(O151:Q151)</f>
        <v>575668.19098915998</v>
      </c>
      <c r="S151" s="15">
        <f t="shared" ref="S151" si="143">+N151+R151</f>
        <v>1114023.0794692701</v>
      </c>
      <c r="T151" s="15">
        <f>+J151+S151</f>
        <v>2186419.1043556002</v>
      </c>
      <c r="U151" s="15"/>
      <c r="V151" s="15"/>
      <c r="W151" s="15"/>
      <c r="X151" s="15"/>
      <c r="Y151" s="15"/>
      <c r="Z151" s="15"/>
      <c r="AA151" s="15"/>
      <c r="AB151" s="15"/>
      <c r="AC151" s="15"/>
      <c r="AD151" s="15"/>
      <c r="AE151" s="15"/>
      <c r="AF151" s="15"/>
      <c r="AG151" s="15"/>
      <c r="AH151" s="15"/>
      <c r="AI151" s="15"/>
      <c r="AJ151" s="15"/>
    </row>
    <row r="152" spans="1:36" s="10" customFormat="1" ht="15" customHeight="1" x14ac:dyDescent="0.2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spans="1:36" s="10" customFormat="1" ht="15" customHeight="1" x14ac:dyDescent="0.25">
      <c r="A153" s="10" t="s">
        <v>146</v>
      </c>
      <c r="B153" s="15">
        <v>0</v>
      </c>
      <c r="C153" s="15">
        <v>0</v>
      </c>
      <c r="D153" s="15">
        <v>-2003.8877362000001</v>
      </c>
      <c r="E153" s="15">
        <f>SUM(B153:D153)</f>
        <v>-2003.8877362000001</v>
      </c>
      <c r="F153" s="15">
        <v>-1105.2144867100001</v>
      </c>
      <c r="G153" s="15">
        <v>-637.5147005</v>
      </c>
      <c r="H153" s="15">
        <v>-2368.6111314400005</v>
      </c>
      <c r="I153" s="15">
        <f>SUM(F153:H153)</f>
        <v>-4111.34031865</v>
      </c>
      <c r="J153" s="15">
        <f t="shared" ref="J153" si="144">+E153+I153</f>
        <v>-6115.2280548500003</v>
      </c>
      <c r="K153" s="15">
        <v>-604.39275719000011</v>
      </c>
      <c r="L153" s="15">
        <v>-814.82219376000012</v>
      </c>
      <c r="M153" s="15">
        <v>-751.24334681000005</v>
      </c>
      <c r="N153" s="15">
        <f>SUM(K153:M153)</f>
        <v>-2170.4582977600003</v>
      </c>
      <c r="O153" s="15">
        <v>-1219.16696316</v>
      </c>
      <c r="P153" s="15">
        <v>-480.79499912</v>
      </c>
      <c r="Q153" s="15">
        <v>-928.72009727000022</v>
      </c>
      <c r="R153" s="15">
        <f>SUM(O153:Q153)</f>
        <v>-2628.6820595500003</v>
      </c>
      <c r="S153" s="15">
        <f t="shared" ref="S153" si="145">+N153+R153</f>
        <v>-4799.1403573100006</v>
      </c>
      <c r="T153" s="15">
        <f>+J153+S153</f>
        <v>-10914.368412160002</v>
      </c>
      <c r="U153" s="15"/>
      <c r="V153" s="15"/>
      <c r="W153" s="15"/>
      <c r="X153" s="15"/>
      <c r="Y153" s="15"/>
      <c r="Z153" s="15"/>
      <c r="AA153" s="15"/>
      <c r="AB153" s="15"/>
      <c r="AC153" s="15"/>
      <c r="AD153" s="15"/>
      <c r="AE153" s="15"/>
      <c r="AF153" s="15"/>
      <c r="AG153" s="15"/>
      <c r="AH153" s="15"/>
      <c r="AI153" s="15"/>
      <c r="AJ153" s="15"/>
    </row>
    <row r="154" spans="1:36" s="10" customFormat="1" ht="15" customHeight="1" x14ac:dyDescent="0.2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spans="1:36" s="10" customFormat="1" ht="15" customHeight="1" x14ac:dyDescent="0.25">
      <c r="A155" s="10" t="s">
        <v>147</v>
      </c>
      <c r="B155" s="15">
        <f>+B151+B153</f>
        <v>185045.92024668001</v>
      </c>
      <c r="C155" s="15">
        <f t="shared" ref="C155:Q155" si="146">+C151+C153</f>
        <v>135721.91444906997</v>
      </c>
      <c r="D155" s="15">
        <f t="shared" si="146"/>
        <v>145881.60419361998</v>
      </c>
      <c r="E155" s="15">
        <f>SUM(B155:D155)</f>
        <v>466649.43888936995</v>
      </c>
      <c r="F155" s="15">
        <f t="shared" si="146"/>
        <v>236994.53512591004</v>
      </c>
      <c r="G155" s="15">
        <f t="shared" si="146"/>
        <v>204796.44042712997</v>
      </c>
      <c r="H155" s="15">
        <f t="shared" si="146"/>
        <v>157840.38238907</v>
      </c>
      <c r="I155" s="15">
        <f>SUM(F155:H155)</f>
        <v>599631.35794211004</v>
      </c>
      <c r="J155" s="15">
        <f t="shared" ref="J155" si="147">+E155+I155</f>
        <v>1066280.79683148</v>
      </c>
      <c r="K155" s="15">
        <f t="shared" si="146"/>
        <v>180328.29526016</v>
      </c>
      <c r="L155" s="15">
        <f t="shared" si="146"/>
        <v>205715.11790878003</v>
      </c>
      <c r="M155" s="15">
        <f t="shared" si="146"/>
        <v>150141.01701340999</v>
      </c>
      <c r="N155" s="15">
        <f>SUM(K155:M155)</f>
        <v>536184.43018234998</v>
      </c>
      <c r="O155" s="15">
        <f t="shared" si="146"/>
        <v>178233.70229484997</v>
      </c>
      <c r="P155" s="15">
        <f t="shared" si="146"/>
        <v>232053.45101583999</v>
      </c>
      <c r="Q155" s="15">
        <f t="shared" si="146"/>
        <v>162752.35561892</v>
      </c>
      <c r="R155" s="15">
        <f>SUM(O155:Q155)</f>
        <v>573039.50892961002</v>
      </c>
      <c r="S155" s="15">
        <f t="shared" ref="S155" si="148">+N155+R155</f>
        <v>1109223.9391119601</v>
      </c>
      <c r="T155" s="15">
        <f>+J155+S155</f>
        <v>2175504.7359434403</v>
      </c>
      <c r="U155" s="15"/>
      <c r="V155" s="15"/>
      <c r="W155" s="15"/>
      <c r="X155" s="15"/>
      <c r="Y155" s="15"/>
      <c r="Z155" s="15"/>
      <c r="AA155" s="15"/>
      <c r="AB155" s="15"/>
      <c r="AC155" s="15"/>
      <c r="AD155" s="15"/>
      <c r="AE155" s="15"/>
      <c r="AF155" s="15"/>
      <c r="AG155" s="15"/>
      <c r="AH155" s="15"/>
      <c r="AI155" s="15"/>
      <c r="AJ155" s="15"/>
    </row>
    <row r="156" spans="1:36" s="10" customFormat="1" ht="15" customHeight="1" thickBot="1" x14ac:dyDescent="0.3">
      <c r="A156" s="16"/>
      <c r="B156" s="17"/>
      <c r="C156" s="17"/>
      <c r="D156" s="17"/>
      <c r="E156" s="17"/>
      <c r="F156" s="17"/>
      <c r="G156" s="17"/>
      <c r="H156" s="17"/>
      <c r="I156" s="17"/>
      <c r="J156" s="17"/>
      <c r="K156" s="17"/>
      <c r="L156" s="17"/>
      <c r="M156" s="17"/>
      <c r="N156" s="17"/>
      <c r="O156" s="17"/>
      <c r="P156" s="17"/>
      <c r="Q156" s="17"/>
      <c r="R156" s="17"/>
      <c r="S156" s="17"/>
      <c r="T156" s="17"/>
      <c r="U156" s="15"/>
      <c r="V156" s="15"/>
      <c r="W156" s="15"/>
      <c r="X156" s="15"/>
      <c r="Y156" s="15"/>
      <c r="Z156" s="15"/>
      <c r="AA156" s="15"/>
      <c r="AB156" s="15"/>
      <c r="AC156" s="15"/>
      <c r="AD156" s="15"/>
      <c r="AE156" s="15"/>
      <c r="AF156" s="15"/>
      <c r="AG156" s="15"/>
      <c r="AH156" s="15"/>
      <c r="AI156" s="15"/>
      <c r="AJ156" s="15"/>
    </row>
    <row r="157" spans="1:36" s="10" customFormat="1" ht="15" customHeight="1" thickTop="1" x14ac:dyDescent="0.25">
      <c r="A157" s="18" t="s">
        <v>148</v>
      </c>
      <c r="B157" s="19"/>
      <c r="C157" s="19"/>
      <c r="D157" s="19"/>
      <c r="E157" s="19"/>
      <c r="F157" s="19"/>
      <c r="G157" s="19"/>
      <c r="H157" s="19"/>
      <c r="I157" s="19"/>
      <c r="J157" s="19"/>
      <c r="K157" s="19"/>
      <c r="L157" s="19"/>
      <c r="M157" s="19"/>
      <c r="N157" s="19"/>
      <c r="O157" s="19"/>
      <c r="P157" s="19"/>
      <c r="Q157" s="19"/>
      <c r="R157" s="19"/>
      <c r="S157" s="19"/>
      <c r="T157" s="19"/>
      <c r="U157" s="15"/>
      <c r="V157" s="15"/>
      <c r="W157" s="15"/>
      <c r="X157" s="15"/>
      <c r="Y157" s="15"/>
      <c r="Z157" s="15"/>
      <c r="AA157" s="15"/>
      <c r="AB157" s="15"/>
      <c r="AC157" s="15"/>
      <c r="AD157" s="15"/>
      <c r="AE157" s="15"/>
      <c r="AF157" s="15"/>
      <c r="AG157" s="15"/>
      <c r="AH157" s="15"/>
      <c r="AI157" s="15"/>
      <c r="AJ157" s="15"/>
    </row>
    <row r="158" spans="1:36" s="10" customFormat="1" ht="15" customHeight="1" x14ac:dyDescent="0.25">
      <c r="A158" s="18"/>
      <c r="B158" s="19"/>
      <c r="C158" s="19"/>
      <c r="D158" s="19"/>
      <c r="E158" s="19"/>
      <c r="F158" s="19"/>
      <c r="G158" s="19"/>
      <c r="H158" s="19"/>
      <c r="I158" s="19"/>
      <c r="J158" s="19"/>
      <c r="K158" s="19"/>
      <c r="L158" s="19"/>
      <c r="M158" s="19"/>
      <c r="N158" s="19"/>
      <c r="O158" s="19"/>
      <c r="P158" s="19"/>
      <c r="Q158" s="19"/>
      <c r="R158" s="19"/>
      <c r="S158" s="19"/>
      <c r="T158" s="19"/>
      <c r="U158" s="15"/>
      <c r="V158" s="15"/>
      <c r="W158" s="15"/>
      <c r="X158" s="15"/>
      <c r="Y158" s="15"/>
      <c r="Z158" s="15"/>
      <c r="AA158" s="15"/>
      <c r="AB158" s="15"/>
      <c r="AC158" s="15"/>
      <c r="AD158" s="15"/>
      <c r="AE158" s="15"/>
      <c r="AF158" s="15"/>
      <c r="AG158" s="15"/>
      <c r="AH158" s="15"/>
      <c r="AI158" s="15"/>
      <c r="AJ158" s="15"/>
    </row>
    <row r="159" spans="1:36" s="10" customFormat="1" ht="15" customHeight="1" x14ac:dyDescent="0.3">
      <c r="A159" s="20" t="s">
        <v>149</v>
      </c>
      <c r="B159" s="21"/>
      <c r="C159" s="21"/>
      <c r="D159" s="21"/>
      <c r="E159" s="21"/>
      <c r="F159" s="21"/>
      <c r="G159" s="21"/>
      <c r="H159" s="21"/>
      <c r="I159" s="21"/>
      <c r="J159" s="21"/>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spans="1:36" s="10" customFormat="1" ht="15" customHeight="1" x14ac:dyDescent="0.3">
      <c r="A160" s="20" t="s">
        <v>173</v>
      </c>
      <c r="B160" s="22"/>
      <c r="C160" s="22"/>
      <c r="D160" s="22"/>
      <c r="E160" s="22"/>
      <c r="F160" s="22"/>
      <c r="G160" s="22"/>
      <c r="H160" s="22"/>
      <c r="I160" s="22"/>
      <c r="J160" s="22"/>
    </row>
    <row r="161" spans="1:10" ht="15" customHeight="1" x14ac:dyDescent="0.3">
      <c r="A161" s="23" t="s">
        <v>150</v>
      </c>
      <c r="B161" s="24"/>
      <c r="C161" s="24"/>
      <c r="D161" s="24"/>
      <c r="E161" s="24"/>
      <c r="F161" s="24"/>
      <c r="G161" s="24"/>
      <c r="H161" s="24"/>
      <c r="I161" s="24"/>
      <c r="J161" s="24"/>
    </row>
    <row r="162" spans="1:10" s="24" customFormat="1" ht="17.100000000000001" customHeight="1" x14ac:dyDescent="0.3">
      <c r="A162" s="25" t="s">
        <v>151</v>
      </c>
    </row>
    <row r="163" spans="1:10" s="24" customFormat="1" ht="17.100000000000001" customHeight="1" x14ac:dyDescent="0.3">
      <c r="A163" s="25" t="s">
        <v>152</v>
      </c>
    </row>
    <row r="164" spans="1:10" s="24" customFormat="1" ht="17.100000000000001" customHeight="1" x14ac:dyDescent="0.3">
      <c r="A164" s="25" t="s">
        <v>153</v>
      </c>
    </row>
    <row r="165" spans="1:10" s="24" customFormat="1" ht="17.100000000000001" customHeight="1" x14ac:dyDescent="0.3">
      <c r="A165" s="25" t="s">
        <v>154</v>
      </c>
    </row>
    <row r="166" spans="1:10" s="24" customFormat="1" ht="17.100000000000001" customHeight="1" x14ac:dyDescent="0.3">
      <c r="A166" s="25" t="s">
        <v>155</v>
      </c>
    </row>
    <row r="167" spans="1:10" s="24" customFormat="1" ht="15.95" customHeight="1" x14ac:dyDescent="0.3">
      <c r="A167" s="55" t="s">
        <v>156</v>
      </c>
      <c r="B167" s="55"/>
      <c r="C167" s="55"/>
      <c r="D167" s="55"/>
      <c r="E167" s="55"/>
      <c r="F167" s="55"/>
      <c r="G167" s="55"/>
      <c r="H167" s="55"/>
      <c r="I167" s="55"/>
      <c r="J167" s="55"/>
    </row>
    <row r="168" spans="1:10" s="24" customFormat="1" ht="15.95" customHeight="1" x14ac:dyDescent="0.3">
      <c r="A168" s="55"/>
      <c r="B168" s="55"/>
      <c r="C168" s="55"/>
      <c r="D168" s="55"/>
      <c r="E168" s="55"/>
      <c r="F168" s="55"/>
      <c r="G168" s="55"/>
      <c r="H168" s="55"/>
      <c r="I168" s="55"/>
      <c r="J168" s="55"/>
    </row>
    <row r="169" spans="1:10" s="24" customFormat="1" ht="17.100000000000001" customHeight="1" x14ac:dyDescent="0.3">
      <c r="A169" s="25" t="s">
        <v>157</v>
      </c>
    </row>
    <row r="170" spans="1:10" s="24" customFormat="1" ht="17.100000000000001" customHeight="1" x14ac:dyDescent="0.3">
      <c r="A170" s="25" t="s">
        <v>158</v>
      </c>
    </row>
    <row r="171" spans="1:10" s="24" customFormat="1" ht="15.95" customHeight="1" x14ac:dyDescent="0.3">
      <c r="A171" s="55" t="s">
        <v>159</v>
      </c>
      <c r="B171" s="55"/>
      <c r="C171" s="55"/>
      <c r="D171" s="55"/>
      <c r="E171" s="55"/>
      <c r="F171" s="55"/>
      <c r="G171" s="55"/>
      <c r="H171" s="55"/>
      <c r="I171" s="55"/>
      <c r="J171" s="55"/>
    </row>
    <row r="172" spans="1:10" s="24" customFormat="1" ht="15.95" customHeight="1" x14ac:dyDescent="0.3">
      <c r="A172" s="55"/>
      <c r="B172" s="55"/>
      <c r="C172" s="55"/>
      <c r="D172" s="55"/>
      <c r="E172" s="55"/>
      <c r="F172" s="55"/>
      <c r="G172" s="55"/>
      <c r="H172" s="55"/>
      <c r="I172" s="55"/>
      <c r="J172" s="55"/>
    </row>
    <row r="173" spans="1:10" s="24" customFormat="1" ht="17.100000000000001" customHeight="1" x14ac:dyDescent="0.3">
      <c r="A173" s="25" t="s">
        <v>160</v>
      </c>
    </row>
    <row r="174" spans="1:10" s="24" customFormat="1" ht="17.100000000000001" customHeight="1" x14ac:dyDescent="0.3">
      <c r="A174" s="25" t="s">
        <v>161</v>
      </c>
    </row>
    <row r="175" spans="1:10" s="24" customFormat="1" ht="17.100000000000001" customHeight="1" x14ac:dyDescent="0.3">
      <c r="A175" s="25" t="s">
        <v>162</v>
      </c>
      <c r="B175" s="25"/>
      <c r="C175" s="25"/>
      <c r="D175" s="25"/>
      <c r="E175" s="25"/>
      <c r="F175" s="25"/>
      <c r="G175" s="25"/>
      <c r="H175" s="25"/>
      <c r="I175" s="25"/>
      <c r="J175" s="25"/>
    </row>
    <row r="176" spans="1:10" s="24" customFormat="1" ht="17.100000000000001" customHeight="1" x14ac:dyDescent="0.3">
      <c r="A176" s="25" t="s">
        <v>163</v>
      </c>
    </row>
    <row r="177" spans="1:1" s="24" customFormat="1" ht="17.100000000000001" customHeight="1" x14ac:dyDescent="0.3">
      <c r="A177" s="25" t="s">
        <v>164</v>
      </c>
    </row>
    <row r="178" spans="1:1" s="24" customFormat="1" ht="13.5" x14ac:dyDescent="0.3"/>
    <row r="179" spans="1:1" s="24" customFormat="1" ht="13.5" x14ac:dyDescent="0.3"/>
    <row r="180" spans="1:1" s="24" customFormat="1" x14ac:dyDescent="0.3">
      <c r="A180" s="1"/>
    </row>
    <row r="181" spans="1:1" s="24" customFormat="1" ht="13.5" x14ac:dyDescent="0.3"/>
    <row r="182" spans="1:1" s="24" customFormat="1" ht="13.5" x14ac:dyDescent="0.3"/>
    <row r="183" spans="1:1" s="24" customFormat="1" ht="13.5" x14ac:dyDescent="0.3"/>
    <row r="184" spans="1:1" s="24" customFormat="1" ht="13.5" x14ac:dyDescent="0.3"/>
  </sheetData>
  <mergeCells count="2">
    <mergeCell ref="A167:J168"/>
    <mergeCell ref="A171:J172"/>
  </mergeCells>
  <printOptions horizontalCentered="1"/>
  <pageMargins left="0.2" right="0.2" top="0.5" bottom="0.5" header="0.3" footer="0.3"/>
  <pageSetup paperSize="14" scale="85" orientation="landscape" r:id="rId1"/>
  <headerFooter>
    <oddFooter>&amp;C&amp;"Century Gothic,Regular"&amp;8Page &amp;P of &amp;N</oddFooter>
  </headerFooter>
  <rowBreaks count="3" manualBreakCount="3">
    <brk id="78" max="16383" man="1"/>
    <brk id="110" max="16383" man="1"/>
    <brk id="14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24BBD-A1EA-48C0-AF4B-B59197E5920D}">
  <dimension ref="A1:AJ184"/>
  <sheetViews>
    <sheetView workbookViewId="0">
      <selection activeCell="A3" sqref="A3"/>
    </sheetView>
  </sheetViews>
  <sheetFormatPr defaultRowHeight="14.25" x14ac:dyDescent="0.3"/>
  <cols>
    <col min="1" max="1" width="50.625" style="3" customWidth="1"/>
    <col min="2" max="20" width="11.625" style="3" customWidth="1"/>
    <col min="21" max="16384" width="9" style="3"/>
  </cols>
  <sheetData>
    <row r="1" spans="1:22" x14ac:dyDescent="0.3">
      <c r="A1" s="1" t="s">
        <v>0</v>
      </c>
      <c r="B1" s="1"/>
      <c r="C1" s="1"/>
      <c r="D1" s="1"/>
      <c r="E1" s="1"/>
      <c r="F1" s="1"/>
      <c r="G1" s="1"/>
      <c r="H1" s="1"/>
      <c r="I1" s="1"/>
      <c r="J1" s="1"/>
      <c r="K1" s="1"/>
      <c r="L1" s="1"/>
      <c r="M1" s="1"/>
      <c r="N1" s="1"/>
      <c r="O1" s="1"/>
      <c r="P1" s="1"/>
      <c r="Q1" s="1"/>
      <c r="R1" s="2"/>
      <c r="S1" s="2"/>
    </row>
    <row r="2" spans="1:22" x14ac:dyDescent="0.3">
      <c r="A2" s="1" t="s">
        <v>174</v>
      </c>
      <c r="B2" s="1"/>
      <c r="C2" s="1"/>
      <c r="D2" s="1"/>
      <c r="E2" s="1"/>
      <c r="F2" s="1"/>
      <c r="G2" s="1"/>
      <c r="H2" s="1"/>
      <c r="I2" s="1"/>
      <c r="J2" s="1"/>
      <c r="K2" s="1"/>
      <c r="L2" s="1"/>
      <c r="M2" s="1"/>
      <c r="N2" s="1"/>
      <c r="O2" s="1"/>
      <c r="P2" s="1"/>
      <c r="Q2" s="1"/>
      <c r="R2" s="2"/>
      <c r="S2" s="2"/>
    </row>
    <row r="3" spans="1:22" x14ac:dyDescent="0.3">
      <c r="A3" s="1" t="s">
        <v>1</v>
      </c>
      <c r="B3" s="1"/>
      <c r="C3" s="1"/>
      <c r="D3" s="1"/>
      <c r="E3" s="1"/>
      <c r="F3" s="1"/>
      <c r="G3" s="1"/>
      <c r="H3" s="1"/>
      <c r="I3" s="1"/>
      <c r="J3" s="1"/>
      <c r="K3" s="1"/>
      <c r="L3" s="1"/>
      <c r="M3" s="1"/>
      <c r="N3" s="1"/>
      <c r="O3" s="1"/>
      <c r="P3" s="1"/>
      <c r="Q3" s="1"/>
      <c r="R3" s="2"/>
      <c r="S3" s="2"/>
    </row>
    <row r="4" spans="1:22" ht="15" thickBot="1" x14ac:dyDescent="0.35"/>
    <row r="5" spans="1:22" s="7" customFormat="1" ht="15" thickTop="1" thickBot="1" x14ac:dyDescent="0.3">
      <c r="A5" s="4" t="s">
        <v>2</v>
      </c>
      <c r="B5" s="5" t="s">
        <v>3</v>
      </c>
      <c r="C5" s="5" t="s">
        <v>4</v>
      </c>
      <c r="D5" s="5" t="s">
        <v>5</v>
      </c>
      <c r="E5" s="5" t="s">
        <v>6</v>
      </c>
      <c r="F5" s="5" t="s">
        <v>7</v>
      </c>
      <c r="G5" s="5" t="s">
        <v>8</v>
      </c>
      <c r="H5" s="5" t="s">
        <v>9</v>
      </c>
      <c r="I5" s="5" t="s">
        <v>10</v>
      </c>
      <c r="J5" s="5" t="s">
        <v>11</v>
      </c>
      <c r="K5" s="5" t="s">
        <v>12</v>
      </c>
      <c r="L5" s="5" t="s">
        <v>13</v>
      </c>
      <c r="M5" s="5" t="s">
        <v>14</v>
      </c>
      <c r="N5" s="5" t="s">
        <v>15</v>
      </c>
      <c r="O5" s="5" t="s">
        <v>16</v>
      </c>
      <c r="P5" s="5" t="s">
        <v>17</v>
      </c>
      <c r="Q5" s="6" t="s">
        <v>18</v>
      </c>
      <c r="R5" s="5" t="s">
        <v>19</v>
      </c>
      <c r="S5" s="5" t="s">
        <v>20</v>
      </c>
      <c r="T5" s="5" t="s">
        <v>21</v>
      </c>
    </row>
    <row r="6" spans="1:22" s="9" customFormat="1" ht="15" thickTop="1" x14ac:dyDescent="0.3">
      <c r="A6" s="3"/>
      <c r="B6" s="8"/>
      <c r="C6" s="8"/>
      <c r="D6" s="8"/>
      <c r="E6" s="8"/>
      <c r="F6" s="8"/>
      <c r="G6" s="8"/>
      <c r="H6" s="8"/>
      <c r="I6" s="8"/>
      <c r="J6" s="8"/>
      <c r="K6" s="8"/>
      <c r="L6" s="8"/>
      <c r="M6" s="8"/>
      <c r="N6" s="8"/>
      <c r="O6" s="8"/>
      <c r="P6" s="8"/>
      <c r="Q6" s="8"/>
      <c r="R6" s="8"/>
      <c r="S6" s="8"/>
      <c r="T6" s="8"/>
      <c r="U6" s="8"/>
      <c r="V6" s="8"/>
    </row>
    <row r="7" spans="1:22" s="10" customFormat="1" ht="15" customHeight="1" x14ac:dyDescent="0.25">
      <c r="A7" s="10" t="s">
        <v>22</v>
      </c>
      <c r="B7" s="11">
        <f>SUM(B8:B23)</f>
        <v>155053.65022371002</v>
      </c>
      <c r="C7" s="11">
        <f t="shared" ref="C7:Q7" si="0">SUM(C8:C23)</f>
        <v>116340.383574484</v>
      </c>
      <c r="D7" s="11">
        <f t="shared" si="0"/>
        <v>107276.31690432999</v>
      </c>
      <c r="E7" s="11">
        <f>SUM(B7:D7)</f>
        <v>378670.35070252401</v>
      </c>
      <c r="F7" s="11">
        <f t="shared" si="0"/>
        <v>75746.874690200013</v>
      </c>
      <c r="G7" s="11">
        <f t="shared" si="0"/>
        <v>94481.985657099998</v>
      </c>
      <c r="H7" s="11">
        <f t="shared" si="0"/>
        <v>237629.19083214004</v>
      </c>
      <c r="I7" s="11">
        <f>SUM(F7:H7)</f>
        <v>407858.05117944005</v>
      </c>
      <c r="J7" s="11">
        <f>+E7+I7</f>
        <v>786528.40188196406</v>
      </c>
      <c r="K7" s="11">
        <f t="shared" si="0"/>
        <v>129303.46209469</v>
      </c>
      <c r="L7" s="11">
        <f t="shared" si="0"/>
        <v>156263.89576825002</v>
      </c>
      <c r="M7" s="11">
        <f t="shared" si="0"/>
        <v>116320.27675296999</v>
      </c>
      <c r="N7" s="11">
        <f>SUM(K7:M7)</f>
        <v>401887.63461591001</v>
      </c>
      <c r="O7" s="11">
        <f t="shared" si="0"/>
        <v>124451.75904852999</v>
      </c>
      <c r="P7" s="11">
        <f t="shared" si="0"/>
        <v>160845.61788481998</v>
      </c>
      <c r="Q7" s="11">
        <f t="shared" si="0"/>
        <v>131970.72481158</v>
      </c>
      <c r="R7" s="11">
        <f>SUM(O7:Q7)</f>
        <v>417268.10174493003</v>
      </c>
      <c r="S7" s="11">
        <f>+N7+R7</f>
        <v>819155.73636084003</v>
      </c>
      <c r="T7" s="11">
        <f>+J7+S7</f>
        <v>1605684.138242804</v>
      </c>
      <c r="U7" s="11"/>
      <c r="V7" s="11"/>
    </row>
    <row r="8" spans="1:22" ht="15" customHeight="1" x14ac:dyDescent="0.3">
      <c r="A8" s="12" t="s">
        <v>23</v>
      </c>
      <c r="B8" s="8">
        <v>600.78672641999981</v>
      </c>
      <c r="C8" s="8">
        <v>435.53293237999981</v>
      </c>
      <c r="D8" s="8">
        <v>336.78237015000002</v>
      </c>
      <c r="E8" s="8">
        <f t="shared" ref="E8:E23" si="1">SUM(B8:D8)</f>
        <v>1373.1020289499997</v>
      </c>
      <c r="F8" s="8">
        <v>78.146975609999984</v>
      </c>
      <c r="G8" s="8">
        <v>125.80107583999985</v>
      </c>
      <c r="H8" s="8">
        <v>804.85078552999971</v>
      </c>
      <c r="I8" s="8">
        <f t="shared" ref="I8:I23" si="2">SUM(F8:H8)</f>
        <v>1008.7988369799996</v>
      </c>
      <c r="J8" s="8">
        <f t="shared" ref="J8:J71" si="3">+E8+I8</f>
        <v>2381.9008659299993</v>
      </c>
      <c r="K8" s="8">
        <v>362.37309897999995</v>
      </c>
      <c r="L8" s="8">
        <v>375.55996061999997</v>
      </c>
      <c r="M8" s="8">
        <v>351.80381856999998</v>
      </c>
      <c r="N8" s="8">
        <f t="shared" ref="N8:N23" si="4">SUM(K8:M8)</f>
        <v>1089.73687817</v>
      </c>
      <c r="O8" s="8">
        <v>415.25838051000011</v>
      </c>
      <c r="P8" s="8">
        <v>507.84530624000018</v>
      </c>
      <c r="Q8" s="8">
        <v>455.26132613999965</v>
      </c>
      <c r="R8" s="8">
        <f t="shared" ref="R8:R23" si="5">SUM(O8:Q8)</f>
        <v>1378.3650128899999</v>
      </c>
      <c r="S8" s="8">
        <f t="shared" ref="S8:S71" si="6">+N8+R8</f>
        <v>2468.1018910599996</v>
      </c>
      <c r="T8" s="8">
        <f t="shared" ref="T8:T23" si="7">+J8+S8</f>
        <v>4850.0027569899994</v>
      </c>
      <c r="U8" s="8"/>
      <c r="V8" s="8"/>
    </row>
    <row r="9" spans="1:22" ht="15" customHeight="1" x14ac:dyDescent="0.3">
      <c r="A9" s="12" t="s">
        <v>24</v>
      </c>
      <c r="B9" s="8">
        <v>668.94861160000039</v>
      </c>
      <c r="C9" s="8">
        <v>465.90251320999977</v>
      </c>
      <c r="D9" s="8">
        <v>392.33649250999974</v>
      </c>
      <c r="E9" s="8">
        <f t="shared" si="1"/>
        <v>1527.1876173199998</v>
      </c>
      <c r="F9" s="8">
        <v>98.970650230000004</v>
      </c>
      <c r="G9" s="8">
        <v>189.80099026000008</v>
      </c>
      <c r="H9" s="8">
        <v>1100.2412959299995</v>
      </c>
      <c r="I9" s="8">
        <f t="shared" si="2"/>
        <v>1389.0129364199997</v>
      </c>
      <c r="J9" s="8">
        <f t="shared" si="3"/>
        <v>2916.2005537399996</v>
      </c>
      <c r="K9" s="8">
        <v>442.17834980000032</v>
      </c>
      <c r="L9" s="8">
        <v>433.18580306999979</v>
      </c>
      <c r="M9" s="8">
        <v>416.80355170000018</v>
      </c>
      <c r="N9" s="8">
        <f t="shared" si="4"/>
        <v>1292.1677045700003</v>
      </c>
      <c r="O9" s="8">
        <v>499.71665060000004</v>
      </c>
      <c r="P9" s="8">
        <v>601.09237733999987</v>
      </c>
      <c r="Q9" s="8">
        <v>473.9851950100005</v>
      </c>
      <c r="R9" s="8">
        <f t="shared" si="5"/>
        <v>1574.7942229500004</v>
      </c>
      <c r="S9" s="8">
        <f t="shared" si="6"/>
        <v>2866.9619275200007</v>
      </c>
      <c r="T9" s="8">
        <f t="shared" si="7"/>
        <v>5783.1624812600003</v>
      </c>
      <c r="U9" s="8"/>
      <c r="V9" s="8"/>
    </row>
    <row r="10" spans="1:22" ht="15" customHeight="1" x14ac:dyDescent="0.3">
      <c r="A10" s="12" t="s">
        <v>25</v>
      </c>
      <c r="B10" s="8">
        <v>10693.427295410003</v>
      </c>
      <c r="C10" s="8">
        <v>8109.8859346499958</v>
      </c>
      <c r="D10" s="8">
        <v>7344.6625727100018</v>
      </c>
      <c r="E10" s="8">
        <f t="shared" si="1"/>
        <v>26147.975802770001</v>
      </c>
      <c r="F10" s="8">
        <v>3104.9629784000008</v>
      </c>
      <c r="G10" s="8">
        <v>4748.8548721899979</v>
      </c>
      <c r="H10" s="8">
        <v>15895.860808979985</v>
      </c>
      <c r="I10" s="8">
        <f t="shared" si="2"/>
        <v>23749.678659569985</v>
      </c>
      <c r="J10" s="8">
        <f t="shared" si="3"/>
        <v>49897.654462339982</v>
      </c>
      <c r="K10" s="8">
        <v>7149.3051553300011</v>
      </c>
      <c r="L10" s="8">
        <v>7609.0702428600025</v>
      </c>
      <c r="M10" s="8">
        <v>9635.263535680002</v>
      </c>
      <c r="N10" s="8">
        <f t="shared" si="4"/>
        <v>24393.638933870006</v>
      </c>
      <c r="O10" s="8">
        <v>9006.4360864999981</v>
      </c>
      <c r="P10" s="8">
        <v>8988.5241808799983</v>
      </c>
      <c r="Q10" s="8">
        <v>8440.8048166599983</v>
      </c>
      <c r="R10" s="8">
        <f t="shared" si="5"/>
        <v>26435.765084039995</v>
      </c>
      <c r="S10" s="8">
        <f t="shared" si="6"/>
        <v>50829.404017909997</v>
      </c>
      <c r="T10" s="8">
        <f t="shared" si="7"/>
        <v>100727.05848024998</v>
      </c>
      <c r="U10" s="8"/>
      <c r="V10" s="8"/>
    </row>
    <row r="11" spans="1:22" ht="15" customHeight="1" x14ac:dyDescent="0.3">
      <c r="A11" s="12" t="s">
        <v>26</v>
      </c>
      <c r="B11" s="8">
        <v>292.06566354999984</v>
      </c>
      <c r="C11" s="8">
        <v>249.83745408000001</v>
      </c>
      <c r="D11" s="8">
        <v>204.43266253999997</v>
      </c>
      <c r="E11" s="8">
        <f t="shared" si="1"/>
        <v>746.33578016999991</v>
      </c>
      <c r="F11" s="8">
        <v>50.939218629999992</v>
      </c>
      <c r="G11" s="8">
        <v>83.013031120000051</v>
      </c>
      <c r="H11" s="8">
        <v>505.91827114999967</v>
      </c>
      <c r="I11" s="8">
        <f t="shared" si="2"/>
        <v>639.87052089999975</v>
      </c>
      <c r="J11" s="8">
        <f t="shared" si="3"/>
        <v>1386.2063010699997</v>
      </c>
      <c r="K11" s="8">
        <v>177.08672404999996</v>
      </c>
      <c r="L11" s="8">
        <v>214.58304160000003</v>
      </c>
      <c r="M11" s="8">
        <v>198.61556068999971</v>
      </c>
      <c r="N11" s="8">
        <f t="shared" si="4"/>
        <v>590.28532633999976</v>
      </c>
      <c r="O11" s="8">
        <v>246.25272038000008</v>
      </c>
      <c r="P11" s="8">
        <v>272.14558084999999</v>
      </c>
      <c r="Q11" s="8">
        <v>261.19024738999985</v>
      </c>
      <c r="R11" s="8">
        <f t="shared" si="5"/>
        <v>779.58854861999987</v>
      </c>
      <c r="S11" s="8">
        <f t="shared" si="6"/>
        <v>1369.8738749599997</v>
      </c>
      <c r="T11" s="8">
        <f t="shared" si="7"/>
        <v>2756.0801760299992</v>
      </c>
      <c r="U11" s="8"/>
      <c r="V11" s="8"/>
    </row>
    <row r="12" spans="1:22" ht="15" customHeight="1" x14ac:dyDescent="0.3">
      <c r="A12" s="12" t="s">
        <v>27</v>
      </c>
      <c r="B12" s="8">
        <v>2566.0136758400017</v>
      </c>
      <c r="C12" s="8">
        <v>1467.6888263600015</v>
      </c>
      <c r="D12" s="8">
        <v>1298.9545545599976</v>
      </c>
      <c r="E12" s="8">
        <f t="shared" si="1"/>
        <v>5332.6570567600011</v>
      </c>
      <c r="F12" s="8">
        <v>766.44462679000048</v>
      </c>
      <c r="G12" s="8">
        <v>729.8356014000002</v>
      </c>
      <c r="H12" s="8">
        <v>3009.9404218099999</v>
      </c>
      <c r="I12" s="8">
        <f t="shared" si="2"/>
        <v>4506.2206500000011</v>
      </c>
      <c r="J12" s="8">
        <f t="shared" si="3"/>
        <v>9838.8777067600022</v>
      </c>
      <c r="K12" s="8">
        <v>1198.5411648300005</v>
      </c>
      <c r="L12" s="8">
        <v>1880.4236628999997</v>
      </c>
      <c r="M12" s="8">
        <v>1081.8822095100004</v>
      </c>
      <c r="N12" s="8">
        <f t="shared" si="4"/>
        <v>4160.8470372400006</v>
      </c>
      <c r="O12" s="8">
        <v>1355.8652570100014</v>
      </c>
      <c r="P12" s="8">
        <v>1704.0733192399982</v>
      </c>
      <c r="Q12" s="8">
        <v>1614.2355707599997</v>
      </c>
      <c r="R12" s="8">
        <f t="shared" si="5"/>
        <v>4674.1741470099996</v>
      </c>
      <c r="S12" s="8">
        <f t="shared" si="6"/>
        <v>8835.0211842499994</v>
      </c>
      <c r="T12" s="8">
        <f t="shared" si="7"/>
        <v>18673.898891010002</v>
      </c>
      <c r="U12" s="8"/>
      <c r="V12" s="8"/>
    </row>
    <row r="13" spans="1:22" ht="15" customHeight="1" x14ac:dyDescent="0.3">
      <c r="A13" s="12" t="s">
        <v>28</v>
      </c>
      <c r="B13" s="8">
        <v>4596.3281651199995</v>
      </c>
      <c r="C13" s="8">
        <v>2881.31037642</v>
      </c>
      <c r="D13" s="8">
        <v>2625.2027089500007</v>
      </c>
      <c r="E13" s="8">
        <f t="shared" si="1"/>
        <v>10102.841250490001</v>
      </c>
      <c r="F13" s="8">
        <v>993.57144864999998</v>
      </c>
      <c r="G13" s="8">
        <v>1856.8933559899997</v>
      </c>
      <c r="H13" s="8">
        <v>5618.5745488599996</v>
      </c>
      <c r="I13" s="8">
        <f t="shared" si="2"/>
        <v>8469.0393535000003</v>
      </c>
      <c r="J13" s="8">
        <f t="shared" si="3"/>
        <v>18571.880603990001</v>
      </c>
      <c r="K13" s="8">
        <v>2815.0873031000001</v>
      </c>
      <c r="L13" s="8">
        <v>3003.4474496599992</v>
      </c>
      <c r="M13" s="8">
        <v>2870.4993033999999</v>
      </c>
      <c r="N13" s="8">
        <f t="shared" si="4"/>
        <v>8689.0340561599987</v>
      </c>
      <c r="O13" s="8">
        <v>3182.1288040800014</v>
      </c>
      <c r="P13" s="8">
        <v>3980.0792124500013</v>
      </c>
      <c r="Q13" s="8">
        <v>5903.4198990700006</v>
      </c>
      <c r="R13" s="8">
        <f t="shared" si="5"/>
        <v>13065.627915600004</v>
      </c>
      <c r="S13" s="8">
        <f t="shared" si="6"/>
        <v>21754.661971760004</v>
      </c>
      <c r="T13" s="8">
        <f t="shared" si="7"/>
        <v>40326.542575750005</v>
      </c>
      <c r="U13" s="8"/>
      <c r="V13" s="8"/>
    </row>
    <row r="14" spans="1:22" ht="18" customHeight="1" x14ac:dyDescent="0.3">
      <c r="A14" s="12" t="s">
        <v>29</v>
      </c>
      <c r="B14" s="8">
        <v>732.7494034500005</v>
      </c>
      <c r="C14" s="8">
        <v>533.85389076000035</v>
      </c>
      <c r="D14" s="8">
        <v>412.84144335000019</v>
      </c>
      <c r="E14" s="8">
        <f t="shared" si="1"/>
        <v>1679.4447375600012</v>
      </c>
      <c r="F14" s="8">
        <v>136.12228529999999</v>
      </c>
      <c r="G14" s="8">
        <v>249.47747967999996</v>
      </c>
      <c r="H14" s="8">
        <v>997.4504010500001</v>
      </c>
      <c r="I14" s="8">
        <f t="shared" si="2"/>
        <v>1383.0501660300001</v>
      </c>
      <c r="J14" s="8">
        <f t="shared" si="3"/>
        <v>3062.4949035900013</v>
      </c>
      <c r="K14" s="8">
        <v>466.07937573000061</v>
      </c>
      <c r="L14" s="8">
        <v>434.28879909999984</v>
      </c>
      <c r="M14" s="8">
        <v>448.41936840000022</v>
      </c>
      <c r="N14" s="8">
        <f t="shared" si="4"/>
        <v>1348.7875432300007</v>
      </c>
      <c r="O14" s="8">
        <v>507.1311250499993</v>
      </c>
      <c r="P14" s="8">
        <v>568.83397683999965</v>
      </c>
      <c r="Q14" s="8">
        <v>522.4276158499996</v>
      </c>
      <c r="R14" s="8">
        <f t="shared" si="5"/>
        <v>1598.3927177399987</v>
      </c>
      <c r="S14" s="8">
        <f t="shared" si="6"/>
        <v>2947.1802609699994</v>
      </c>
      <c r="T14" s="8">
        <f t="shared" si="7"/>
        <v>6009.6751645600007</v>
      </c>
      <c r="U14" s="8"/>
      <c r="V14" s="8"/>
    </row>
    <row r="15" spans="1:22" ht="15" customHeight="1" x14ac:dyDescent="0.3">
      <c r="A15" s="12" t="s">
        <v>30</v>
      </c>
      <c r="B15" s="8">
        <v>1251.1583711499982</v>
      </c>
      <c r="C15" s="8">
        <v>906.64206460999969</v>
      </c>
      <c r="D15" s="8">
        <v>816.81930133000026</v>
      </c>
      <c r="E15" s="8">
        <f t="shared" si="1"/>
        <v>2974.6197370899981</v>
      </c>
      <c r="F15" s="8">
        <v>401.04959476000016</v>
      </c>
      <c r="G15" s="8">
        <v>619.71314738000046</v>
      </c>
      <c r="H15" s="8">
        <v>2176.5846178400016</v>
      </c>
      <c r="I15" s="8">
        <f t="shared" si="2"/>
        <v>3197.3473599800022</v>
      </c>
      <c r="J15" s="8">
        <f t="shared" si="3"/>
        <v>6171.9670970700008</v>
      </c>
      <c r="K15" s="8">
        <v>955.798036279999</v>
      </c>
      <c r="L15" s="8">
        <v>989.43161777000034</v>
      </c>
      <c r="M15" s="8">
        <v>813.44928189000086</v>
      </c>
      <c r="N15" s="8">
        <f t="shared" si="4"/>
        <v>2758.67893594</v>
      </c>
      <c r="O15" s="8">
        <v>859.56378272000006</v>
      </c>
      <c r="P15" s="8">
        <v>1134.9555673900011</v>
      </c>
      <c r="Q15" s="8">
        <v>1120.0083924699995</v>
      </c>
      <c r="R15" s="8">
        <f t="shared" si="5"/>
        <v>3114.5277425800004</v>
      </c>
      <c r="S15" s="8">
        <f t="shared" si="6"/>
        <v>5873.2066785200004</v>
      </c>
      <c r="T15" s="8">
        <f t="shared" si="7"/>
        <v>12045.173775590001</v>
      </c>
      <c r="U15" s="8"/>
      <c r="V15" s="8"/>
    </row>
    <row r="16" spans="1:22" ht="15" customHeight="1" x14ac:dyDescent="0.3">
      <c r="A16" s="12" t="s">
        <v>31</v>
      </c>
      <c r="B16" s="8">
        <v>1804.0309779700005</v>
      </c>
      <c r="C16" s="8">
        <v>1136.9915440500004</v>
      </c>
      <c r="D16" s="8">
        <v>849.53922766000005</v>
      </c>
      <c r="E16" s="8">
        <f t="shared" si="1"/>
        <v>3790.561749680001</v>
      </c>
      <c r="F16" s="8">
        <v>212.74113535999984</v>
      </c>
      <c r="G16" s="8">
        <v>588.90854821000039</v>
      </c>
      <c r="H16" s="8">
        <v>2209.0091321400005</v>
      </c>
      <c r="I16" s="8">
        <f t="shared" si="2"/>
        <v>3010.6588157100005</v>
      </c>
      <c r="J16" s="8">
        <f t="shared" si="3"/>
        <v>6801.2205653900019</v>
      </c>
      <c r="K16" s="8">
        <v>825.27931201000001</v>
      </c>
      <c r="L16" s="8">
        <v>947.73344672999895</v>
      </c>
      <c r="M16" s="8">
        <v>1012.9755699199994</v>
      </c>
      <c r="N16" s="8">
        <f t="shared" si="4"/>
        <v>2785.9883286599984</v>
      </c>
      <c r="O16" s="8">
        <v>1137.2651890600009</v>
      </c>
      <c r="P16" s="8">
        <v>1210.396008689999</v>
      </c>
      <c r="Q16" s="8">
        <v>1514.6801972300004</v>
      </c>
      <c r="R16" s="8">
        <f t="shared" si="5"/>
        <v>3862.3413949800001</v>
      </c>
      <c r="S16" s="8">
        <f t="shared" si="6"/>
        <v>6648.3297236399985</v>
      </c>
      <c r="T16" s="8">
        <f t="shared" si="7"/>
        <v>13449.550289030001</v>
      </c>
      <c r="U16" s="8"/>
      <c r="V16" s="8"/>
    </row>
    <row r="17" spans="1:22" ht="15" customHeight="1" x14ac:dyDescent="0.3">
      <c r="A17" s="12" t="s">
        <v>32</v>
      </c>
      <c r="B17" s="8">
        <v>1798.9138285400011</v>
      </c>
      <c r="C17" s="8">
        <v>1375.5997748399993</v>
      </c>
      <c r="D17" s="8">
        <v>1056.2734240900011</v>
      </c>
      <c r="E17" s="8">
        <f t="shared" si="1"/>
        <v>4230.7870274700017</v>
      </c>
      <c r="F17" s="8">
        <v>304.82306281999973</v>
      </c>
      <c r="G17" s="8">
        <v>791.70870319000039</v>
      </c>
      <c r="H17" s="8">
        <v>3182.1291954100052</v>
      </c>
      <c r="I17" s="8">
        <f t="shared" si="2"/>
        <v>4278.6609614200052</v>
      </c>
      <c r="J17" s="8">
        <f t="shared" si="3"/>
        <v>8509.4479888900059</v>
      </c>
      <c r="K17" s="8">
        <v>1123.6250765500006</v>
      </c>
      <c r="L17" s="8">
        <v>980.83097351999982</v>
      </c>
      <c r="M17" s="8">
        <v>1108.9077795399994</v>
      </c>
      <c r="N17" s="8">
        <f t="shared" si="4"/>
        <v>3213.3638296099998</v>
      </c>
      <c r="O17" s="8">
        <v>1065.4053387400002</v>
      </c>
      <c r="P17" s="8">
        <v>1524.4035561900027</v>
      </c>
      <c r="Q17" s="8">
        <v>1324.2541786899997</v>
      </c>
      <c r="R17" s="8">
        <f t="shared" si="5"/>
        <v>3914.0630736200023</v>
      </c>
      <c r="S17" s="8">
        <f t="shared" si="6"/>
        <v>7127.4269032300017</v>
      </c>
      <c r="T17" s="8">
        <f t="shared" si="7"/>
        <v>15636.874892120008</v>
      </c>
      <c r="U17" s="8"/>
      <c r="V17" s="8"/>
    </row>
    <row r="18" spans="1:22" ht="15" customHeight="1" x14ac:dyDescent="0.3">
      <c r="A18" s="12" t="s">
        <v>33</v>
      </c>
      <c r="B18" s="8">
        <v>4004.0856065500006</v>
      </c>
      <c r="C18" s="8">
        <v>2771.3543605199998</v>
      </c>
      <c r="D18" s="8">
        <v>2132.1746056699999</v>
      </c>
      <c r="E18" s="8">
        <f t="shared" si="1"/>
        <v>8907.6145727399999</v>
      </c>
      <c r="F18" s="8">
        <v>979.98806186000013</v>
      </c>
      <c r="G18" s="8">
        <v>2039.2765187100008</v>
      </c>
      <c r="H18" s="8">
        <v>5927.8809060499989</v>
      </c>
      <c r="I18" s="8">
        <f t="shared" si="2"/>
        <v>8947.1454866200002</v>
      </c>
      <c r="J18" s="8">
        <f t="shared" si="3"/>
        <v>17854.76005936</v>
      </c>
      <c r="K18" s="8">
        <v>2553.9923817599997</v>
      </c>
      <c r="L18" s="8">
        <v>3056.6482463899983</v>
      </c>
      <c r="M18" s="8">
        <v>2249.453853410002</v>
      </c>
      <c r="N18" s="8">
        <f t="shared" si="4"/>
        <v>7860.0944815600005</v>
      </c>
      <c r="O18" s="8">
        <v>2730.1869627600045</v>
      </c>
      <c r="P18" s="8">
        <v>3283.2360089500021</v>
      </c>
      <c r="Q18" s="8">
        <v>2975.0840724300028</v>
      </c>
      <c r="R18" s="8">
        <f t="shared" si="5"/>
        <v>8988.5070441400094</v>
      </c>
      <c r="S18" s="8">
        <f t="shared" si="6"/>
        <v>16848.601525700011</v>
      </c>
      <c r="T18" s="8">
        <f t="shared" si="7"/>
        <v>34703.361585060011</v>
      </c>
      <c r="U18" s="8"/>
      <c r="V18" s="8"/>
    </row>
    <row r="19" spans="1:22" ht="15" customHeight="1" x14ac:dyDescent="0.3">
      <c r="A19" s="12" t="s">
        <v>34</v>
      </c>
      <c r="B19" s="8">
        <v>7264.866456180006</v>
      </c>
      <c r="C19" s="8">
        <v>6011.8293755899986</v>
      </c>
      <c r="D19" s="8">
        <v>4615.9206860699996</v>
      </c>
      <c r="E19" s="8">
        <f t="shared" si="1"/>
        <v>17892.616517840004</v>
      </c>
      <c r="F19" s="8">
        <v>1899.4166384499995</v>
      </c>
      <c r="G19" s="8">
        <v>3051.7395709699995</v>
      </c>
      <c r="H19" s="8">
        <v>11729.243206650001</v>
      </c>
      <c r="I19" s="8">
        <f t="shared" si="2"/>
        <v>16680.399416069999</v>
      </c>
      <c r="J19" s="8">
        <f t="shared" si="3"/>
        <v>34573.015933910006</v>
      </c>
      <c r="K19" s="8">
        <v>5250.2483105999981</v>
      </c>
      <c r="L19" s="8">
        <v>4814.6611080400007</v>
      </c>
      <c r="M19" s="8">
        <v>4784.0044676000016</v>
      </c>
      <c r="N19" s="8">
        <f t="shared" si="4"/>
        <v>14848.913886240001</v>
      </c>
      <c r="O19" s="8">
        <v>5426.9050208299977</v>
      </c>
      <c r="P19" s="8">
        <v>7382.6453983599986</v>
      </c>
      <c r="Q19" s="8">
        <v>6153.817696510002</v>
      </c>
      <c r="R19" s="8">
        <f t="shared" si="5"/>
        <v>18963.368115699999</v>
      </c>
      <c r="S19" s="8">
        <f t="shared" si="6"/>
        <v>33812.282001940002</v>
      </c>
      <c r="T19" s="8">
        <f t="shared" si="7"/>
        <v>68385.297935850016</v>
      </c>
      <c r="U19" s="8"/>
      <c r="V19" s="8"/>
    </row>
    <row r="20" spans="1:22" ht="15" customHeight="1" x14ac:dyDescent="0.3">
      <c r="A20" s="12" t="s">
        <v>35</v>
      </c>
      <c r="B20" s="8">
        <v>756.12826641999982</v>
      </c>
      <c r="C20" s="8">
        <v>511.44925353999992</v>
      </c>
      <c r="D20" s="8">
        <v>346.92834941999962</v>
      </c>
      <c r="E20" s="8">
        <f t="shared" si="1"/>
        <v>1614.5058693799995</v>
      </c>
      <c r="F20" s="8">
        <v>71.343746660000008</v>
      </c>
      <c r="G20" s="8">
        <v>129.44462768999998</v>
      </c>
      <c r="H20" s="8">
        <v>896.49089526999956</v>
      </c>
      <c r="I20" s="8">
        <f t="shared" si="2"/>
        <v>1097.2792696199995</v>
      </c>
      <c r="J20" s="8">
        <f t="shared" si="3"/>
        <v>2711.7851389999987</v>
      </c>
      <c r="K20" s="8">
        <v>315.39064934999982</v>
      </c>
      <c r="L20" s="8">
        <v>330.35353194999971</v>
      </c>
      <c r="M20" s="8">
        <v>500.39600976000003</v>
      </c>
      <c r="N20" s="8">
        <f t="shared" si="4"/>
        <v>1146.1401910599996</v>
      </c>
      <c r="O20" s="8">
        <v>391.3847948200002</v>
      </c>
      <c r="P20" s="8">
        <v>475.15759456999973</v>
      </c>
      <c r="Q20" s="8">
        <v>493.54562672999992</v>
      </c>
      <c r="R20" s="8">
        <f t="shared" si="5"/>
        <v>1360.0880161199998</v>
      </c>
      <c r="S20" s="8">
        <f t="shared" si="6"/>
        <v>2506.2282071799991</v>
      </c>
      <c r="T20" s="8">
        <f t="shared" si="7"/>
        <v>5218.0133461799978</v>
      </c>
      <c r="U20" s="8"/>
      <c r="V20" s="8"/>
    </row>
    <row r="21" spans="1:22" ht="15" customHeight="1" x14ac:dyDescent="0.3">
      <c r="A21" s="12" t="s">
        <v>36</v>
      </c>
      <c r="B21" s="8">
        <v>5345.525569620002</v>
      </c>
      <c r="C21" s="8">
        <v>3882.0591264599952</v>
      </c>
      <c r="D21" s="8">
        <v>3369.4078017299989</v>
      </c>
      <c r="E21" s="8">
        <f t="shared" si="1"/>
        <v>12596.992497809995</v>
      </c>
      <c r="F21" s="8">
        <v>2308.9902326800016</v>
      </c>
      <c r="G21" s="8">
        <v>2713.2858679900014</v>
      </c>
      <c r="H21" s="8">
        <v>8761.3789677600053</v>
      </c>
      <c r="I21" s="8">
        <f t="shared" si="2"/>
        <v>13783.655068430009</v>
      </c>
      <c r="J21" s="8">
        <f t="shared" si="3"/>
        <v>26380.647566240004</v>
      </c>
      <c r="K21" s="8">
        <v>4386.6898692399936</v>
      </c>
      <c r="L21" s="8">
        <v>4341.2252928200041</v>
      </c>
      <c r="M21" s="8">
        <v>3694.0448675099942</v>
      </c>
      <c r="N21" s="8">
        <f t="shared" si="4"/>
        <v>12421.960029569993</v>
      </c>
      <c r="O21" s="8">
        <v>4199.7990338799973</v>
      </c>
      <c r="P21" s="8">
        <v>5138.0088729999961</v>
      </c>
      <c r="Q21" s="8">
        <v>4755.7405947099969</v>
      </c>
      <c r="R21" s="8">
        <f t="shared" si="5"/>
        <v>14093.54850158999</v>
      </c>
      <c r="S21" s="8">
        <f t="shared" si="6"/>
        <v>26515.508531159983</v>
      </c>
      <c r="T21" s="8">
        <f t="shared" si="7"/>
        <v>52896.156097399988</v>
      </c>
      <c r="U21" s="8"/>
      <c r="V21" s="8"/>
    </row>
    <row r="22" spans="1:22" ht="15" customHeight="1" x14ac:dyDescent="0.3">
      <c r="A22" s="12" t="s">
        <v>37</v>
      </c>
      <c r="B22" s="8">
        <v>513.14701018999983</v>
      </c>
      <c r="C22" s="8">
        <v>370.41563800999984</v>
      </c>
      <c r="D22" s="8">
        <v>317.27244086000002</v>
      </c>
      <c r="E22" s="8">
        <f t="shared" si="1"/>
        <v>1200.8350890599997</v>
      </c>
      <c r="F22" s="8">
        <v>55.90954964999996</v>
      </c>
      <c r="G22" s="8">
        <v>147.84670812999997</v>
      </c>
      <c r="H22" s="8">
        <v>705.93456245999994</v>
      </c>
      <c r="I22" s="8">
        <f t="shared" si="2"/>
        <v>909.69082023999988</v>
      </c>
      <c r="J22" s="8">
        <f t="shared" si="3"/>
        <v>2110.5259092999995</v>
      </c>
      <c r="K22" s="8">
        <v>362.39857117000037</v>
      </c>
      <c r="L22" s="8">
        <v>353.9309997900001</v>
      </c>
      <c r="M22" s="8">
        <v>387.98371080000015</v>
      </c>
      <c r="N22" s="8">
        <f t="shared" si="4"/>
        <v>1104.3132817600006</v>
      </c>
      <c r="O22" s="8">
        <v>460.51857129999991</v>
      </c>
      <c r="P22" s="8">
        <v>458.80334861999967</v>
      </c>
      <c r="Q22" s="8">
        <v>427.31362944999967</v>
      </c>
      <c r="R22" s="8">
        <f t="shared" si="5"/>
        <v>1346.6355493699994</v>
      </c>
      <c r="S22" s="8">
        <f t="shared" si="6"/>
        <v>2450.9488311300001</v>
      </c>
      <c r="T22" s="8">
        <f t="shared" si="7"/>
        <v>4561.4747404299997</v>
      </c>
      <c r="U22" s="8"/>
      <c r="V22" s="8"/>
    </row>
    <row r="23" spans="1:22" ht="18" customHeight="1" x14ac:dyDescent="0.3">
      <c r="A23" s="12" t="s">
        <v>38</v>
      </c>
      <c r="B23" s="8">
        <v>112165.47459570001</v>
      </c>
      <c r="C23" s="8">
        <v>85230.03050900402</v>
      </c>
      <c r="D23" s="8">
        <v>81156.768262729995</v>
      </c>
      <c r="E23" s="8">
        <f t="shared" si="1"/>
        <v>278552.27336743404</v>
      </c>
      <c r="F23" s="8">
        <v>64283.454484350004</v>
      </c>
      <c r="G23" s="8">
        <v>76416.385558349997</v>
      </c>
      <c r="H23" s="8">
        <v>174107.70281525006</v>
      </c>
      <c r="I23" s="8">
        <f t="shared" si="2"/>
        <v>314807.54285795009</v>
      </c>
      <c r="J23" s="8">
        <f t="shared" si="3"/>
        <v>593359.81622538413</v>
      </c>
      <c r="K23" s="8">
        <v>100919.38871591</v>
      </c>
      <c r="L23" s="8">
        <v>126498.52159143001</v>
      </c>
      <c r="M23" s="8">
        <v>86765.773864589995</v>
      </c>
      <c r="N23" s="8">
        <f t="shared" si="4"/>
        <v>314183.68417193001</v>
      </c>
      <c r="O23" s="8">
        <v>92967.941330289992</v>
      </c>
      <c r="P23" s="8">
        <v>123615.41757520997</v>
      </c>
      <c r="Q23" s="8">
        <v>95534.955752480004</v>
      </c>
      <c r="R23" s="8">
        <f t="shared" si="5"/>
        <v>312118.31465797999</v>
      </c>
      <c r="S23" s="8">
        <f t="shared" si="6"/>
        <v>626301.99882991007</v>
      </c>
      <c r="T23" s="8">
        <f t="shared" si="7"/>
        <v>1219661.8150552942</v>
      </c>
      <c r="U23" s="8"/>
      <c r="V23" s="8"/>
    </row>
    <row r="24" spans="1:22" s="10" customFormat="1" ht="15" customHeight="1" x14ac:dyDescent="0.3">
      <c r="A24" s="3"/>
      <c r="B24" s="11"/>
      <c r="C24" s="11"/>
      <c r="D24" s="11"/>
      <c r="E24" s="11"/>
      <c r="F24" s="11"/>
      <c r="G24" s="11"/>
      <c r="H24" s="11"/>
      <c r="I24" s="11"/>
      <c r="J24" s="11"/>
      <c r="K24" s="11"/>
      <c r="L24" s="11"/>
      <c r="M24" s="11"/>
      <c r="N24" s="11"/>
      <c r="O24" s="11"/>
      <c r="P24" s="11"/>
      <c r="Q24" s="11"/>
      <c r="R24" s="11"/>
      <c r="S24" s="11"/>
      <c r="T24" s="11"/>
      <c r="U24" s="11"/>
      <c r="V24" s="11"/>
    </row>
    <row r="25" spans="1:22" s="10" customFormat="1" ht="15" customHeight="1" x14ac:dyDescent="0.25">
      <c r="A25" s="10" t="s">
        <v>39</v>
      </c>
      <c r="B25" s="11">
        <f>SUM(B26:B31)</f>
        <v>699.87019253000017</v>
      </c>
      <c r="C25" s="11">
        <f t="shared" ref="C25:Q25" si="8">SUM(C26:C31)</f>
        <v>409.11607351999987</v>
      </c>
      <c r="D25" s="11">
        <f t="shared" si="8"/>
        <v>349.98939442000005</v>
      </c>
      <c r="E25" s="11">
        <f t="shared" ref="E25:E31" si="9">SUM(B25:D25)</f>
        <v>1458.9756604700001</v>
      </c>
      <c r="F25" s="11">
        <f t="shared" si="8"/>
        <v>238.23045399</v>
      </c>
      <c r="G25" s="11">
        <f t="shared" si="8"/>
        <v>262.63622110999995</v>
      </c>
      <c r="H25" s="11">
        <f t="shared" si="8"/>
        <v>570.25427087000014</v>
      </c>
      <c r="I25" s="11">
        <f t="shared" ref="I25:I31" si="10">SUM(F25:H25)</f>
        <v>1071.1209459700001</v>
      </c>
      <c r="J25" s="11">
        <f t="shared" si="3"/>
        <v>2530.09660644</v>
      </c>
      <c r="K25" s="11">
        <f t="shared" si="8"/>
        <v>437.06317183999988</v>
      </c>
      <c r="L25" s="11">
        <f t="shared" si="8"/>
        <v>402.72994420000009</v>
      </c>
      <c r="M25" s="11">
        <f t="shared" si="8"/>
        <v>410.63375010000004</v>
      </c>
      <c r="N25" s="11">
        <f t="shared" ref="N25:N31" si="11">SUM(K25:M25)</f>
        <v>1250.4268661400001</v>
      </c>
      <c r="O25" s="11">
        <f t="shared" si="8"/>
        <v>473.85741279000001</v>
      </c>
      <c r="P25" s="11">
        <f t="shared" si="8"/>
        <v>456.2626418399999</v>
      </c>
      <c r="Q25" s="11">
        <f t="shared" si="8"/>
        <v>473.94113464999998</v>
      </c>
      <c r="R25" s="11">
        <f t="shared" ref="R25:R31" si="12">SUM(O25:Q25)</f>
        <v>1404.0611892799998</v>
      </c>
      <c r="S25" s="11">
        <f t="shared" si="6"/>
        <v>2654.4880554199999</v>
      </c>
      <c r="T25" s="11">
        <f t="shared" ref="T25:T31" si="13">+J25+S25</f>
        <v>5184.5846618599999</v>
      </c>
      <c r="U25" s="11"/>
      <c r="V25" s="11"/>
    </row>
    <row r="26" spans="1:22" ht="15" customHeight="1" x14ac:dyDescent="0.3">
      <c r="A26" s="12" t="s">
        <v>40</v>
      </c>
      <c r="B26" s="8">
        <v>56.060219470000007</v>
      </c>
      <c r="C26" s="8">
        <v>36.329189360000001</v>
      </c>
      <c r="D26" s="8">
        <v>28.188238279999997</v>
      </c>
      <c r="E26" s="8">
        <f t="shared" si="9"/>
        <v>120.57764711</v>
      </c>
      <c r="F26" s="8">
        <v>23.042022280000001</v>
      </c>
      <c r="G26" s="8">
        <v>26.128076530000005</v>
      </c>
      <c r="H26" s="8">
        <v>37.60713409000001</v>
      </c>
      <c r="I26" s="8">
        <f t="shared" si="10"/>
        <v>86.777232900000016</v>
      </c>
      <c r="J26" s="8">
        <f t="shared" si="3"/>
        <v>207.35488001000002</v>
      </c>
      <c r="K26" s="8">
        <v>43.595520010000001</v>
      </c>
      <c r="L26" s="8">
        <v>39.01709910999999</v>
      </c>
      <c r="M26" s="8">
        <v>41.807889219999993</v>
      </c>
      <c r="N26" s="8">
        <f t="shared" si="11"/>
        <v>124.42050833999998</v>
      </c>
      <c r="O26" s="8">
        <v>42.722767590000004</v>
      </c>
      <c r="P26" s="8">
        <v>38.769117959999996</v>
      </c>
      <c r="Q26" s="8">
        <v>36.401341469999984</v>
      </c>
      <c r="R26" s="8">
        <f t="shared" si="12"/>
        <v>117.89322701999998</v>
      </c>
      <c r="S26" s="8">
        <f t="shared" si="6"/>
        <v>242.31373535999995</v>
      </c>
      <c r="T26" s="8">
        <f t="shared" si="13"/>
        <v>449.66861537</v>
      </c>
      <c r="U26" s="8"/>
      <c r="V26" s="8"/>
    </row>
    <row r="27" spans="1:22" ht="15" customHeight="1" x14ac:dyDescent="0.3">
      <c r="A27" s="12" t="s">
        <v>41</v>
      </c>
      <c r="B27" s="8">
        <v>93.17330373999998</v>
      </c>
      <c r="C27" s="8">
        <v>43.836415359999997</v>
      </c>
      <c r="D27" s="8">
        <v>43.666720230000003</v>
      </c>
      <c r="E27" s="8">
        <f t="shared" si="9"/>
        <v>180.67643932999999</v>
      </c>
      <c r="F27" s="8">
        <v>32.864682440000003</v>
      </c>
      <c r="G27" s="8">
        <v>45.17156511000001</v>
      </c>
      <c r="H27" s="8">
        <v>55.856601679999983</v>
      </c>
      <c r="I27" s="8">
        <f t="shared" si="10"/>
        <v>133.89284923</v>
      </c>
      <c r="J27" s="8">
        <f t="shared" si="3"/>
        <v>314.56928856000002</v>
      </c>
      <c r="K27" s="8">
        <v>58.33452728999999</v>
      </c>
      <c r="L27" s="8">
        <v>44.459236039999979</v>
      </c>
      <c r="M27" s="8">
        <v>49.918505619999991</v>
      </c>
      <c r="N27" s="8">
        <f t="shared" si="11"/>
        <v>152.71226894999995</v>
      </c>
      <c r="O27" s="8">
        <v>66.266582339999985</v>
      </c>
      <c r="P27" s="8">
        <v>62.831484469999971</v>
      </c>
      <c r="Q27" s="8">
        <v>62.068628849999996</v>
      </c>
      <c r="R27" s="8">
        <f t="shared" si="12"/>
        <v>191.16669565999996</v>
      </c>
      <c r="S27" s="8">
        <f t="shared" si="6"/>
        <v>343.87896460999991</v>
      </c>
      <c r="T27" s="8">
        <f t="shared" si="13"/>
        <v>658.44825316999993</v>
      </c>
      <c r="U27" s="8"/>
      <c r="V27" s="8"/>
    </row>
    <row r="28" spans="1:22" ht="15" customHeight="1" x14ac:dyDescent="0.3">
      <c r="A28" s="12" t="s">
        <v>42</v>
      </c>
      <c r="B28" s="8">
        <v>100.95656201999999</v>
      </c>
      <c r="C28" s="8">
        <v>65.281737120000017</v>
      </c>
      <c r="D28" s="8">
        <v>58.418095189999981</v>
      </c>
      <c r="E28" s="8">
        <f t="shared" si="9"/>
        <v>224.65639432999998</v>
      </c>
      <c r="F28" s="8">
        <v>43.377330969999996</v>
      </c>
      <c r="G28" s="8">
        <v>33.740986419999984</v>
      </c>
      <c r="H28" s="8">
        <v>88.460893210000009</v>
      </c>
      <c r="I28" s="8">
        <f t="shared" si="10"/>
        <v>165.57921060000001</v>
      </c>
      <c r="J28" s="8">
        <f t="shared" si="3"/>
        <v>390.23560493000002</v>
      </c>
      <c r="K28" s="8">
        <v>64.114361579999979</v>
      </c>
      <c r="L28" s="8">
        <v>57.376968870000006</v>
      </c>
      <c r="M28" s="8">
        <v>66.435323330000003</v>
      </c>
      <c r="N28" s="8">
        <f t="shared" si="11"/>
        <v>187.92665377999998</v>
      </c>
      <c r="O28" s="8">
        <v>74.938510260000029</v>
      </c>
      <c r="P28" s="8">
        <v>77.546044440000003</v>
      </c>
      <c r="Q28" s="8">
        <v>87.814063979999986</v>
      </c>
      <c r="R28" s="8">
        <f t="shared" si="12"/>
        <v>240.29861868000003</v>
      </c>
      <c r="S28" s="8">
        <f t="shared" si="6"/>
        <v>428.22527246000004</v>
      </c>
      <c r="T28" s="8">
        <f t="shared" si="13"/>
        <v>818.46087739000006</v>
      </c>
      <c r="U28" s="8"/>
      <c r="V28" s="8"/>
    </row>
    <row r="29" spans="1:22" ht="15" customHeight="1" x14ac:dyDescent="0.3">
      <c r="A29" s="12" t="s">
        <v>43</v>
      </c>
      <c r="B29" s="8">
        <v>35.284531949999987</v>
      </c>
      <c r="C29" s="8">
        <v>18.693556399999999</v>
      </c>
      <c r="D29" s="8">
        <v>20.163679459999994</v>
      </c>
      <c r="E29" s="8">
        <f t="shared" si="9"/>
        <v>74.141767809999976</v>
      </c>
      <c r="F29" s="8">
        <v>9.8505933699999986</v>
      </c>
      <c r="G29" s="8">
        <v>17.88442379</v>
      </c>
      <c r="H29" s="8">
        <v>27.252806589999999</v>
      </c>
      <c r="I29" s="8">
        <f t="shared" si="10"/>
        <v>54.987823749999997</v>
      </c>
      <c r="J29" s="8">
        <f t="shared" si="3"/>
        <v>129.12959155999997</v>
      </c>
      <c r="K29" s="8">
        <v>26.83632819</v>
      </c>
      <c r="L29" s="8">
        <v>33.001219230000011</v>
      </c>
      <c r="M29" s="8">
        <v>28.586726100000003</v>
      </c>
      <c r="N29" s="8">
        <f t="shared" si="11"/>
        <v>88.424273520000014</v>
      </c>
      <c r="O29" s="8">
        <v>31.344727829999997</v>
      </c>
      <c r="P29" s="8">
        <v>34.607663049999999</v>
      </c>
      <c r="Q29" s="8">
        <v>32.969874680000011</v>
      </c>
      <c r="R29" s="8">
        <f t="shared" si="12"/>
        <v>98.92226556</v>
      </c>
      <c r="S29" s="8">
        <f t="shared" si="6"/>
        <v>187.34653908000001</v>
      </c>
      <c r="T29" s="8">
        <f t="shared" si="13"/>
        <v>316.47613063999995</v>
      </c>
      <c r="U29" s="8"/>
      <c r="V29" s="8"/>
    </row>
    <row r="30" spans="1:22" ht="15" customHeight="1" x14ac:dyDescent="0.3">
      <c r="A30" s="12" t="s">
        <v>44</v>
      </c>
      <c r="B30" s="8">
        <v>39.878714479999999</v>
      </c>
      <c r="C30" s="8">
        <v>21.12275399</v>
      </c>
      <c r="D30" s="8">
        <v>19.577960979999997</v>
      </c>
      <c r="E30" s="8">
        <f t="shared" si="9"/>
        <v>80.579429449999992</v>
      </c>
      <c r="F30" s="8">
        <v>15.294997730000004</v>
      </c>
      <c r="G30" s="8">
        <v>16.944893559999993</v>
      </c>
      <c r="H30" s="8">
        <v>20.927718419999994</v>
      </c>
      <c r="I30" s="8">
        <f t="shared" si="10"/>
        <v>53.167609709999994</v>
      </c>
      <c r="J30" s="8">
        <f t="shared" si="3"/>
        <v>133.74703915999999</v>
      </c>
      <c r="K30" s="8">
        <v>27.703228719999998</v>
      </c>
      <c r="L30" s="8">
        <v>17.900343530000001</v>
      </c>
      <c r="M30" s="8">
        <v>27.309429009999995</v>
      </c>
      <c r="N30" s="8">
        <f t="shared" si="11"/>
        <v>72.913001259999987</v>
      </c>
      <c r="O30" s="8">
        <v>28.0889387</v>
      </c>
      <c r="P30" s="8">
        <v>25.562660800000003</v>
      </c>
      <c r="Q30" s="8">
        <v>22.396302800000004</v>
      </c>
      <c r="R30" s="8">
        <f t="shared" si="12"/>
        <v>76.047902300000004</v>
      </c>
      <c r="S30" s="8">
        <f t="shared" si="6"/>
        <v>148.96090355999999</v>
      </c>
      <c r="T30" s="8">
        <f t="shared" si="13"/>
        <v>282.70794272000001</v>
      </c>
      <c r="U30" s="8"/>
      <c r="V30" s="8"/>
    </row>
    <row r="31" spans="1:22" ht="15" customHeight="1" x14ac:dyDescent="0.3">
      <c r="A31" s="12" t="s">
        <v>45</v>
      </c>
      <c r="B31" s="8">
        <v>374.51686087000024</v>
      </c>
      <c r="C31" s="8">
        <v>223.8524212899998</v>
      </c>
      <c r="D31" s="8">
        <v>179.97470028000004</v>
      </c>
      <c r="E31" s="8">
        <f t="shared" si="9"/>
        <v>778.34398243999999</v>
      </c>
      <c r="F31" s="8">
        <v>113.80082719999999</v>
      </c>
      <c r="G31" s="8">
        <v>122.76627569999994</v>
      </c>
      <c r="H31" s="8">
        <v>340.14911688000012</v>
      </c>
      <c r="I31" s="8">
        <f t="shared" si="10"/>
        <v>576.71621978000007</v>
      </c>
      <c r="J31" s="8">
        <f t="shared" si="3"/>
        <v>1355.0602022200001</v>
      </c>
      <c r="K31" s="8">
        <v>216.4792060499999</v>
      </c>
      <c r="L31" s="8">
        <v>210.9750774200001</v>
      </c>
      <c r="M31" s="8">
        <v>196.57587682000005</v>
      </c>
      <c r="N31" s="8">
        <f t="shared" si="11"/>
        <v>624.03016029000003</v>
      </c>
      <c r="O31" s="8">
        <v>230.49588606999998</v>
      </c>
      <c r="P31" s="8">
        <v>216.94567111999996</v>
      </c>
      <c r="Q31" s="8">
        <v>232.29092287</v>
      </c>
      <c r="R31" s="8">
        <f t="shared" si="12"/>
        <v>679.73248005999994</v>
      </c>
      <c r="S31" s="8">
        <f t="shared" si="6"/>
        <v>1303.7626403499999</v>
      </c>
      <c r="T31" s="8">
        <f t="shared" si="13"/>
        <v>2658.8228425699999</v>
      </c>
      <c r="U31" s="8"/>
      <c r="V31" s="8"/>
    </row>
    <row r="32" spans="1:22" s="10" customFormat="1" ht="15" customHeight="1" x14ac:dyDescent="0.3">
      <c r="A32" s="3"/>
      <c r="B32" s="11"/>
      <c r="C32" s="11"/>
      <c r="D32" s="11"/>
      <c r="E32" s="11"/>
      <c r="F32" s="11"/>
      <c r="G32" s="11"/>
      <c r="H32" s="11"/>
      <c r="I32" s="11"/>
      <c r="J32" s="11"/>
      <c r="K32" s="11"/>
      <c r="L32" s="11"/>
      <c r="M32" s="11"/>
      <c r="N32" s="11"/>
      <c r="O32" s="11"/>
      <c r="P32" s="11"/>
      <c r="Q32" s="11"/>
      <c r="R32" s="11"/>
      <c r="S32" s="11"/>
      <c r="T32" s="11"/>
      <c r="U32" s="11"/>
      <c r="V32" s="11"/>
    </row>
    <row r="33" spans="1:22" s="10" customFormat="1" ht="15" customHeight="1" x14ac:dyDescent="0.25">
      <c r="A33" s="10" t="s">
        <v>46</v>
      </c>
      <c r="B33" s="11">
        <f>SUM(B34:B37)</f>
        <v>1517.4294676499999</v>
      </c>
      <c r="C33" s="11">
        <f t="shared" ref="C33:Q33" si="14">SUM(C34:C37)</f>
        <v>988.29028219999975</v>
      </c>
      <c r="D33" s="11">
        <f t="shared" si="14"/>
        <v>877.16213241999992</v>
      </c>
      <c r="E33" s="11">
        <f t="shared" ref="E33:E37" si="15">SUM(B33:D33)</f>
        <v>3382.8818822699996</v>
      </c>
      <c r="F33" s="11">
        <f t="shared" si="14"/>
        <v>341.66004672999998</v>
      </c>
      <c r="G33" s="11">
        <f t="shared" si="14"/>
        <v>665.60077380999996</v>
      </c>
      <c r="H33" s="11">
        <f t="shared" si="14"/>
        <v>1681.5508921599999</v>
      </c>
      <c r="I33" s="11">
        <f t="shared" ref="I33:I37" si="16">SUM(F33:H33)</f>
        <v>2688.8117126999996</v>
      </c>
      <c r="J33" s="11">
        <f t="shared" si="3"/>
        <v>6071.6935949699991</v>
      </c>
      <c r="K33" s="11">
        <f t="shared" si="14"/>
        <v>1098.1366354699996</v>
      </c>
      <c r="L33" s="11">
        <f t="shared" si="14"/>
        <v>1123.7684661100002</v>
      </c>
      <c r="M33" s="11">
        <f t="shared" si="14"/>
        <v>986.95445965000022</v>
      </c>
      <c r="N33" s="11">
        <f t="shared" ref="N33:N37" si="17">SUM(K33:M33)</f>
        <v>3208.8595612299996</v>
      </c>
      <c r="O33" s="11">
        <f t="shared" si="14"/>
        <v>1192.8010384899997</v>
      </c>
      <c r="P33" s="11">
        <f t="shared" si="14"/>
        <v>1184.6652697</v>
      </c>
      <c r="Q33" s="11">
        <f t="shared" si="14"/>
        <v>1148.92839667</v>
      </c>
      <c r="R33" s="11">
        <f t="shared" ref="R33:R37" si="18">SUM(O33:Q33)</f>
        <v>3526.3947048599998</v>
      </c>
      <c r="S33" s="11">
        <f t="shared" si="6"/>
        <v>6735.2542660899999</v>
      </c>
      <c r="T33" s="11">
        <f t="shared" ref="T33:T37" si="19">+J33+S33</f>
        <v>12806.947861059998</v>
      </c>
      <c r="U33" s="11"/>
      <c r="V33" s="11"/>
    </row>
    <row r="34" spans="1:22" ht="15" customHeight="1" x14ac:dyDescent="0.3">
      <c r="A34" s="12" t="s">
        <v>47</v>
      </c>
      <c r="B34" s="8">
        <v>257.47369863000023</v>
      </c>
      <c r="C34" s="8">
        <v>104.41580444999988</v>
      </c>
      <c r="D34" s="8">
        <v>107.72649618000003</v>
      </c>
      <c r="E34" s="8">
        <f t="shared" si="15"/>
        <v>469.61599926000014</v>
      </c>
      <c r="F34" s="8">
        <v>58.46984410000001</v>
      </c>
      <c r="G34" s="8">
        <v>81.725192289999995</v>
      </c>
      <c r="H34" s="8">
        <v>203.07610594000019</v>
      </c>
      <c r="I34" s="8">
        <f t="shared" si="16"/>
        <v>343.2711423300002</v>
      </c>
      <c r="J34" s="8">
        <f t="shared" si="3"/>
        <v>812.88714159000028</v>
      </c>
      <c r="K34" s="8">
        <v>135.0896918899999</v>
      </c>
      <c r="L34" s="8">
        <v>139.36345598000003</v>
      </c>
      <c r="M34" s="8">
        <v>136.63289922000004</v>
      </c>
      <c r="N34" s="8">
        <f t="shared" si="17"/>
        <v>411.08604708999997</v>
      </c>
      <c r="O34" s="8">
        <v>177.34219294000002</v>
      </c>
      <c r="P34" s="8">
        <v>170.14465378999986</v>
      </c>
      <c r="Q34" s="8">
        <v>162.27492286000006</v>
      </c>
      <c r="R34" s="8">
        <f t="shared" si="18"/>
        <v>509.76176958999997</v>
      </c>
      <c r="S34" s="8">
        <f t="shared" si="6"/>
        <v>920.84781667999994</v>
      </c>
      <c r="T34" s="8">
        <f t="shared" si="19"/>
        <v>1733.7349582700003</v>
      </c>
      <c r="U34" s="8"/>
      <c r="V34" s="8"/>
    </row>
    <row r="35" spans="1:22" ht="15" customHeight="1" x14ac:dyDescent="0.3">
      <c r="A35" s="12" t="s">
        <v>48</v>
      </c>
      <c r="B35" s="8">
        <v>242.98963028000006</v>
      </c>
      <c r="C35" s="8">
        <v>122.86480558999999</v>
      </c>
      <c r="D35" s="8">
        <v>120.52896253999997</v>
      </c>
      <c r="E35" s="8">
        <f t="shared" si="15"/>
        <v>486.38339840999998</v>
      </c>
      <c r="F35" s="8">
        <v>55.863190309999958</v>
      </c>
      <c r="G35" s="8">
        <v>134.52807282999993</v>
      </c>
      <c r="H35" s="8">
        <v>227.01425107</v>
      </c>
      <c r="I35" s="8">
        <f t="shared" si="16"/>
        <v>417.40551420999986</v>
      </c>
      <c r="J35" s="8">
        <f t="shared" si="3"/>
        <v>903.78891261999979</v>
      </c>
      <c r="K35" s="8">
        <v>149.84970353</v>
      </c>
      <c r="L35" s="8">
        <v>171.22435828999988</v>
      </c>
      <c r="M35" s="8">
        <v>135.19512054000009</v>
      </c>
      <c r="N35" s="8">
        <f t="shared" si="17"/>
        <v>456.26918235999995</v>
      </c>
      <c r="O35" s="8">
        <v>175.70352960999992</v>
      </c>
      <c r="P35" s="8">
        <v>168.74510970000006</v>
      </c>
      <c r="Q35" s="8">
        <v>169.80650878000006</v>
      </c>
      <c r="R35" s="8">
        <f t="shared" si="18"/>
        <v>514.25514809000003</v>
      </c>
      <c r="S35" s="8">
        <f t="shared" si="6"/>
        <v>970.52433044999998</v>
      </c>
      <c r="T35" s="8">
        <f t="shared" si="19"/>
        <v>1874.3132430699998</v>
      </c>
      <c r="U35" s="8"/>
      <c r="V35" s="8"/>
    </row>
    <row r="36" spans="1:22" ht="15" customHeight="1" x14ac:dyDescent="0.3">
      <c r="A36" s="12" t="s">
        <v>49</v>
      </c>
      <c r="B36" s="8">
        <v>320.53708181999957</v>
      </c>
      <c r="C36" s="8">
        <v>181.61430420999997</v>
      </c>
      <c r="D36" s="8">
        <v>161.80406361000007</v>
      </c>
      <c r="E36" s="8">
        <f t="shared" si="15"/>
        <v>663.95544963999964</v>
      </c>
      <c r="F36" s="8">
        <v>90.674614110000007</v>
      </c>
      <c r="G36" s="8">
        <v>168.93902820000005</v>
      </c>
      <c r="H36" s="8">
        <v>357.35859977999985</v>
      </c>
      <c r="I36" s="8">
        <f t="shared" si="16"/>
        <v>616.9722420899999</v>
      </c>
      <c r="J36" s="8">
        <f t="shared" si="3"/>
        <v>1280.9276917299994</v>
      </c>
      <c r="K36" s="8">
        <v>210.56936363000011</v>
      </c>
      <c r="L36" s="8">
        <v>245.74141231999991</v>
      </c>
      <c r="M36" s="8">
        <v>203.71482202000004</v>
      </c>
      <c r="N36" s="8">
        <f t="shared" si="17"/>
        <v>660.02559797000004</v>
      </c>
      <c r="O36" s="8">
        <v>245.20455514999975</v>
      </c>
      <c r="P36" s="8">
        <v>243.49140401999989</v>
      </c>
      <c r="Q36" s="8">
        <v>234.61005446999991</v>
      </c>
      <c r="R36" s="8">
        <f t="shared" si="18"/>
        <v>723.30601363999949</v>
      </c>
      <c r="S36" s="8">
        <f t="shared" si="6"/>
        <v>1383.3316116099995</v>
      </c>
      <c r="T36" s="8">
        <f t="shared" si="19"/>
        <v>2664.259303339999</v>
      </c>
      <c r="U36" s="8"/>
      <c r="V36" s="8"/>
    </row>
    <row r="37" spans="1:22" ht="15" customHeight="1" x14ac:dyDescent="0.3">
      <c r="A37" s="12" t="s">
        <v>50</v>
      </c>
      <c r="B37" s="8">
        <v>696.42905692000011</v>
      </c>
      <c r="C37" s="8">
        <v>579.39536794999992</v>
      </c>
      <c r="D37" s="8">
        <v>487.10261008999987</v>
      </c>
      <c r="E37" s="8">
        <f t="shared" si="15"/>
        <v>1762.9270349599999</v>
      </c>
      <c r="F37" s="8">
        <v>136.65239821000003</v>
      </c>
      <c r="G37" s="8">
        <v>280.40848049000004</v>
      </c>
      <c r="H37" s="8">
        <v>894.10193536999998</v>
      </c>
      <c r="I37" s="8">
        <f t="shared" si="16"/>
        <v>1311.16281407</v>
      </c>
      <c r="J37" s="8">
        <f t="shared" si="3"/>
        <v>3074.0898490299996</v>
      </c>
      <c r="K37" s="8">
        <v>602.62787641999967</v>
      </c>
      <c r="L37" s="8">
        <v>567.43923952000023</v>
      </c>
      <c r="M37" s="8">
        <v>511.41161786999999</v>
      </c>
      <c r="N37" s="8">
        <f t="shared" si="17"/>
        <v>1681.47873381</v>
      </c>
      <c r="O37" s="8">
        <v>594.55076078999991</v>
      </c>
      <c r="P37" s="8">
        <v>602.28410219</v>
      </c>
      <c r="Q37" s="8">
        <v>582.23691055999984</v>
      </c>
      <c r="R37" s="8">
        <f t="shared" si="18"/>
        <v>1779.0717735399996</v>
      </c>
      <c r="S37" s="8">
        <f t="shared" si="6"/>
        <v>3460.5505073499999</v>
      </c>
      <c r="T37" s="8">
        <f t="shared" si="19"/>
        <v>6534.6403563799995</v>
      </c>
      <c r="U37" s="8"/>
      <c r="V37" s="8"/>
    </row>
    <row r="38" spans="1:22" s="10" customFormat="1" ht="15" customHeight="1" x14ac:dyDescent="0.3">
      <c r="A38" s="3"/>
      <c r="B38" s="11"/>
      <c r="C38" s="11"/>
      <c r="D38" s="11"/>
      <c r="E38" s="11"/>
      <c r="F38" s="11"/>
      <c r="G38" s="11"/>
      <c r="H38" s="11"/>
      <c r="I38" s="11"/>
      <c r="J38" s="11"/>
      <c r="K38" s="11"/>
      <c r="L38" s="11"/>
      <c r="M38" s="11"/>
      <c r="N38" s="11"/>
      <c r="O38" s="11"/>
      <c r="P38" s="11"/>
      <c r="Q38" s="11"/>
      <c r="R38" s="11"/>
      <c r="S38" s="11"/>
      <c r="T38" s="11"/>
      <c r="U38" s="11"/>
      <c r="V38" s="11"/>
    </row>
    <row r="39" spans="1:22" s="10" customFormat="1" ht="15" customHeight="1" x14ac:dyDescent="0.25">
      <c r="A39" s="10" t="s">
        <v>51</v>
      </c>
      <c r="B39" s="11">
        <f>SUM(B40:B43)</f>
        <v>978.11264421000055</v>
      </c>
      <c r="C39" s="11">
        <f t="shared" ref="C39:Q39" si="20">SUM(C40:C43)</f>
        <v>608.59554076999996</v>
      </c>
      <c r="D39" s="11">
        <f t="shared" si="20"/>
        <v>579.90619134999986</v>
      </c>
      <c r="E39" s="11">
        <f t="shared" ref="E39:E43" si="21">SUM(B39:D39)</f>
        <v>2166.6143763300006</v>
      </c>
      <c r="F39" s="11">
        <f t="shared" si="20"/>
        <v>363.55876755000003</v>
      </c>
      <c r="G39" s="11">
        <f t="shared" si="20"/>
        <v>537.70607287999985</v>
      </c>
      <c r="H39" s="11">
        <f t="shared" si="20"/>
        <v>1114.8012776499995</v>
      </c>
      <c r="I39" s="11">
        <f t="shared" ref="I39:I43" si="22">SUM(F39:H39)</f>
        <v>2016.0661180799993</v>
      </c>
      <c r="J39" s="11">
        <f t="shared" si="3"/>
        <v>4182.6804944100004</v>
      </c>
      <c r="K39" s="11">
        <f t="shared" si="20"/>
        <v>752.7874001399997</v>
      </c>
      <c r="L39" s="11">
        <f t="shared" si="20"/>
        <v>702.01748013000042</v>
      </c>
      <c r="M39" s="11">
        <f t="shared" si="20"/>
        <v>598.57384957000022</v>
      </c>
      <c r="N39" s="11">
        <f t="shared" ref="N39:N43" si="23">SUM(K39:M39)</f>
        <v>2053.3787298400002</v>
      </c>
      <c r="O39" s="11">
        <f t="shared" si="20"/>
        <v>742.90593778000027</v>
      </c>
      <c r="P39" s="11">
        <f t="shared" si="20"/>
        <v>694.57005996999999</v>
      </c>
      <c r="Q39" s="11">
        <f t="shared" si="20"/>
        <v>658.45699189999959</v>
      </c>
      <c r="R39" s="11">
        <f t="shared" ref="R39:R43" si="24">SUM(O39:Q39)</f>
        <v>2095.9329896499999</v>
      </c>
      <c r="S39" s="11">
        <f t="shared" si="6"/>
        <v>4149.3117194900005</v>
      </c>
      <c r="T39" s="11">
        <f t="shared" ref="T39:T43" si="25">+J39+S39</f>
        <v>8331.9922139000009</v>
      </c>
      <c r="U39" s="11"/>
      <c r="V39" s="11"/>
    </row>
    <row r="40" spans="1:22" ht="15" customHeight="1" x14ac:dyDescent="0.3">
      <c r="A40" s="12" t="s">
        <v>52</v>
      </c>
      <c r="B40" s="8">
        <v>369.19161100999992</v>
      </c>
      <c r="C40" s="8">
        <v>287.93378243999996</v>
      </c>
      <c r="D40" s="8">
        <v>270.22454999999997</v>
      </c>
      <c r="E40" s="8">
        <f t="shared" si="21"/>
        <v>927.34994344999973</v>
      </c>
      <c r="F40" s="8">
        <v>181.51796651999999</v>
      </c>
      <c r="G40" s="8">
        <v>235.25496538999994</v>
      </c>
      <c r="H40" s="8">
        <v>390.03319925999978</v>
      </c>
      <c r="I40" s="8">
        <f t="shared" si="22"/>
        <v>806.80613116999962</v>
      </c>
      <c r="J40" s="8">
        <f t="shared" si="3"/>
        <v>1734.1560746199993</v>
      </c>
      <c r="K40" s="8">
        <v>311.60193680999981</v>
      </c>
      <c r="L40" s="8">
        <v>277.85043281000026</v>
      </c>
      <c r="M40" s="8">
        <v>250.95517006000009</v>
      </c>
      <c r="N40" s="8">
        <f t="shared" si="23"/>
        <v>840.40753968000024</v>
      </c>
      <c r="O40" s="8">
        <v>292.53966696000009</v>
      </c>
      <c r="P40" s="8">
        <v>270.75703105000002</v>
      </c>
      <c r="Q40" s="8">
        <v>269.32204810999997</v>
      </c>
      <c r="R40" s="8">
        <f t="shared" si="24"/>
        <v>832.61874612000008</v>
      </c>
      <c r="S40" s="8">
        <f t="shared" si="6"/>
        <v>1673.0262858000003</v>
      </c>
      <c r="T40" s="8">
        <f t="shared" si="25"/>
        <v>3407.1823604199999</v>
      </c>
      <c r="U40" s="8"/>
      <c r="V40" s="8"/>
    </row>
    <row r="41" spans="1:22" ht="15" customHeight="1" x14ac:dyDescent="0.3">
      <c r="A41" s="12" t="s">
        <v>53</v>
      </c>
      <c r="B41" s="8">
        <v>441.17716492000062</v>
      </c>
      <c r="C41" s="8">
        <v>229.55278370000008</v>
      </c>
      <c r="D41" s="8">
        <v>221.01930412999991</v>
      </c>
      <c r="E41" s="8">
        <f t="shared" si="21"/>
        <v>891.74925275000055</v>
      </c>
      <c r="F41" s="8">
        <v>120.82231073999998</v>
      </c>
      <c r="G41" s="8">
        <v>236.32678921999985</v>
      </c>
      <c r="H41" s="8">
        <v>580.10109344999978</v>
      </c>
      <c r="I41" s="8">
        <f t="shared" si="22"/>
        <v>937.25019340999961</v>
      </c>
      <c r="J41" s="8">
        <f t="shared" si="3"/>
        <v>1828.9994461600002</v>
      </c>
      <c r="K41" s="8">
        <v>321.2203814099999</v>
      </c>
      <c r="L41" s="8">
        <v>316.82297716000016</v>
      </c>
      <c r="M41" s="8">
        <v>258.25899863000006</v>
      </c>
      <c r="N41" s="8">
        <f t="shared" si="23"/>
        <v>896.30235720000007</v>
      </c>
      <c r="O41" s="8">
        <v>333.50348544000025</v>
      </c>
      <c r="P41" s="8">
        <v>298.49760335999997</v>
      </c>
      <c r="Q41" s="8">
        <v>274.43646954999963</v>
      </c>
      <c r="R41" s="8">
        <f t="shared" si="24"/>
        <v>906.43755834999979</v>
      </c>
      <c r="S41" s="8">
        <f t="shared" si="6"/>
        <v>1802.7399155499998</v>
      </c>
      <c r="T41" s="8">
        <f t="shared" si="25"/>
        <v>3631.7393617099997</v>
      </c>
      <c r="U41" s="8"/>
      <c r="V41" s="8"/>
    </row>
    <row r="42" spans="1:22" ht="15" customHeight="1" x14ac:dyDescent="0.3">
      <c r="A42" s="12" t="s">
        <v>54</v>
      </c>
      <c r="B42" s="8">
        <v>130.70965197000001</v>
      </c>
      <c r="C42" s="8">
        <v>67.974791689999961</v>
      </c>
      <c r="D42" s="8">
        <v>66.478380869999938</v>
      </c>
      <c r="E42" s="8">
        <f t="shared" si="21"/>
        <v>265.16282452999991</v>
      </c>
      <c r="F42" s="8">
        <v>46.897105450000005</v>
      </c>
      <c r="G42" s="8">
        <v>58.327702910000006</v>
      </c>
      <c r="H42" s="8">
        <v>110.74779079000004</v>
      </c>
      <c r="I42" s="8">
        <f t="shared" si="22"/>
        <v>215.97259915000006</v>
      </c>
      <c r="J42" s="8">
        <f t="shared" si="3"/>
        <v>481.13542367999997</v>
      </c>
      <c r="K42" s="8">
        <v>93.276573729999996</v>
      </c>
      <c r="L42" s="8">
        <v>79.099938479999992</v>
      </c>
      <c r="M42" s="8">
        <v>65.243954310000007</v>
      </c>
      <c r="N42" s="8">
        <f t="shared" si="23"/>
        <v>237.62046651999998</v>
      </c>
      <c r="O42" s="8">
        <v>83.934669239999991</v>
      </c>
      <c r="P42" s="8">
        <v>92.122718760000026</v>
      </c>
      <c r="Q42" s="8">
        <v>86.125743700000029</v>
      </c>
      <c r="R42" s="8">
        <f t="shared" si="24"/>
        <v>262.18313170000005</v>
      </c>
      <c r="S42" s="8">
        <f t="shared" si="6"/>
        <v>499.80359822000003</v>
      </c>
      <c r="T42" s="8">
        <f t="shared" si="25"/>
        <v>980.93902189999994</v>
      </c>
      <c r="U42" s="8"/>
      <c r="V42" s="8"/>
    </row>
    <row r="43" spans="1:22" ht="15" customHeight="1" x14ac:dyDescent="0.3">
      <c r="A43" s="12" t="s">
        <v>55</v>
      </c>
      <c r="B43" s="8">
        <v>37.034216310000012</v>
      </c>
      <c r="C43" s="8">
        <v>23.134182940000006</v>
      </c>
      <c r="D43" s="8">
        <v>22.183956350000003</v>
      </c>
      <c r="E43" s="8">
        <f t="shared" si="21"/>
        <v>82.352355600000024</v>
      </c>
      <c r="F43" s="8">
        <v>14.321384840000002</v>
      </c>
      <c r="G43" s="8">
        <v>7.7966153600000005</v>
      </c>
      <c r="H43" s="8">
        <v>33.919194150000003</v>
      </c>
      <c r="I43" s="8">
        <f t="shared" si="22"/>
        <v>56.037194350000007</v>
      </c>
      <c r="J43" s="8">
        <f t="shared" si="3"/>
        <v>138.38954995000003</v>
      </c>
      <c r="K43" s="8">
        <v>26.688508189999997</v>
      </c>
      <c r="L43" s="8">
        <v>28.244131679999995</v>
      </c>
      <c r="M43" s="8">
        <v>24.11572657</v>
      </c>
      <c r="N43" s="8">
        <f t="shared" si="23"/>
        <v>79.048366439999995</v>
      </c>
      <c r="O43" s="8">
        <v>32.928116140000007</v>
      </c>
      <c r="P43" s="8">
        <v>33.192706799999996</v>
      </c>
      <c r="Q43" s="8">
        <v>28.572730539999998</v>
      </c>
      <c r="R43" s="8">
        <f t="shared" si="24"/>
        <v>94.693553480000006</v>
      </c>
      <c r="S43" s="8">
        <f t="shared" si="6"/>
        <v>173.74191991999999</v>
      </c>
      <c r="T43" s="8">
        <f t="shared" si="25"/>
        <v>312.13146987000005</v>
      </c>
      <c r="U43" s="8"/>
      <c r="V43" s="8"/>
    </row>
    <row r="44" spans="1:22" s="10" customFormat="1" ht="15" customHeight="1" x14ac:dyDescent="0.3">
      <c r="A44" s="3"/>
      <c r="B44" s="11"/>
      <c r="C44" s="11"/>
      <c r="D44" s="11"/>
      <c r="E44" s="11"/>
      <c r="F44" s="11"/>
      <c r="G44" s="11"/>
      <c r="H44" s="11"/>
      <c r="I44" s="11"/>
      <c r="J44" s="11"/>
      <c r="K44" s="11"/>
      <c r="L44" s="11"/>
      <c r="M44" s="11"/>
      <c r="N44" s="11"/>
      <c r="O44" s="11"/>
      <c r="P44" s="11"/>
      <c r="Q44" s="11"/>
      <c r="R44" s="11"/>
      <c r="S44" s="11"/>
      <c r="T44" s="11"/>
      <c r="U44" s="11"/>
      <c r="V44" s="11"/>
    </row>
    <row r="45" spans="1:22" s="10" customFormat="1" ht="15" customHeight="1" x14ac:dyDescent="0.25">
      <c r="A45" s="10" t="s">
        <v>56</v>
      </c>
      <c r="B45" s="11">
        <f>SUM(B46:B54)</f>
        <v>4591.0854393999998</v>
      </c>
      <c r="C45" s="11">
        <f t="shared" ref="C45:Q45" si="26">SUM(C46:C54)</f>
        <v>3386.0042556300004</v>
      </c>
      <c r="D45" s="11">
        <f t="shared" si="26"/>
        <v>2762.1709770400003</v>
      </c>
      <c r="E45" s="11">
        <f t="shared" ref="E45:E54" si="27">SUM(B45:D45)</f>
        <v>10739.260672070001</v>
      </c>
      <c r="F45" s="11">
        <f t="shared" si="26"/>
        <v>1168.6322542600001</v>
      </c>
      <c r="G45" s="11">
        <f t="shared" si="26"/>
        <v>1723.5147082999999</v>
      </c>
      <c r="H45" s="11">
        <f t="shared" si="26"/>
        <v>6242.3445680699979</v>
      </c>
      <c r="I45" s="11">
        <f t="shared" ref="I45:I54" si="28">SUM(F45:H45)</f>
        <v>9134.491530629999</v>
      </c>
      <c r="J45" s="11">
        <f t="shared" si="3"/>
        <v>19873.752202700001</v>
      </c>
      <c r="K45" s="11">
        <f t="shared" si="26"/>
        <v>3267.8518611100003</v>
      </c>
      <c r="L45" s="11">
        <f t="shared" si="26"/>
        <v>3608.7510633300008</v>
      </c>
      <c r="M45" s="11">
        <f t="shared" si="26"/>
        <v>2897.2323063099998</v>
      </c>
      <c r="N45" s="11">
        <f t="shared" ref="N45:N54" si="29">SUM(K45:M45)</f>
        <v>9773.8352307500008</v>
      </c>
      <c r="O45" s="11">
        <f t="shared" si="26"/>
        <v>3586.7237978599987</v>
      </c>
      <c r="P45" s="11">
        <f t="shared" si="26"/>
        <v>4125.7244753100013</v>
      </c>
      <c r="Q45" s="11">
        <f t="shared" si="26"/>
        <v>3500.5284638799999</v>
      </c>
      <c r="R45" s="11">
        <f t="shared" ref="R45:R54" si="30">SUM(O45:Q45)</f>
        <v>11212.976737049999</v>
      </c>
      <c r="S45" s="11">
        <f t="shared" si="6"/>
        <v>20986.8119678</v>
      </c>
      <c r="T45" s="11">
        <f t="shared" ref="T45:T54" si="31">+J45+S45</f>
        <v>40860.564170500002</v>
      </c>
      <c r="U45" s="11"/>
      <c r="V45" s="11"/>
    </row>
    <row r="46" spans="1:22" ht="15" customHeight="1" x14ac:dyDescent="0.3">
      <c r="A46" s="12" t="s">
        <v>57</v>
      </c>
      <c r="B46" s="8">
        <v>37.431637329999987</v>
      </c>
      <c r="C46" s="8">
        <v>23.38309137000001</v>
      </c>
      <c r="D46" s="8">
        <v>23.638732999999998</v>
      </c>
      <c r="E46" s="8">
        <f t="shared" si="27"/>
        <v>84.453461699999991</v>
      </c>
      <c r="F46" s="8">
        <v>15.083105649999997</v>
      </c>
      <c r="G46" s="8">
        <v>25.289260679999995</v>
      </c>
      <c r="H46" s="8">
        <v>27.540290449999993</v>
      </c>
      <c r="I46" s="8">
        <f t="shared" si="28"/>
        <v>67.912656779999992</v>
      </c>
      <c r="J46" s="8">
        <f t="shared" si="3"/>
        <v>152.36611847999998</v>
      </c>
      <c r="K46" s="8">
        <v>27.094429410000004</v>
      </c>
      <c r="L46" s="8">
        <v>24.264602459999992</v>
      </c>
      <c r="M46" s="8">
        <v>25.700789920000005</v>
      </c>
      <c r="N46" s="8">
        <f t="shared" si="29"/>
        <v>77.059821790000001</v>
      </c>
      <c r="O46" s="8">
        <v>32.475602319999993</v>
      </c>
      <c r="P46" s="8">
        <v>35.82455981999999</v>
      </c>
      <c r="Q46" s="8">
        <v>25.051580069999996</v>
      </c>
      <c r="R46" s="8">
        <f t="shared" si="30"/>
        <v>93.351742209999983</v>
      </c>
      <c r="S46" s="8">
        <f t="shared" si="6"/>
        <v>170.411564</v>
      </c>
      <c r="T46" s="8">
        <f t="shared" si="31"/>
        <v>322.77768247999995</v>
      </c>
      <c r="U46" s="8"/>
      <c r="V46" s="8"/>
    </row>
    <row r="47" spans="1:22" ht="15" customHeight="1" x14ac:dyDescent="0.3">
      <c r="A47" s="12" t="s">
        <v>58</v>
      </c>
      <c r="B47" s="8">
        <v>332.32981811000013</v>
      </c>
      <c r="C47" s="8">
        <v>291.20064583999988</v>
      </c>
      <c r="D47" s="8">
        <v>230.92304780000003</v>
      </c>
      <c r="E47" s="8">
        <f t="shared" si="27"/>
        <v>854.45351175000008</v>
      </c>
      <c r="F47" s="8">
        <v>94.932857979999994</v>
      </c>
      <c r="G47" s="8">
        <v>123.70759395000002</v>
      </c>
      <c r="H47" s="8">
        <v>389.60089879999987</v>
      </c>
      <c r="I47" s="8">
        <f t="shared" si="28"/>
        <v>608.24135072999991</v>
      </c>
      <c r="J47" s="8">
        <f t="shared" si="3"/>
        <v>1462.69486248</v>
      </c>
      <c r="K47" s="8">
        <v>293.25025421999993</v>
      </c>
      <c r="L47" s="8">
        <v>264.9397243100002</v>
      </c>
      <c r="M47" s="8">
        <v>231.88884619999996</v>
      </c>
      <c r="N47" s="8">
        <f t="shared" si="29"/>
        <v>790.07882473000018</v>
      </c>
      <c r="O47" s="8">
        <v>299.42856900000004</v>
      </c>
      <c r="P47" s="8">
        <v>310.92235544999994</v>
      </c>
      <c r="Q47" s="8">
        <v>307.57278637000013</v>
      </c>
      <c r="R47" s="8">
        <f t="shared" si="30"/>
        <v>917.92371082000011</v>
      </c>
      <c r="S47" s="8">
        <f t="shared" si="6"/>
        <v>1708.0025355500002</v>
      </c>
      <c r="T47" s="8">
        <f t="shared" si="31"/>
        <v>3170.6973980299999</v>
      </c>
      <c r="U47" s="8"/>
      <c r="V47" s="8"/>
    </row>
    <row r="48" spans="1:22" ht="15" customHeight="1" x14ac:dyDescent="0.3">
      <c r="A48" s="12" t="s">
        <v>59</v>
      </c>
      <c r="B48" s="8">
        <v>1315.5951709499993</v>
      </c>
      <c r="C48" s="8">
        <v>923.5519279099999</v>
      </c>
      <c r="D48" s="8">
        <v>848.48962854000013</v>
      </c>
      <c r="E48" s="8">
        <f t="shared" si="27"/>
        <v>3087.6367273999995</v>
      </c>
      <c r="F48" s="8">
        <v>250.51047534000003</v>
      </c>
      <c r="G48" s="8">
        <v>392.60777813000004</v>
      </c>
      <c r="H48" s="8">
        <v>1546.9908306999982</v>
      </c>
      <c r="I48" s="8">
        <f t="shared" si="28"/>
        <v>2190.1090841699984</v>
      </c>
      <c r="J48" s="8">
        <f t="shared" si="3"/>
        <v>5277.7458115699974</v>
      </c>
      <c r="K48" s="8">
        <v>883.33930171000031</v>
      </c>
      <c r="L48" s="8">
        <v>885.03149111999971</v>
      </c>
      <c r="M48" s="8">
        <v>843.14589441999988</v>
      </c>
      <c r="N48" s="8">
        <f t="shared" si="29"/>
        <v>2611.5166872499999</v>
      </c>
      <c r="O48" s="8">
        <v>1021.1528317199997</v>
      </c>
      <c r="P48" s="8">
        <v>1018.8894986800003</v>
      </c>
      <c r="Q48" s="8">
        <v>1019.6807072599996</v>
      </c>
      <c r="R48" s="8">
        <f t="shared" si="30"/>
        <v>3059.7230376599996</v>
      </c>
      <c r="S48" s="8">
        <f t="shared" si="6"/>
        <v>5671.2397249099995</v>
      </c>
      <c r="T48" s="8">
        <f t="shared" si="31"/>
        <v>10948.985536479997</v>
      </c>
      <c r="U48" s="8"/>
      <c r="V48" s="8"/>
    </row>
    <row r="49" spans="1:22" ht="15" customHeight="1" x14ac:dyDescent="0.3">
      <c r="A49" s="12" t="s">
        <v>60</v>
      </c>
      <c r="B49" s="8">
        <v>470.46538324999972</v>
      </c>
      <c r="C49" s="8">
        <v>323.6387230900001</v>
      </c>
      <c r="D49" s="8">
        <v>294.75058135999984</v>
      </c>
      <c r="E49" s="8">
        <f t="shared" si="27"/>
        <v>1088.8546876999997</v>
      </c>
      <c r="F49" s="8">
        <v>137.61581375999998</v>
      </c>
      <c r="G49" s="8">
        <v>203.48512799000008</v>
      </c>
      <c r="H49" s="8">
        <v>478.14262709000002</v>
      </c>
      <c r="I49" s="8">
        <f t="shared" si="28"/>
        <v>819.24356884000008</v>
      </c>
      <c r="J49" s="8">
        <f t="shared" si="3"/>
        <v>1908.0982565399997</v>
      </c>
      <c r="K49" s="8">
        <v>371.11340922000016</v>
      </c>
      <c r="L49" s="8">
        <v>354.9585826</v>
      </c>
      <c r="M49" s="8">
        <v>319.9948412899999</v>
      </c>
      <c r="N49" s="8">
        <f t="shared" si="29"/>
        <v>1046.0668331100001</v>
      </c>
      <c r="O49" s="8">
        <v>408.0054508999998</v>
      </c>
      <c r="P49" s="8">
        <v>379.11551509000009</v>
      </c>
      <c r="Q49" s="8">
        <v>401.19875442</v>
      </c>
      <c r="R49" s="8">
        <f t="shared" si="30"/>
        <v>1188.3197204099997</v>
      </c>
      <c r="S49" s="8">
        <f t="shared" si="6"/>
        <v>2234.3865535199998</v>
      </c>
      <c r="T49" s="8">
        <f t="shared" si="31"/>
        <v>4142.4848100599993</v>
      </c>
      <c r="U49" s="8"/>
      <c r="V49" s="8"/>
    </row>
    <row r="50" spans="1:22" ht="18" customHeight="1" x14ac:dyDescent="0.3">
      <c r="A50" s="12" t="s">
        <v>61</v>
      </c>
      <c r="B50" s="8">
        <v>1129.7658252600004</v>
      </c>
      <c r="C50" s="8">
        <v>837.45628607000003</v>
      </c>
      <c r="D50" s="8">
        <v>616.59467605000009</v>
      </c>
      <c r="E50" s="8">
        <f t="shared" si="27"/>
        <v>2583.8167873800003</v>
      </c>
      <c r="F50" s="8">
        <v>344.45841031000009</v>
      </c>
      <c r="G50" s="8">
        <v>452.17800976000001</v>
      </c>
      <c r="H50" s="8">
        <v>1557.2737663899993</v>
      </c>
      <c r="I50" s="8">
        <f t="shared" si="28"/>
        <v>2353.9101864599993</v>
      </c>
      <c r="J50" s="8">
        <f t="shared" si="3"/>
        <v>4937.7269738399991</v>
      </c>
      <c r="K50" s="8">
        <v>777.55412010999999</v>
      </c>
      <c r="L50" s="8">
        <v>747.50778263000007</v>
      </c>
      <c r="M50" s="8">
        <v>688.25884441999972</v>
      </c>
      <c r="N50" s="8">
        <f t="shared" si="29"/>
        <v>2213.3207471599999</v>
      </c>
      <c r="O50" s="8">
        <v>792.19783329999996</v>
      </c>
      <c r="P50" s="8">
        <v>888.07245455000032</v>
      </c>
      <c r="Q50" s="8">
        <v>784.71410513999933</v>
      </c>
      <c r="R50" s="8">
        <f t="shared" si="30"/>
        <v>2464.9843929899998</v>
      </c>
      <c r="S50" s="8">
        <f t="shared" si="6"/>
        <v>4678.3051401499997</v>
      </c>
      <c r="T50" s="8">
        <f t="shared" si="31"/>
        <v>9616.0321139899988</v>
      </c>
      <c r="U50" s="8"/>
      <c r="V50" s="8"/>
    </row>
    <row r="51" spans="1:22" ht="15" customHeight="1" x14ac:dyDescent="0.3">
      <c r="A51" s="12" t="s">
        <v>62</v>
      </c>
      <c r="B51" s="8">
        <v>393.38549860000001</v>
      </c>
      <c r="C51" s="8">
        <v>273.01165059000004</v>
      </c>
      <c r="D51" s="8">
        <v>209.56301377999992</v>
      </c>
      <c r="E51" s="8">
        <f t="shared" si="27"/>
        <v>875.96016296999994</v>
      </c>
      <c r="F51" s="8">
        <v>112.41165146999998</v>
      </c>
      <c r="G51" s="8">
        <v>142.50408769000001</v>
      </c>
      <c r="H51" s="8">
        <v>469.43113840999996</v>
      </c>
      <c r="I51" s="8">
        <f t="shared" si="28"/>
        <v>724.34687756999995</v>
      </c>
      <c r="J51" s="8">
        <f t="shared" si="3"/>
        <v>1600.3070405399999</v>
      </c>
      <c r="K51" s="8">
        <v>266.21557381000002</v>
      </c>
      <c r="L51" s="8">
        <v>261.33251546999998</v>
      </c>
      <c r="M51" s="8">
        <v>251.32523788999998</v>
      </c>
      <c r="N51" s="8">
        <f t="shared" si="29"/>
        <v>778.87332717000004</v>
      </c>
      <c r="O51" s="8">
        <v>292.17276098999997</v>
      </c>
      <c r="P51" s="8">
        <v>343.59137325000017</v>
      </c>
      <c r="Q51" s="8">
        <v>304.93083930000012</v>
      </c>
      <c r="R51" s="8">
        <f t="shared" si="30"/>
        <v>940.69497354000032</v>
      </c>
      <c r="S51" s="8">
        <f t="shared" si="6"/>
        <v>1719.5683007100004</v>
      </c>
      <c r="T51" s="8">
        <f t="shared" si="31"/>
        <v>3319.87534125</v>
      </c>
      <c r="U51" s="8"/>
      <c r="V51" s="8"/>
    </row>
    <row r="52" spans="1:22" ht="18" customHeight="1" x14ac:dyDescent="0.3">
      <c r="A52" s="12" t="s">
        <v>63</v>
      </c>
      <c r="B52" s="8">
        <v>192.74662542000004</v>
      </c>
      <c r="C52" s="8">
        <v>102.83092798000001</v>
      </c>
      <c r="D52" s="8">
        <v>111.47301662000005</v>
      </c>
      <c r="E52" s="8">
        <f t="shared" si="27"/>
        <v>407.05057002000012</v>
      </c>
      <c r="F52" s="8">
        <v>74.076098709999997</v>
      </c>
      <c r="G52" s="8">
        <v>153.57389974999998</v>
      </c>
      <c r="H52" s="8">
        <v>302.89922258000013</v>
      </c>
      <c r="I52" s="8">
        <f t="shared" si="28"/>
        <v>530.54922104000013</v>
      </c>
      <c r="J52" s="8">
        <f t="shared" si="3"/>
        <v>937.59979106000026</v>
      </c>
      <c r="K52" s="8">
        <v>95.32510019999998</v>
      </c>
      <c r="L52" s="8">
        <v>133.25135108000001</v>
      </c>
      <c r="M52" s="8">
        <v>85.744011959999966</v>
      </c>
      <c r="N52" s="8">
        <f t="shared" si="29"/>
        <v>314.32046323999998</v>
      </c>
      <c r="O52" s="8">
        <v>122.16911510000001</v>
      </c>
      <c r="P52" s="8">
        <v>143.4955654499999</v>
      </c>
      <c r="Q52" s="8">
        <v>111.31603433000002</v>
      </c>
      <c r="R52" s="8">
        <f t="shared" si="30"/>
        <v>376.98071487999994</v>
      </c>
      <c r="S52" s="8">
        <f t="shared" si="6"/>
        <v>691.30117811999992</v>
      </c>
      <c r="T52" s="8">
        <f t="shared" si="31"/>
        <v>1628.9009691800002</v>
      </c>
      <c r="U52" s="8"/>
      <c r="V52" s="8"/>
    </row>
    <row r="53" spans="1:22" ht="15" customHeight="1" x14ac:dyDescent="0.3">
      <c r="A53" s="12" t="s">
        <v>64</v>
      </c>
      <c r="B53" s="8">
        <v>542.28050751999967</v>
      </c>
      <c r="C53" s="8">
        <v>499.84312562000008</v>
      </c>
      <c r="D53" s="8">
        <v>325.86114842000012</v>
      </c>
      <c r="E53" s="8">
        <f t="shared" si="27"/>
        <v>1367.9847815599999</v>
      </c>
      <c r="F53" s="8">
        <v>93.187904360000033</v>
      </c>
      <c r="G53" s="8">
        <v>143.29011711000001</v>
      </c>
      <c r="H53" s="8">
        <v>1213.700002150001</v>
      </c>
      <c r="I53" s="8">
        <f t="shared" si="28"/>
        <v>1450.1780236200011</v>
      </c>
      <c r="J53" s="8">
        <f t="shared" si="3"/>
        <v>2818.1628051800008</v>
      </c>
      <c r="K53" s="8">
        <v>429.17844933000003</v>
      </c>
      <c r="L53" s="8">
        <v>807.48684098000035</v>
      </c>
      <c r="M53" s="8">
        <v>342.57411367999987</v>
      </c>
      <c r="N53" s="8">
        <f t="shared" si="29"/>
        <v>1579.23940399</v>
      </c>
      <c r="O53" s="8">
        <v>473.09341004999953</v>
      </c>
      <c r="P53" s="8">
        <v>865.7234329300004</v>
      </c>
      <c r="Q53" s="8">
        <v>415.52750847999994</v>
      </c>
      <c r="R53" s="8">
        <f t="shared" si="30"/>
        <v>1754.3443514599999</v>
      </c>
      <c r="S53" s="8">
        <f t="shared" si="6"/>
        <v>3333.5837554499999</v>
      </c>
      <c r="T53" s="8">
        <f t="shared" si="31"/>
        <v>6151.7465606300011</v>
      </c>
      <c r="U53" s="8"/>
      <c r="V53" s="8"/>
    </row>
    <row r="54" spans="1:22" ht="15" customHeight="1" x14ac:dyDescent="0.3">
      <c r="A54" s="12" t="s">
        <v>65</v>
      </c>
      <c r="B54" s="8">
        <v>177.08497295999999</v>
      </c>
      <c r="C54" s="8">
        <v>111.08787716000005</v>
      </c>
      <c r="D54" s="8">
        <v>100.87713146999999</v>
      </c>
      <c r="E54" s="8">
        <f t="shared" si="27"/>
        <v>389.04998159000002</v>
      </c>
      <c r="F54" s="8">
        <v>46.355936680000006</v>
      </c>
      <c r="G54" s="8">
        <v>86.878833239999963</v>
      </c>
      <c r="H54" s="8">
        <v>256.76579149999992</v>
      </c>
      <c r="I54" s="8">
        <f t="shared" si="28"/>
        <v>390.00056141999988</v>
      </c>
      <c r="J54" s="8">
        <f t="shared" si="3"/>
        <v>779.05054300999996</v>
      </c>
      <c r="K54" s="8">
        <v>124.78122309999985</v>
      </c>
      <c r="L54" s="8">
        <v>129.97817268000006</v>
      </c>
      <c r="M54" s="8">
        <v>108.59972653000001</v>
      </c>
      <c r="N54" s="8">
        <f t="shared" si="29"/>
        <v>363.35912230999992</v>
      </c>
      <c r="O54" s="8">
        <v>146.02822448000006</v>
      </c>
      <c r="P54" s="8">
        <v>140.08972009000001</v>
      </c>
      <c r="Q54" s="8">
        <v>130.53614851000003</v>
      </c>
      <c r="R54" s="8">
        <f t="shared" si="30"/>
        <v>416.65409308000011</v>
      </c>
      <c r="S54" s="8">
        <f t="shared" si="6"/>
        <v>780.01321539000003</v>
      </c>
      <c r="T54" s="8">
        <f t="shared" si="31"/>
        <v>1559.0637584000001</v>
      </c>
      <c r="U54" s="8"/>
      <c r="V54" s="8"/>
    </row>
    <row r="55" spans="1:22" s="10" customFormat="1" ht="15" customHeight="1" x14ac:dyDescent="0.3">
      <c r="A55" s="3"/>
      <c r="B55" s="11"/>
      <c r="C55" s="11"/>
      <c r="D55" s="11"/>
      <c r="E55" s="11"/>
      <c r="F55" s="11"/>
      <c r="G55" s="11"/>
      <c r="H55" s="11"/>
      <c r="I55" s="11"/>
      <c r="J55" s="11"/>
      <c r="K55" s="11"/>
      <c r="L55" s="11"/>
      <c r="M55" s="11"/>
      <c r="N55" s="11"/>
      <c r="O55" s="11"/>
      <c r="P55" s="11"/>
      <c r="Q55" s="11"/>
      <c r="R55" s="11"/>
      <c r="S55" s="11"/>
      <c r="T55" s="11"/>
      <c r="U55" s="11"/>
      <c r="V55" s="11"/>
    </row>
    <row r="56" spans="1:22" s="10" customFormat="1" ht="15" customHeight="1" x14ac:dyDescent="0.25">
      <c r="A56" s="10" t="s">
        <v>66</v>
      </c>
      <c r="B56" s="11">
        <f>SUM(B57:B62)</f>
        <v>7226.136452599997</v>
      </c>
      <c r="C56" s="11">
        <f t="shared" ref="C56:Q56" si="32">SUM(C57:C62)</f>
        <v>4596.1268060099974</v>
      </c>
      <c r="D56" s="11">
        <f t="shared" si="32"/>
        <v>3782.3644764299988</v>
      </c>
      <c r="E56" s="11">
        <f t="shared" ref="E56:E62" si="33">SUM(B56:D56)</f>
        <v>15604.627735039992</v>
      </c>
      <c r="F56" s="11">
        <f t="shared" si="32"/>
        <v>1910.7038717769997</v>
      </c>
      <c r="G56" s="11">
        <f t="shared" si="32"/>
        <v>2609.5586394399998</v>
      </c>
      <c r="H56" s="11">
        <f t="shared" si="32"/>
        <v>8837.3834711199961</v>
      </c>
      <c r="I56" s="11">
        <f t="shared" ref="I56:I62" si="34">SUM(F56:H56)</f>
        <v>13357.645982336995</v>
      </c>
      <c r="J56" s="11">
        <f t="shared" si="3"/>
        <v>28962.273717376986</v>
      </c>
      <c r="K56" s="11">
        <f t="shared" si="32"/>
        <v>4732.5034237899963</v>
      </c>
      <c r="L56" s="11">
        <f t="shared" si="32"/>
        <v>4867.4914417999989</v>
      </c>
      <c r="M56" s="11">
        <f t="shared" si="32"/>
        <v>4091.5165345899977</v>
      </c>
      <c r="N56" s="11">
        <f t="shared" ref="N56:N62" si="35">SUM(K56:M56)</f>
        <v>13691.511400179992</v>
      </c>
      <c r="O56" s="11">
        <f t="shared" si="32"/>
        <v>5288.9702944100009</v>
      </c>
      <c r="P56" s="11">
        <f t="shared" si="32"/>
        <v>5964.9373477100016</v>
      </c>
      <c r="Q56" s="11">
        <f t="shared" si="32"/>
        <v>5581.4559125299966</v>
      </c>
      <c r="R56" s="11">
        <f t="shared" ref="R56:R62" si="36">SUM(O56:Q56)</f>
        <v>16835.363554650001</v>
      </c>
      <c r="S56" s="11">
        <f t="shared" si="6"/>
        <v>30526.874954829993</v>
      </c>
      <c r="T56" s="11">
        <f t="shared" ref="T56:T62" si="37">+J56+S56</f>
        <v>59489.148672206982</v>
      </c>
      <c r="U56" s="11"/>
      <c r="V56" s="11"/>
    </row>
    <row r="57" spans="1:22" ht="15" customHeight="1" x14ac:dyDescent="0.3">
      <c r="A57" s="12" t="s">
        <v>67</v>
      </c>
      <c r="B57" s="8">
        <v>1632.0501559399995</v>
      </c>
      <c r="C57" s="8">
        <v>1018.5319330000003</v>
      </c>
      <c r="D57" s="8">
        <v>767.79820333999965</v>
      </c>
      <c r="E57" s="8">
        <f t="shared" si="33"/>
        <v>3418.3802922799996</v>
      </c>
      <c r="F57" s="8">
        <v>427.57485027999985</v>
      </c>
      <c r="G57" s="8">
        <v>639.97963577000019</v>
      </c>
      <c r="H57" s="8">
        <v>1869.1820033499987</v>
      </c>
      <c r="I57" s="8">
        <f t="shared" si="34"/>
        <v>2936.7364893999984</v>
      </c>
      <c r="J57" s="8">
        <f t="shared" si="3"/>
        <v>6355.116781679998</v>
      </c>
      <c r="K57" s="8">
        <v>1031.7603887199998</v>
      </c>
      <c r="L57" s="8">
        <v>930.30482545000007</v>
      </c>
      <c r="M57" s="8">
        <v>891.35551849999888</v>
      </c>
      <c r="N57" s="8">
        <f t="shared" si="35"/>
        <v>2853.4207326699989</v>
      </c>
      <c r="O57" s="8">
        <v>1051.2508265699987</v>
      </c>
      <c r="P57" s="8">
        <v>1235.8984911699999</v>
      </c>
      <c r="Q57" s="8">
        <v>1268.0309509800006</v>
      </c>
      <c r="R57" s="8">
        <f t="shared" si="36"/>
        <v>3555.1802687199997</v>
      </c>
      <c r="S57" s="8">
        <f t="shared" si="6"/>
        <v>6408.6010013899986</v>
      </c>
      <c r="T57" s="8">
        <f t="shared" si="37"/>
        <v>12763.717783069997</v>
      </c>
      <c r="U57" s="8"/>
      <c r="V57" s="8"/>
    </row>
    <row r="58" spans="1:22" ht="15" customHeight="1" x14ac:dyDescent="0.3">
      <c r="A58" s="12" t="s">
        <v>68</v>
      </c>
      <c r="B58" s="8">
        <v>2211.7072111499983</v>
      </c>
      <c r="C58" s="8">
        <v>1377.2507793499994</v>
      </c>
      <c r="D58" s="8">
        <v>1081.4994330899992</v>
      </c>
      <c r="E58" s="8">
        <f t="shared" si="33"/>
        <v>4670.4574235899972</v>
      </c>
      <c r="F58" s="8">
        <v>341.13965496000003</v>
      </c>
      <c r="G58" s="8">
        <v>603.88073784999983</v>
      </c>
      <c r="H58" s="8">
        <v>2383.0351670300001</v>
      </c>
      <c r="I58" s="8">
        <f t="shared" si="34"/>
        <v>3328.0555598400001</v>
      </c>
      <c r="J58" s="8">
        <f t="shared" si="3"/>
        <v>7998.5129834299969</v>
      </c>
      <c r="K58" s="8">
        <v>1460.7007929699967</v>
      </c>
      <c r="L58" s="8">
        <v>1425.0051762600001</v>
      </c>
      <c r="M58" s="8">
        <v>1171.3008723799992</v>
      </c>
      <c r="N58" s="8">
        <f t="shared" si="35"/>
        <v>4057.0068416099957</v>
      </c>
      <c r="O58" s="8">
        <v>1735.1494371900019</v>
      </c>
      <c r="P58" s="8">
        <v>1705.9564583900005</v>
      </c>
      <c r="Q58" s="8">
        <v>1733.7594343599981</v>
      </c>
      <c r="R58" s="8">
        <f t="shared" si="36"/>
        <v>5174.8653299400012</v>
      </c>
      <c r="S58" s="8">
        <f t="shared" si="6"/>
        <v>9231.872171549996</v>
      </c>
      <c r="T58" s="8">
        <f t="shared" si="37"/>
        <v>17230.385154979995</v>
      </c>
      <c r="U58" s="8"/>
      <c r="V58" s="8"/>
    </row>
    <row r="59" spans="1:22" ht="15" customHeight="1" x14ac:dyDescent="0.3">
      <c r="A59" s="12" t="s">
        <v>69</v>
      </c>
      <c r="B59" s="8">
        <v>2402.5084066599989</v>
      </c>
      <c r="C59" s="8">
        <v>1548.9028994399978</v>
      </c>
      <c r="D59" s="8">
        <v>1403.2960045999994</v>
      </c>
      <c r="E59" s="8">
        <f t="shared" si="33"/>
        <v>5354.707310699996</v>
      </c>
      <c r="F59" s="8">
        <v>805.87685847</v>
      </c>
      <c r="G59" s="8">
        <v>1051.3525122300002</v>
      </c>
      <c r="H59" s="8">
        <v>3583.6604086799966</v>
      </c>
      <c r="I59" s="8">
        <f t="shared" si="34"/>
        <v>5440.889779379997</v>
      </c>
      <c r="J59" s="8">
        <f t="shared" si="3"/>
        <v>10795.597090079993</v>
      </c>
      <c r="K59" s="8">
        <v>1610.0794883299989</v>
      </c>
      <c r="L59" s="8">
        <v>1918.8221056899984</v>
      </c>
      <c r="M59" s="8">
        <v>1458.8104159799996</v>
      </c>
      <c r="N59" s="8">
        <f t="shared" si="35"/>
        <v>4987.7120099999966</v>
      </c>
      <c r="O59" s="8">
        <v>1816.9094798600008</v>
      </c>
      <c r="P59" s="8">
        <v>2328.9118425500014</v>
      </c>
      <c r="Q59" s="8">
        <v>1872.5854566399985</v>
      </c>
      <c r="R59" s="8">
        <f t="shared" si="36"/>
        <v>6018.4067790500003</v>
      </c>
      <c r="S59" s="8">
        <f t="shared" si="6"/>
        <v>11006.118789049997</v>
      </c>
      <c r="T59" s="8">
        <f t="shared" si="37"/>
        <v>21801.715879129988</v>
      </c>
      <c r="U59" s="8"/>
      <c r="V59" s="8"/>
    </row>
    <row r="60" spans="1:22" ht="15" customHeight="1" x14ac:dyDescent="0.3">
      <c r="A60" s="12" t="s">
        <v>70</v>
      </c>
      <c r="B60" s="8">
        <v>73.057630940000038</v>
      </c>
      <c r="C60" s="8">
        <v>36.636983949999973</v>
      </c>
      <c r="D60" s="8">
        <v>34.472161660000012</v>
      </c>
      <c r="E60" s="8">
        <f t="shared" si="33"/>
        <v>144.16677655000001</v>
      </c>
      <c r="F60" s="8">
        <v>22.43156840999999</v>
      </c>
      <c r="G60" s="8">
        <v>30.565119389999992</v>
      </c>
      <c r="H60" s="8">
        <v>56.476634369999978</v>
      </c>
      <c r="I60" s="8">
        <f t="shared" si="34"/>
        <v>109.47332216999996</v>
      </c>
      <c r="J60" s="8">
        <f t="shared" si="3"/>
        <v>253.64009871999997</v>
      </c>
      <c r="K60" s="8">
        <v>46.464998439999988</v>
      </c>
      <c r="L60" s="8">
        <v>35.635230739999997</v>
      </c>
      <c r="M60" s="8">
        <v>37.229759729999998</v>
      </c>
      <c r="N60" s="8">
        <f t="shared" si="35"/>
        <v>119.32998890999998</v>
      </c>
      <c r="O60" s="8">
        <v>52.995575689999967</v>
      </c>
      <c r="P60" s="8">
        <v>40.961185110000017</v>
      </c>
      <c r="Q60" s="8">
        <v>45.826758469999973</v>
      </c>
      <c r="R60" s="8">
        <f t="shared" si="36"/>
        <v>139.78351926999994</v>
      </c>
      <c r="S60" s="8">
        <f t="shared" si="6"/>
        <v>259.11350817999994</v>
      </c>
      <c r="T60" s="8">
        <f t="shared" si="37"/>
        <v>512.75360689999991</v>
      </c>
      <c r="U60" s="8"/>
      <c r="V60" s="8"/>
    </row>
    <row r="61" spans="1:22" ht="18" customHeight="1" x14ac:dyDescent="0.3">
      <c r="A61" s="12" t="s">
        <v>71</v>
      </c>
      <c r="B61" s="8">
        <v>546.52774828000008</v>
      </c>
      <c r="C61" s="8">
        <v>381.26113256999969</v>
      </c>
      <c r="D61" s="8">
        <v>279.66280642000021</v>
      </c>
      <c r="E61" s="8">
        <f t="shared" si="33"/>
        <v>1207.4516872699999</v>
      </c>
      <c r="F61" s="8">
        <v>218.958612077</v>
      </c>
      <c r="G61" s="8">
        <v>161.19795820000004</v>
      </c>
      <c r="H61" s="8">
        <v>585.47745759000009</v>
      </c>
      <c r="I61" s="8">
        <f t="shared" si="34"/>
        <v>965.6340278670001</v>
      </c>
      <c r="J61" s="8">
        <f t="shared" si="3"/>
        <v>2173.0857151370001</v>
      </c>
      <c r="K61" s="8">
        <v>314.20104167</v>
      </c>
      <c r="L61" s="8">
        <v>317.81949636999963</v>
      </c>
      <c r="M61" s="8">
        <v>298.70467715000012</v>
      </c>
      <c r="N61" s="8">
        <f t="shared" si="35"/>
        <v>930.72521518999974</v>
      </c>
      <c r="O61" s="8">
        <v>381.21575759999968</v>
      </c>
      <c r="P61" s="8">
        <v>400.47285235999971</v>
      </c>
      <c r="Q61" s="8">
        <v>421.70272336999972</v>
      </c>
      <c r="R61" s="8">
        <f t="shared" si="36"/>
        <v>1203.3913333299993</v>
      </c>
      <c r="S61" s="8">
        <f t="shared" si="6"/>
        <v>2134.116548519999</v>
      </c>
      <c r="T61" s="8">
        <f t="shared" si="37"/>
        <v>4307.2022636569991</v>
      </c>
      <c r="U61" s="8"/>
      <c r="V61" s="8"/>
    </row>
    <row r="62" spans="1:22" ht="18" customHeight="1" x14ac:dyDescent="0.3">
      <c r="A62" s="12" t="s">
        <v>72</v>
      </c>
      <c r="B62" s="8">
        <v>360.28529963</v>
      </c>
      <c r="C62" s="8">
        <v>233.54307770000003</v>
      </c>
      <c r="D62" s="8">
        <v>215.6358673200001</v>
      </c>
      <c r="E62" s="8">
        <f t="shared" si="33"/>
        <v>809.46424465000007</v>
      </c>
      <c r="F62" s="8">
        <v>94.722327579999984</v>
      </c>
      <c r="G62" s="8">
        <v>122.58267600000008</v>
      </c>
      <c r="H62" s="8">
        <v>359.55180009999981</v>
      </c>
      <c r="I62" s="8">
        <f t="shared" si="34"/>
        <v>576.85680367999987</v>
      </c>
      <c r="J62" s="8">
        <f t="shared" si="3"/>
        <v>1386.3210483299999</v>
      </c>
      <c r="K62" s="8">
        <v>269.29671365999997</v>
      </c>
      <c r="L62" s="8">
        <v>239.90460729000014</v>
      </c>
      <c r="M62" s="8">
        <v>234.11529085000006</v>
      </c>
      <c r="N62" s="8">
        <f t="shared" si="35"/>
        <v>743.31661180000015</v>
      </c>
      <c r="O62" s="8">
        <v>251.44921750000003</v>
      </c>
      <c r="P62" s="8">
        <v>252.73651813000018</v>
      </c>
      <c r="Q62" s="8">
        <v>239.55058870999989</v>
      </c>
      <c r="R62" s="8">
        <f t="shared" si="36"/>
        <v>743.73632434000001</v>
      </c>
      <c r="S62" s="8">
        <f t="shared" si="6"/>
        <v>1487.0529361400002</v>
      </c>
      <c r="T62" s="8">
        <f t="shared" si="37"/>
        <v>2873.3739844700003</v>
      </c>
      <c r="U62" s="8"/>
      <c r="V62" s="8"/>
    </row>
    <row r="63" spans="1:22" s="10" customFormat="1" ht="15" customHeight="1" x14ac:dyDescent="0.3">
      <c r="A63" s="3"/>
      <c r="B63" s="11"/>
      <c r="C63" s="11"/>
      <c r="D63" s="11"/>
      <c r="E63" s="11"/>
      <c r="F63" s="11"/>
      <c r="G63" s="11"/>
      <c r="H63" s="11"/>
      <c r="I63" s="11"/>
      <c r="J63" s="11"/>
      <c r="K63" s="11"/>
      <c r="L63" s="11"/>
      <c r="M63" s="11"/>
      <c r="N63" s="11"/>
      <c r="O63" s="11"/>
      <c r="P63" s="11"/>
      <c r="Q63" s="11"/>
      <c r="R63" s="11"/>
      <c r="S63" s="11"/>
      <c r="T63" s="11"/>
      <c r="U63" s="11"/>
      <c r="V63" s="11"/>
    </row>
    <row r="64" spans="1:22" s="10" customFormat="1" ht="15" customHeight="1" x14ac:dyDescent="0.25">
      <c r="A64" s="10" t="s">
        <v>73</v>
      </c>
      <c r="B64" s="11">
        <f>SUM(B65:B69)</f>
        <v>688.32061932000022</v>
      </c>
      <c r="C64" s="11">
        <f t="shared" ref="C64:Q64" si="38">SUM(C65:C69)</f>
        <v>483.63672871999989</v>
      </c>
      <c r="D64" s="11">
        <f t="shared" si="38"/>
        <v>406.20168684000009</v>
      </c>
      <c r="E64" s="11">
        <f t="shared" ref="E64:E69" si="39">SUM(B64:D64)</f>
        <v>1578.1590348800003</v>
      </c>
      <c r="F64" s="11">
        <f t="shared" si="38"/>
        <v>231.66289529000005</v>
      </c>
      <c r="G64" s="11">
        <f t="shared" si="38"/>
        <v>352.98765104000012</v>
      </c>
      <c r="H64" s="11">
        <f t="shared" si="38"/>
        <v>755.06556269999999</v>
      </c>
      <c r="I64" s="11">
        <f t="shared" ref="I64:I69" si="40">SUM(F64:H64)</f>
        <v>1339.7161090300001</v>
      </c>
      <c r="J64" s="11">
        <f t="shared" si="3"/>
        <v>2917.8751439100006</v>
      </c>
      <c r="K64" s="11">
        <f t="shared" si="38"/>
        <v>466.31355088999987</v>
      </c>
      <c r="L64" s="11">
        <f t="shared" si="38"/>
        <v>455.89433759000002</v>
      </c>
      <c r="M64" s="11">
        <f t="shared" si="38"/>
        <v>411.52435007999992</v>
      </c>
      <c r="N64" s="11">
        <f t="shared" ref="N64:N69" si="41">SUM(K64:M64)</f>
        <v>1333.7322385599998</v>
      </c>
      <c r="O64" s="11">
        <f t="shared" si="38"/>
        <v>514.28492980999977</v>
      </c>
      <c r="P64" s="11">
        <f t="shared" si="38"/>
        <v>560.40895053000008</v>
      </c>
      <c r="Q64" s="11">
        <f t="shared" si="38"/>
        <v>495.78205500999991</v>
      </c>
      <c r="R64" s="11">
        <f t="shared" ref="R64:R69" si="42">SUM(O64:Q64)</f>
        <v>1570.4759353499999</v>
      </c>
      <c r="S64" s="11">
        <f t="shared" si="6"/>
        <v>2904.2081739099995</v>
      </c>
      <c r="T64" s="11">
        <f t="shared" ref="T64:T69" si="43">+J64+S64</f>
        <v>5822.08331782</v>
      </c>
      <c r="U64" s="11"/>
      <c r="V64" s="11"/>
    </row>
    <row r="65" spans="1:22" ht="15" customHeight="1" x14ac:dyDescent="0.3">
      <c r="A65" s="12" t="s">
        <v>74</v>
      </c>
      <c r="B65" s="8">
        <v>28.332154070000005</v>
      </c>
      <c r="C65" s="8">
        <v>13.763211989999999</v>
      </c>
      <c r="D65" s="8">
        <v>15.362913920000004</v>
      </c>
      <c r="E65" s="8">
        <f t="shared" si="39"/>
        <v>57.458279980000007</v>
      </c>
      <c r="F65" s="8">
        <v>10.146007020000001</v>
      </c>
      <c r="G65" s="8">
        <v>17.085069749999999</v>
      </c>
      <c r="H65" s="8">
        <v>19.377757670000001</v>
      </c>
      <c r="I65" s="8">
        <f t="shared" si="40"/>
        <v>46.608834440000003</v>
      </c>
      <c r="J65" s="8">
        <f t="shared" si="3"/>
        <v>104.06711442000001</v>
      </c>
      <c r="K65" s="8">
        <v>24.744568739999991</v>
      </c>
      <c r="L65" s="8">
        <v>19.438251819999998</v>
      </c>
      <c r="M65" s="8">
        <v>18.84406143</v>
      </c>
      <c r="N65" s="8">
        <f t="shared" si="41"/>
        <v>63.026881989999993</v>
      </c>
      <c r="O65" s="8">
        <v>20.949975129999991</v>
      </c>
      <c r="P65" s="8">
        <v>14.867030249999999</v>
      </c>
      <c r="Q65" s="8">
        <v>15.653941690000002</v>
      </c>
      <c r="R65" s="8">
        <f t="shared" si="42"/>
        <v>51.470947069999994</v>
      </c>
      <c r="S65" s="8">
        <f t="shared" si="6"/>
        <v>114.49782905999999</v>
      </c>
      <c r="T65" s="8">
        <f t="shared" si="43"/>
        <v>218.56494348000001</v>
      </c>
      <c r="U65" s="8"/>
      <c r="V65" s="8"/>
    </row>
    <row r="66" spans="1:22" ht="15" customHeight="1" x14ac:dyDescent="0.3">
      <c r="A66" s="12" t="s">
        <v>75</v>
      </c>
      <c r="B66" s="8">
        <v>55.00955569000002</v>
      </c>
      <c r="C66" s="8">
        <v>47.588513259999978</v>
      </c>
      <c r="D66" s="8">
        <v>63.226218749999987</v>
      </c>
      <c r="E66" s="8">
        <f t="shared" si="39"/>
        <v>165.82428769999999</v>
      </c>
      <c r="F66" s="8">
        <v>30.609241990000008</v>
      </c>
      <c r="G66" s="8">
        <v>35.915293009999992</v>
      </c>
      <c r="H66" s="8">
        <v>68.294670519999983</v>
      </c>
      <c r="I66" s="8">
        <f t="shared" si="40"/>
        <v>134.81920551999997</v>
      </c>
      <c r="J66" s="8">
        <f t="shared" si="3"/>
        <v>300.64349321999998</v>
      </c>
      <c r="K66" s="8">
        <v>52.999681140000014</v>
      </c>
      <c r="L66" s="8">
        <v>46.480286940000013</v>
      </c>
      <c r="M66" s="8">
        <v>48.524343340000001</v>
      </c>
      <c r="N66" s="8">
        <f t="shared" si="41"/>
        <v>148.00431142000002</v>
      </c>
      <c r="O66" s="8">
        <v>55.099756919999976</v>
      </c>
      <c r="P66" s="8">
        <v>62.064988179999986</v>
      </c>
      <c r="Q66" s="8">
        <v>52.060012700000001</v>
      </c>
      <c r="R66" s="8">
        <f t="shared" si="42"/>
        <v>169.22475779999996</v>
      </c>
      <c r="S66" s="8">
        <f t="shared" si="6"/>
        <v>317.22906921999999</v>
      </c>
      <c r="T66" s="8">
        <f t="shared" si="43"/>
        <v>617.87256243999991</v>
      </c>
      <c r="U66" s="8"/>
      <c r="V66" s="8"/>
    </row>
    <row r="67" spans="1:22" ht="15" customHeight="1" x14ac:dyDescent="0.3">
      <c r="A67" s="12" t="s">
        <v>76</v>
      </c>
      <c r="B67" s="8">
        <v>193.11195581000001</v>
      </c>
      <c r="C67" s="8">
        <v>111.70528321999994</v>
      </c>
      <c r="D67" s="8">
        <v>107.46270074000007</v>
      </c>
      <c r="E67" s="8">
        <f t="shared" si="39"/>
        <v>412.27993977</v>
      </c>
      <c r="F67" s="8">
        <v>51.353147729999989</v>
      </c>
      <c r="G67" s="8">
        <v>85.770749139999992</v>
      </c>
      <c r="H67" s="8">
        <v>198.76730538999993</v>
      </c>
      <c r="I67" s="8">
        <f t="shared" si="40"/>
        <v>335.89120225999989</v>
      </c>
      <c r="J67" s="8">
        <f t="shared" si="3"/>
        <v>748.17114202999983</v>
      </c>
      <c r="K67" s="8">
        <v>130.37577255999994</v>
      </c>
      <c r="L67" s="8">
        <v>132.84557311</v>
      </c>
      <c r="M67" s="8">
        <v>114.99646326999999</v>
      </c>
      <c r="N67" s="8">
        <f t="shared" si="41"/>
        <v>378.21780893999994</v>
      </c>
      <c r="O67" s="8">
        <v>139.99239041999988</v>
      </c>
      <c r="P67" s="8">
        <v>150.68289489000003</v>
      </c>
      <c r="Q67" s="8">
        <v>130.71221763999998</v>
      </c>
      <c r="R67" s="8">
        <f t="shared" si="42"/>
        <v>421.38750294999988</v>
      </c>
      <c r="S67" s="8">
        <f t="shared" si="6"/>
        <v>799.60531188999983</v>
      </c>
      <c r="T67" s="8">
        <f t="shared" si="43"/>
        <v>1547.7764539199998</v>
      </c>
      <c r="U67" s="8"/>
      <c r="V67" s="8"/>
    </row>
    <row r="68" spans="1:22" ht="15" customHeight="1" x14ac:dyDescent="0.3">
      <c r="A68" s="12" t="s">
        <v>77</v>
      </c>
      <c r="B68" s="8">
        <v>369.08980426000028</v>
      </c>
      <c r="C68" s="8">
        <v>288.69393931999997</v>
      </c>
      <c r="D68" s="8">
        <v>194.38917296000002</v>
      </c>
      <c r="E68" s="8">
        <f t="shared" si="39"/>
        <v>852.17291654000019</v>
      </c>
      <c r="F68" s="8">
        <v>124.03936196000005</v>
      </c>
      <c r="G68" s="8">
        <v>189.50083428000008</v>
      </c>
      <c r="H68" s="8">
        <v>429.69277302000006</v>
      </c>
      <c r="I68" s="8">
        <f t="shared" si="40"/>
        <v>743.23296926000012</v>
      </c>
      <c r="J68" s="8">
        <f t="shared" si="3"/>
        <v>1595.4058858000003</v>
      </c>
      <c r="K68" s="8">
        <v>228.92351712999991</v>
      </c>
      <c r="L68" s="8">
        <v>228.11321224999998</v>
      </c>
      <c r="M68" s="8">
        <v>201.59060775999995</v>
      </c>
      <c r="N68" s="8">
        <f t="shared" si="41"/>
        <v>658.62733713999978</v>
      </c>
      <c r="O68" s="8">
        <v>263.65090886000002</v>
      </c>
      <c r="P68" s="8">
        <v>304.4008816700001</v>
      </c>
      <c r="Q68" s="8">
        <v>269.26065356999993</v>
      </c>
      <c r="R68" s="8">
        <f t="shared" si="42"/>
        <v>837.31244409999999</v>
      </c>
      <c r="S68" s="8">
        <f t="shared" si="6"/>
        <v>1495.9397812399998</v>
      </c>
      <c r="T68" s="8">
        <f t="shared" si="43"/>
        <v>3091.3456670400001</v>
      </c>
      <c r="U68" s="8"/>
      <c r="V68" s="8"/>
    </row>
    <row r="69" spans="1:22" ht="15" customHeight="1" x14ac:dyDescent="0.3">
      <c r="A69" s="12" t="s">
        <v>78</v>
      </c>
      <c r="B69" s="8">
        <v>42.777149489999992</v>
      </c>
      <c r="C69" s="8">
        <v>21.885780929999999</v>
      </c>
      <c r="D69" s="8">
        <v>25.760680469999993</v>
      </c>
      <c r="E69" s="8">
        <f t="shared" si="39"/>
        <v>90.423610889999992</v>
      </c>
      <c r="F69" s="8">
        <v>15.515136589999999</v>
      </c>
      <c r="G69" s="8">
        <v>24.715704859999999</v>
      </c>
      <c r="H69" s="8">
        <v>38.933056100000009</v>
      </c>
      <c r="I69" s="8">
        <f t="shared" si="40"/>
        <v>79.163897550000002</v>
      </c>
      <c r="J69" s="8">
        <f t="shared" si="3"/>
        <v>169.58750843999999</v>
      </c>
      <c r="K69" s="8">
        <v>29.270011319999998</v>
      </c>
      <c r="L69" s="8">
        <v>29.017013470000002</v>
      </c>
      <c r="M69" s="8">
        <v>27.568874279999992</v>
      </c>
      <c r="N69" s="8">
        <f t="shared" si="41"/>
        <v>85.855899069999992</v>
      </c>
      <c r="O69" s="8">
        <v>34.591898479999998</v>
      </c>
      <c r="P69" s="8">
        <v>28.393155539999999</v>
      </c>
      <c r="Q69" s="8">
        <v>28.095229410000005</v>
      </c>
      <c r="R69" s="8">
        <f t="shared" si="42"/>
        <v>91.080283429999994</v>
      </c>
      <c r="S69" s="8">
        <f t="shared" si="6"/>
        <v>176.93618249999997</v>
      </c>
      <c r="T69" s="8">
        <f t="shared" si="43"/>
        <v>346.52369093999994</v>
      </c>
      <c r="U69" s="8"/>
      <c r="V69" s="8"/>
    </row>
    <row r="70" spans="1:22" s="10" customFormat="1" ht="15" customHeight="1" x14ac:dyDescent="0.3">
      <c r="A70" s="3"/>
      <c r="B70" s="11"/>
      <c r="C70" s="11"/>
      <c r="D70" s="11"/>
      <c r="E70" s="11"/>
      <c r="F70" s="11"/>
      <c r="G70" s="11"/>
      <c r="H70" s="11"/>
      <c r="I70" s="11"/>
      <c r="J70" s="11"/>
      <c r="K70" s="11"/>
      <c r="L70" s="11"/>
      <c r="M70" s="11"/>
      <c r="N70" s="11"/>
      <c r="O70" s="11"/>
      <c r="P70" s="11"/>
      <c r="Q70" s="11"/>
      <c r="R70" s="11"/>
      <c r="S70" s="11"/>
      <c r="T70" s="11"/>
      <c r="U70" s="11"/>
      <c r="V70" s="11"/>
    </row>
    <row r="71" spans="1:22" s="10" customFormat="1" ht="15" customHeight="1" x14ac:dyDescent="0.25">
      <c r="A71" s="10" t="s">
        <v>79</v>
      </c>
      <c r="B71" s="11">
        <f>SUM(B72:B77)</f>
        <v>1092.1541756400006</v>
      </c>
      <c r="C71" s="11">
        <f t="shared" ref="C71:Q71" si="44">SUM(C72:C77)</f>
        <v>625.38344661999986</v>
      </c>
      <c r="D71" s="11">
        <f t="shared" si="44"/>
        <v>649.32611080000004</v>
      </c>
      <c r="E71" s="11">
        <f t="shared" ref="E71:E77" si="45">SUM(B71:D71)</f>
        <v>2366.8637330600004</v>
      </c>
      <c r="F71" s="11">
        <f t="shared" si="44"/>
        <v>338.11768078</v>
      </c>
      <c r="G71" s="11">
        <f t="shared" si="44"/>
        <v>500.31136332999995</v>
      </c>
      <c r="H71" s="11">
        <f t="shared" si="44"/>
        <v>1136.3344109</v>
      </c>
      <c r="I71" s="11">
        <f t="shared" ref="I71:I77" si="46">SUM(F71:H71)</f>
        <v>1974.7634550099999</v>
      </c>
      <c r="J71" s="11">
        <f t="shared" si="3"/>
        <v>4341.6271880700006</v>
      </c>
      <c r="K71" s="11">
        <f t="shared" si="44"/>
        <v>817.67596917000003</v>
      </c>
      <c r="L71" s="11">
        <f t="shared" si="44"/>
        <v>781.65209274999984</v>
      </c>
      <c r="M71" s="11">
        <f t="shared" si="44"/>
        <v>659.52038571999992</v>
      </c>
      <c r="N71" s="11">
        <f t="shared" ref="N71:N77" si="47">SUM(K71:M71)</f>
        <v>2258.8484476399999</v>
      </c>
      <c r="O71" s="11">
        <f t="shared" si="44"/>
        <v>845.49739944999988</v>
      </c>
      <c r="P71" s="11">
        <f t="shared" si="44"/>
        <v>752.92144902000018</v>
      </c>
      <c r="Q71" s="11">
        <f t="shared" si="44"/>
        <v>782.36505625000007</v>
      </c>
      <c r="R71" s="11">
        <f t="shared" ref="R71:R77" si="48">SUM(O71:Q71)</f>
        <v>2380.78390472</v>
      </c>
      <c r="S71" s="11">
        <f t="shared" si="6"/>
        <v>4639.6323523600004</v>
      </c>
      <c r="T71" s="11">
        <f t="shared" ref="T71:T77" si="49">+J71+S71</f>
        <v>8981.2595404300009</v>
      </c>
      <c r="U71" s="11"/>
      <c r="V71" s="11"/>
    </row>
    <row r="72" spans="1:22" ht="15" customHeight="1" x14ac:dyDescent="0.3">
      <c r="A72" s="12" t="s">
        <v>80</v>
      </c>
      <c r="B72" s="8">
        <v>401.26808369000048</v>
      </c>
      <c r="C72" s="8">
        <v>217.22678093999988</v>
      </c>
      <c r="D72" s="8">
        <v>184.70094721000001</v>
      </c>
      <c r="E72" s="8">
        <f t="shared" si="45"/>
        <v>803.19581184000037</v>
      </c>
      <c r="F72" s="8">
        <v>102.48438212000001</v>
      </c>
      <c r="G72" s="8">
        <v>175.05868396000002</v>
      </c>
      <c r="H72" s="8">
        <v>405.98086277000016</v>
      </c>
      <c r="I72" s="8">
        <f t="shared" si="46"/>
        <v>683.52392885000017</v>
      </c>
      <c r="J72" s="8">
        <f t="shared" ref="J72:J77" si="50">+E72+I72</f>
        <v>1486.7197406900004</v>
      </c>
      <c r="K72" s="8">
        <v>256.37231204000005</v>
      </c>
      <c r="L72" s="8">
        <v>245.36917749</v>
      </c>
      <c r="M72" s="8">
        <v>206.59857793999993</v>
      </c>
      <c r="N72" s="8">
        <f t="shared" si="47"/>
        <v>708.34006747000001</v>
      </c>
      <c r="O72" s="8">
        <v>281.39584348999989</v>
      </c>
      <c r="P72" s="8">
        <v>233.65183310000009</v>
      </c>
      <c r="Q72" s="8">
        <v>256.58173907000003</v>
      </c>
      <c r="R72" s="8">
        <f t="shared" si="48"/>
        <v>771.62941566000006</v>
      </c>
      <c r="S72" s="8">
        <f t="shared" ref="S72:S77" si="51">+N72+R72</f>
        <v>1479.9694831300001</v>
      </c>
      <c r="T72" s="8">
        <f t="shared" si="49"/>
        <v>2966.6892238200007</v>
      </c>
      <c r="U72" s="8"/>
      <c r="V72" s="8"/>
    </row>
    <row r="73" spans="1:22" ht="15" customHeight="1" x14ac:dyDescent="0.3">
      <c r="A73" s="12" t="s">
        <v>81</v>
      </c>
      <c r="B73" s="8">
        <v>82.549105569999981</v>
      </c>
      <c r="C73" s="8">
        <v>57.11040224000002</v>
      </c>
      <c r="D73" s="8">
        <v>55.995065279999999</v>
      </c>
      <c r="E73" s="8">
        <f t="shared" si="45"/>
        <v>195.65457309000001</v>
      </c>
      <c r="F73" s="8">
        <v>38.829422569999984</v>
      </c>
      <c r="G73" s="8">
        <v>47.600255250000018</v>
      </c>
      <c r="H73" s="8">
        <v>99.840607130000009</v>
      </c>
      <c r="I73" s="8">
        <f t="shared" si="46"/>
        <v>186.27028495000002</v>
      </c>
      <c r="J73" s="8">
        <f t="shared" si="50"/>
        <v>381.92485804</v>
      </c>
      <c r="K73" s="8">
        <v>76.458294059999986</v>
      </c>
      <c r="L73" s="8">
        <v>74.563526479999993</v>
      </c>
      <c r="M73" s="8">
        <v>60.49809106</v>
      </c>
      <c r="N73" s="8">
        <f t="shared" si="47"/>
        <v>211.51991159999997</v>
      </c>
      <c r="O73" s="8">
        <v>68.407272499999991</v>
      </c>
      <c r="P73" s="8">
        <v>72.969382399999972</v>
      </c>
      <c r="Q73" s="8">
        <v>81.146667440000016</v>
      </c>
      <c r="R73" s="8">
        <f t="shared" si="48"/>
        <v>222.52332233999996</v>
      </c>
      <c r="S73" s="8">
        <f t="shared" si="51"/>
        <v>434.04323393999994</v>
      </c>
      <c r="T73" s="8">
        <f t="shared" si="49"/>
        <v>815.96809197999994</v>
      </c>
      <c r="U73" s="8"/>
      <c r="V73" s="8"/>
    </row>
    <row r="74" spans="1:22" ht="15" customHeight="1" x14ac:dyDescent="0.3">
      <c r="A74" s="12" t="s">
        <v>82</v>
      </c>
      <c r="B74" s="8">
        <v>369.10609367000006</v>
      </c>
      <c r="C74" s="8">
        <v>224.75624617999995</v>
      </c>
      <c r="D74" s="8">
        <v>279.98469669999997</v>
      </c>
      <c r="E74" s="8">
        <f t="shared" si="45"/>
        <v>873.84703654999998</v>
      </c>
      <c r="F74" s="8">
        <v>98.687835740000025</v>
      </c>
      <c r="G74" s="8">
        <v>143.73754295999996</v>
      </c>
      <c r="H74" s="8">
        <v>414.63470128999995</v>
      </c>
      <c r="I74" s="8">
        <f t="shared" si="46"/>
        <v>657.06007998999996</v>
      </c>
      <c r="J74" s="8">
        <f t="shared" si="50"/>
        <v>1530.9071165400001</v>
      </c>
      <c r="K74" s="8">
        <v>300.57907411999997</v>
      </c>
      <c r="L74" s="8">
        <v>295.02553473999984</v>
      </c>
      <c r="M74" s="8">
        <v>222.04230369000007</v>
      </c>
      <c r="N74" s="8">
        <f t="shared" si="47"/>
        <v>817.64691254999991</v>
      </c>
      <c r="O74" s="8">
        <v>271.06359183000001</v>
      </c>
      <c r="P74" s="8">
        <v>281.80777304000003</v>
      </c>
      <c r="Q74" s="8">
        <v>264.87036296000008</v>
      </c>
      <c r="R74" s="8">
        <f t="shared" si="48"/>
        <v>817.74172783000006</v>
      </c>
      <c r="S74" s="8">
        <f t="shared" si="51"/>
        <v>1635.38864038</v>
      </c>
      <c r="T74" s="8">
        <f t="shared" si="49"/>
        <v>3166.2957569199998</v>
      </c>
      <c r="U74" s="8"/>
      <c r="V74" s="8"/>
    </row>
    <row r="75" spans="1:22" ht="15" customHeight="1" x14ac:dyDescent="0.3">
      <c r="A75" s="12" t="s">
        <v>83</v>
      </c>
      <c r="B75" s="8">
        <v>64.604379989999984</v>
      </c>
      <c r="C75" s="8">
        <v>32.763417049999994</v>
      </c>
      <c r="D75" s="8">
        <v>31.822896019999998</v>
      </c>
      <c r="E75" s="8">
        <f t="shared" si="45"/>
        <v>129.19069305999997</v>
      </c>
      <c r="F75" s="8">
        <v>28.598329059999994</v>
      </c>
      <c r="G75" s="8">
        <v>34.334420389999991</v>
      </c>
      <c r="H75" s="8">
        <v>64.352224419999999</v>
      </c>
      <c r="I75" s="8">
        <f t="shared" si="46"/>
        <v>127.28497386999999</v>
      </c>
      <c r="J75" s="8">
        <f t="shared" si="50"/>
        <v>256.47566692999999</v>
      </c>
      <c r="K75" s="8">
        <v>46.404509449999985</v>
      </c>
      <c r="L75" s="8">
        <v>40.545603440000001</v>
      </c>
      <c r="M75" s="8">
        <v>41.381357479999991</v>
      </c>
      <c r="N75" s="8">
        <f t="shared" si="47"/>
        <v>128.33147036999998</v>
      </c>
      <c r="O75" s="8">
        <v>50.11015480999999</v>
      </c>
      <c r="P75" s="8">
        <v>33.106584549999994</v>
      </c>
      <c r="Q75" s="8">
        <v>38.07352908</v>
      </c>
      <c r="R75" s="8">
        <f t="shared" si="48"/>
        <v>121.29026843999999</v>
      </c>
      <c r="S75" s="8">
        <f t="shared" si="51"/>
        <v>249.62173880999995</v>
      </c>
      <c r="T75" s="8">
        <f t="shared" si="49"/>
        <v>506.09740573999994</v>
      </c>
      <c r="U75" s="8"/>
      <c r="V75" s="8"/>
    </row>
    <row r="76" spans="1:22" ht="15" customHeight="1" x14ac:dyDescent="0.3">
      <c r="A76" s="12" t="s">
        <v>84</v>
      </c>
      <c r="B76" s="8">
        <v>66.797164530000003</v>
      </c>
      <c r="C76" s="8">
        <v>41.526815659999997</v>
      </c>
      <c r="D76" s="8">
        <v>44.786613179999996</v>
      </c>
      <c r="E76" s="8">
        <f t="shared" si="45"/>
        <v>153.11059337</v>
      </c>
      <c r="F76" s="8">
        <v>29.234709950000003</v>
      </c>
      <c r="G76" s="8">
        <v>45.45567118999999</v>
      </c>
      <c r="H76" s="8">
        <v>71.703934390000015</v>
      </c>
      <c r="I76" s="8">
        <f t="shared" si="46"/>
        <v>146.39431553000003</v>
      </c>
      <c r="J76" s="8">
        <f t="shared" si="50"/>
        <v>299.50490890000003</v>
      </c>
      <c r="K76" s="8">
        <v>54.939936729999985</v>
      </c>
      <c r="L76" s="8">
        <v>57.841852700000004</v>
      </c>
      <c r="M76" s="8">
        <v>63.79146552000001</v>
      </c>
      <c r="N76" s="8">
        <f t="shared" si="47"/>
        <v>176.57325495000001</v>
      </c>
      <c r="O76" s="8">
        <v>61.846655149999989</v>
      </c>
      <c r="P76" s="8">
        <v>58.046798540000005</v>
      </c>
      <c r="Q76" s="8">
        <v>63.51867768999999</v>
      </c>
      <c r="R76" s="8">
        <f t="shared" si="48"/>
        <v>183.41213138000001</v>
      </c>
      <c r="S76" s="8">
        <f t="shared" si="51"/>
        <v>359.98538632999998</v>
      </c>
      <c r="T76" s="8">
        <f t="shared" si="49"/>
        <v>659.49029523000002</v>
      </c>
      <c r="U76" s="8"/>
      <c r="V76" s="8"/>
    </row>
    <row r="77" spans="1:22" ht="15" customHeight="1" x14ac:dyDescent="0.3">
      <c r="A77" s="12" t="s">
        <v>85</v>
      </c>
      <c r="B77" s="8">
        <v>107.82934819</v>
      </c>
      <c r="C77" s="8">
        <v>51.999784550000015</v>
      </c>
      <c r="D77" s="8">
        <v>52.035892410000002</v>
      </c>
      <c r="E77" s="8">
        <f t="shared" si="45"/>
        <v>211.86502515000004</v>
      </c>
      <c r="F77" s="8">
        <v>40.283001339999998</v>
      </c>
      <c r="G77" s="8">
        <v>54.124789579999991</v>
      </c>
      <c r="H77" s="8">
        <v>79.82208089999996</v>
      </c>
      <c r="I77" s="8">
        <f t="shared" si="46"/>
        <v>174.22987181999997</v>
      </c>
      <c r="J77" s="8">
        <f t="shared" si="50"/>
        <v>386.09489697000004</v>
      </c>
      <c r="K77" s="8">
        <v>82.921842769999969</v>
      </c>
      <c r="L77" s="8">
        <v>68.306397899999979</v>
      </c>
      <c r="M77" s="8">
        <v>65.208590030000039</v>
      </c>
      <c r="N77" s="8">
        <f t="shared" si="47"/>
        <v>216.43683069999997</v>
      </c>
      <c r="O77" s="8">
        <v>112.67388166999997</v>
      </c>
      <c r="P77" s="8">
        <v>73.339077390000014</v>
      </c>
      <c r="Q77" s="8">
        <v>78.174080009999969</v>
      </c>
      <c r="R77" s="8">
        <f t="shared" si="48"/>
        <v>264.18703906999997</v>
      </c>
      <c r="S77" s="8">
        <f t="shared" si="51"/>
        <v>480.62386976999994</v>
      </c>
      <c r="T77" s="8">
        <f t="shared" si="49"/>
        <v>866.71876673999998</v>
      </c>
      <c r="U77" s="8"/>
      <c r="V77" s="8"/>
    </row>
    <row r="78" spans="1:22" s="10" customFormat="1" ht="15" customHeight="1" x14ac:dyDescent="0.3">
      <c r="A78" s="3"/>
      <c r="B78" s="11"/>
      <c r="C78" s="11"/>
      <c r="D78" s="11"/>
      <c r="E78" s="11"/>
      <c r="F78" s="11"/>
      <c r="G78" s="11"/>
      <c r="H78" s="11"/>
      <c r="I78" s="11"/>
      <c r="J78" s="11"/>
      <c r="K78" s="11"/>
      <c r="L78" s="11"/>
      <c r="M78" s="11"/>
      <c r="N78" s="11"/>
      <c r="O78" s="11"/>
      <c r="P78" s="11"/>
      <c r="Q78" s="11"/>
      <c r="R78" s="11"/>
      <c r="S78" s="11"/>
      <c r="T78" s="11"/>
      <c r="U78" s="11"/>
      <c r="V78" s="11"/>
    </row>
    <row r="79" spans="1:22" s="10" customFormat="1" ht="15" customHeight="1" x14ac:dyDescent="0.25">
      <c r="A79" s="10" t="s">
        <v>86</v>
      </c>
      <c r="B79" s="11">
        <f>SUM(B80:B84)</f>
        <v>1371.7617386499996</v>
      </c>
      <c r="C79" s="11">
        <f t="shared" ref="C79:Q79" si="52">SUM(C80:C84)</f>
        <v>830.71887016000005</v>
      </c>
      <c r="D79" s="11">
        <f t="shared" si="52"/>
        <v>730.52079258999981</v>
      </c>
      <c r="E79" s="11">
        <f t="shared" ref="E79:E84" si="53">SUM(B79:D79)</f>
        <v>2933.0014013999994</v>
      </c>
      <c r="F79" s="11">
        <f t="shared" si="52"/>
        <v>417.17934604999999</v>
      </c>
      <c r="G79" s="11">
        <f t="shared" si="52"/>
        <v>448.87549126000022</v>
      </c>
      <c r="H79" s="11">
        <f t="shared" si="52"/>
        <v>1362.0799167700002</v>
      </c>
      <c r="I79" s="11">
        <f t="shared" ref="I79:I84" si="54">SUM(F79:H79)</f>
        <v>2228.1347540800007</v>
      </c>
      <c r="J79" s="11">
        <f t="shared" ref="J79:J84" si="55">+E79+I79</f>
        <v>5161.1361554800005</v>
      </c>
      <c r="K79" s="11">
        <f t="shared" si="52"/>
        <v>886.7220145199999</v>
      </c>
      <c r="L79" s="11">
        <f t="shared" si="52"/>
        <v>791.91859020000038</v>
      </c>
      <c r="M79" s="11">
        <f t="shared" si="52"/>
        <v>729.06265198000006</v>
      </c>
      <c r="N79" s="11">
        <f t="shared" ref="N79:N84" si="56">SUM(K79:M79)</f>
        <v>2407.7032567000006</v>
      </c>
      <c r="O79" s="11">
        <f t="shared" si="52"/>
        <v>1135.2519591200007</v>
      </c>
      <c r="P79" s="11">
        <f t="shared" si="52"/>
        <v>837.91477536000025</v>
      </c>
      <c r="Q79" s="11">
        <f t="shared" si="52"/>
        <v>867.35833181000021</v>
      </c>
      <c r="R79" s="11">
        <f t="shared" ref="R79:R84" si="57">SUM(O79:Q79)</f>
        <v>2840.5250662900012</v>
      </c>
      <c r="S79" s="11">
        <f t="shared" ref="S79:S84" si="58">+N79+R79</f>
        <v>5248.2283229900022</v>
      </c>
      <c r="T79" s="11">
        <f t="shared" ref="T79:T84" si="59">+J79+S79</f>
        <v>10409.364478470003</v>
      </c>
      <c r="U79" s="11"/>
      <c r="V79" s="11"/>
    </row>
    <row r="80" spans="1:22" ht="15" customHeight="1" x14ac:dyDescent="0.3">
      <c r="A80" s="12" t="s">
        <v>87</v>
      </c>
      <c r="B80" s="8">
        <v>229.12923256999997</v>
      </c>
      <c r="C80" s="8">
        <v>148.01177864999997</v>
      </c>
      <c r="D80" s="8">
        <v>132.50317622000006</v>
      </c>
      <c r="E80" s="8">
        <f t="shared" si="53"/>
        <v>509.64418744</v>
      </c>
      <c r="F80" s="8">
        <v>42.806840190000003</v>
      </c>
      <c r="G80" s="8">
        <v>68.829280810000014</v>
      </c>
      <c r="H80" s="8">
        <v>231.42044433000001</v>
      </c>
      <c r="I80" s="8">
        <f t="shared" si="54"/>
        <v>343.05656533000001</v>
      </c>
      <c r="J80" s="8">
        <f t="shared" si="55"/>
        <v>852.70075277000001</v>
      </c>
      <c r="K80" s="8">
        <v>101.54335828000002</v>
      </c>
      <c r="L80" s="8">
        <v>117.65248550999991</v>
      </c>
      <c r="M80" s="8">
        <v>148.84681527000009</v>
      </c>
      <c r="N80" s="8">
        <f t="shared" si="56"/>
        <v>368.04265906000001</v>
      </c>
      <c r="O80" s="8">
        <v>400.38000708000027</v>
      </c>
      <c r="P80" s="8">
        <v>87.253745830000028</v>
      </c>
      <c r="Q80" s="8">
        <v>119.08894916000001</v>
      </c>
      <c r="R80" s="8">
        <f t="shared" si="57"/>
        <v>606.72270207000031</v>
      </c>
      <c r="S80" s="8">
        <f t="shared" si="58"/>
        <v>974.76536113000031</v>
      </c>
      <c r="T80" s="8">
        <f t="shared" si="59"/>
        <v>1827.4661139000004</v>
      </c>
      <c r="U80" s="8"/>
      <c r="V80" s="8"/>
    </row>
    <row r="81" spans="1:22" ht="15" customHeight="1" x14ac:dyDescent="0.3">
      <c r="A81" s="12" t="s">
        <v>88</v>
      </c>
      <c r="B81" s="8">
        <v>68.025201690000003</v>
      </c>
      <c r="C81" s="8">
        <v>53.958332029999994</v>
      </c>
      <c r="D81" s="8">
        <v>33.531615830000007</v>
      </c>
      <c r="E81" s="8">
        <f t="shared" si="53"/>
        <v>155.51514954999999</v>
      </c>
      <c r="F81" s="8">
        <v>27.09776681</v>
      </c>
      <c r="G81" s="8">
        <v>33.272073249999998</v>
      </c>
      <c r="H81" s="8">
        <v>67.357631519999998</v>
      </c>
      <c r="I81" s="8">
        <f t="shared" si="54"/>
        <v>127.72747158</v>
      </c>
      <c r="J81" s="8">
        <f t="shared" si="55"/>
        <v>283.24262112999997</v>
      </c>
      <c r="K81" s="8">
        <v>57.766178660000016</v>
      </c>
      <c r="L81" s="8">
        <v>47.956998219999996</v>
      </c>
      <c r="M81" s="8">
        <v>56.598470979999988</v>
      </c>
      <c r="N81" s="8">
        <f t="shared" si="56"/>
        <v>162.32164785999998</v>
      </c>
      <c r="O81" s="8">
        <v>56.044141839999988</v>
      </c>
      <c r="P81" s="8">
        <v>50.675657269999988</v>
      </c>
      <c r="Q81" s="8">
        <v>60.393769620000015</v>
      </c>
      <c r="R81" s="8">
        <f t="shared" si="57"/>
        <v>167.11356873</v>
      </c>
      <c r="S81" s="8">
        <f t="shared" si="58"/>
        <v>329.43521658999998</v>
      </c>
      <c r="T81" s="8">
        <f t="shared" si="59"/>
        <v>612.67783771999996</v>
      </c>
      <c r="U81" s="8"/>
      <c r="V81" s="8"/>
    </row>
    <row r="82" spans="1:22" ht="15" customHeight="1" x14ac:dyDescent="0.3">
      <c r="A82" s="12" t="s">
        <v>89</v>
      </c>
      <c r="B82" s="8">
        <v>142.31239911999992</v>
      </c>
      <c r="C82" s="8">
        <v>86.145591350000018</v>
      </c>
      <c r="D82" s="8">
        <v>76.539714379999992</v>
      </c>
      <c r="E82" s="8">
        <f t="shared" si="53"/>
        <v>304.99770484999993</v>
      </c>
      <c r="F82" s="8">
        <v>60.008563670000029</v>
      </c>
      <c r="G82" s="8">
        <v>66.840031830000001</v>
      </c>
      <c r="H82" s="8">
        <v>115.07169657000009</v>
      </c>
      <c r="I82" s="8">
        <f t="shared" si="54"/>
        <v>241.92029207000013</v>
      </c>
      <c r="J82" s="8">
        <f t="shared" si="55"/>
        <v>546.91799692000006</v>
      </c>
      <c r="K82" s="8">
        <v>157.20468248999998</v>
      </c>
      <c r="L82" s="8">
        <v>85.268942790000025</v>
      </c>
      <c r="M82" s="8">
        <v>77.013371310000068</v>
      </c>
      <c r="N82" s="8">
        <f t="shared" si="56"/>
        <v>319.4869965900001</v>
      </c>
      <c r="O82" s="8">
        <v>107.06970024</v>
      </c>
      <c r="P82" s="8">
        <v>106.26336381999991</v>
      </c>
      <c r="Q82" s="8">
        <v>96.785045929999995</v>
      </c>
      <c r="R82" s="8">
        <f t="shared" si="57"/>
        <v>310.11810998999988</v>
      </c>
      <c r="S82" s="8">
        <f t="shared" si="58"/>
        <v>629.60510657999998</v>
      </c>
      <c r="T82" s="8">
        <f t="shared" si="59"/>
        <v>1176.5231035000002</v>
      </c>
      <c r="U82" s="8"/>
      <c r="V82" s="8"/>
    </row>
    <row r="83" spans="1:22" ht="15" customHeight="1" x14ac:dyDescent="0.3">
      <c r="A83" s="12" t="s">
        <v>90</v>
      </c>
      <c r="B83" s="8">
        <v>118.30324634</v>
      </c>
      <c r="C83" s="8">
        <v>72.007435960000024</v>
      </c>
      <c r="D83" s="8">
        <v>67.368565920000009</v>
      </c>
      <c r="E83" s="8">
        <f t="shared" si="53"/>
        <v>257.67924822000003</v>
      </c>
      <c r="F83" s="8">
        <v>51.644158969999999</v>
      </c>
      <c r="G83" s="8">
        <v>56.751051140000001</v>
      </c>
      <c r="H83" s="8">
        <v>112.16860477</v>
      </c>
      <c r="I83" s="8">
        <f t="shared" si="54"/>
        <v>220.56381488</v>
      </c>
      <c r="J83" s="8">
        <f t="shared" si="55"/>
        <v>478.24306310000003</v>
      </c>
      <c r="K83" s="8">
        <v>91.973604010000003</v>
      </c>
      <c r="L83" s="8">
        <v>88.3461061</v>
      </c>
      <c r="M83" s="8">
        <v>78.490265090000008</v>
      </c>
      <c r="N83" s="8">
        <f t="shared" si="56"/>
        <v>258.80997520000005</v>
      </c>
      <c r="O83" s="8">
        <v>106.58111298999998</v>
      </c>
      <c r="P83" s="8">
        <v>83.566372499999986</v>
      </c>
      <c r="Q83" s="8">
        <v>102.12588565</v>
      </c>
      <c r="R83" s="8">
        <f t="shared" si="57"/>
        <v>292.27337113999994</v>
      </c>
      <c r="S83" s="8">
        <f t="shared" si="58"/>
        <v>551.08334633999993</v>
      </c>
      <c r="T83" s="8">
        <f t="shared" si="59"/>
        <v>1029.3264094399999</v>
      </c>
      <c r="U83" s="8"/>
      <c r="V83" s="8"/>
    </row>
    <row r="84" spans="1:22" ht="18" customHeight="1" x14ac:dyDescent="0.3">
      <c r="A84" s="12" t="s">
        <v>91</v>
      </c>
      <c r="B84" s="8">
        <v>813.99165892999986</v>
      </c>
      <c r="C84" s="8">
        <v>470.59573217000008</v>
      </c>
      <c r="D84" s="8">
        <v>420.57772023999973</v>
      </c>
      <c r="E84" s="8">
        <f t="shared" si="53"/>
        <v>1705.1651113399996</v>
      </c>
      <c r="F84" s="8">
        <v>235.62201640999996</v>
      </c>
      <c r="G84" s="8">
        <v>223.18305423000021</v>
      </c>
      <c r="H84" s="8">
        <v>836.06153958000016</v>
      </c>
      <c r="I84" s="8">
        <f t="shared" si="54"/>
        <v>1294.8666102200004</v>
      </c>
      <c r="J84" s="8">
        <f t="shared" si="55"/>
        <v>3000.0317215599998</v>
      </c>
      <c r="K84" s="8">
        <v>478.2341910799999</v>
      </c>
      <c r="L84" s="8">
        <v>452.69405758000039</v>
      </c>
      <c r="M84" s="8">
        <v>368.11372932999984</v>
      </c>
      <c r="N84" s="8">
        <f t="shared" si="56"/>
        <v>1299.0419779900001</v>
      </c>
      <c r="O84" s="8">
        <v>465.17699697000035</v>
      </c>
      <c r="P84" s="8">
        <v>510.15563594000031</v>
      </c>
      <c r="Q84" s="8">
        <v>488.96468145000017</v>
      </c>
      <c r="R84" s="8">
        <f t="shared" si="57"/>
        <v>1464.2973143600009</v>
      </c>
      <c r="S84" s="8">
        <f t="shared" si="58"/>
        <v>2763.339292350001</v>
      </c>
      <c r="T84" s="8">
        <f t="shared" si="59"/>
        <v>5763.3710139100003</v>
      </c>
      <c r="U84" s="8"/>
      <c r="V84" s="8"/>
    </row>
    <row r="85" spans="1:22" s="10" customFormat="1" ht="15" customHeight="1" x14ac:dyDescent="0.3">
      <c r="A85" s="3"/>
      <c r="B85" s="11"/>
      <c r="C85" s="11"/>
      <c r="D85" s="11"/>
      <c r="E85" s="11"/>
      <c r="F85" s="11"/>
      <c r="G85" s="11"/>
      <c r="H85" s="11"/>
      <c r="I85" s="11"/>
      <c r="J85" s="11"/>
      <c r="K85" s="11"/>
      <c r="L85" s="11"/>
      <c r="M85" s="11"/>
      <c r="N85" s="11"/>
      <c r="O85" s="11"/>
      <c r="P85" s="11"/>
      <c r="Q85" s="11"/>
      <c r="R85" s="11"/>
      <c r="S85" s="11"/>
      <c r="T85" s="11"/>
      <c r="U85" s="11"/>
      <c r="V85" s="11"/>
    </row>
    <row r="86" spans="1:22" s="10" customFormat="1" ht="15" customHeight="1" x14ac:dyDescent="0.25">
      <c r="A86" s="10" t="s">
        <v>92</v>
      </c>
      <c r="B86" s="11">
        <f>SUM(B87:B88)</f>
        <v>1139.5664037699996</v>
      </c>
      <c r="C86" s="11">
        <f t="shared" ref="C86:Q86" si="60">SUM(C87:C88)</f>
        <v>734.60593074999986</v>
      </c>
      <c r="D86" s="11">
        <f t="shared" si="60"/>
        <v>731.75945167000032</v>
      </c>
      <c r="E86" s="11">
        <f t="shared" ref="E86:E88" si="61">SUM(B86:D86)</f>
        <v>2605.9317861899999</v>
      </c>
      <c r="F86" s="11">
        <f t="shared" si="60"/>
        <v>323.39656763000011</v>
      </c>
      <c r="G86" s="11">
        <f t="shared" si="60"/>
        <v>546.1636859399996</v>
      </c>
      <c r="H86" s="11">
        <f t="shared" si="60"/>
        <v>1341.0035654799997</v>
      </c>
      <c r="I86" s="11">
        <f t="shared" ref="I86:I88" si="62">SUM(F86:H86)</f>
        <v>2210.5638190499994</v>
      </c>
      <c r="J86" s="11">
        <f t="shared" ref="J86:J88" si="63">+E86+I86</f>
        <v>4816.4956052399993</v>
      </c>
      <c r="K86" s="11">
        <f t="shared" si="60"/>
        <v>729.55373345000032</v>
      </c>
      <c r="L86" s="11">
        <f t="shared" si="60"/>
        <v>698.34201987999961</v>
      </c>
      <c r="M86" s="11">
        <f t="shared" si="60"/>
        <v>607.31677683999987</v>
      </c>
      <c r="N86" s="11">
        <f t="shared" ref="N86:N88" si="64">SUM(K86:M86)</f>
        <v>2035.2125301699998</v>
      </c>
      <c r="O86" s="11">
        <f t="shared" si="60"/>
        <v>1134.8192927199998</v>
      </c>
      <c r="P86" s="11">
        <f t="shared" si="60"/>
        <v>792.09558948999995</v>
      </c>
      <c r="Q86" s="11">
        <f t="shared" si="60"/>
        <v>739.21370088000026</v>
      </c>
      <c r="R86" s="11">
        <f t="shared" ref="R86:R88" si="65">SUM(O86:Q86)</f>
        <v>2666.1285830899997</v>
      </c>
      <c r="S86" s="11">
        <f t="shared" ref="S86:S88" si="66">+N86+R86</f>
        <v>4701.3411132599995</v>
      </c>
      <c r="T86" s="11">
        <f t="shared" ref="T86:T88" si="67">+J86+S86</f>
        <v>9517.8367184999988</v>
      </c>
      <c r="U86" s="11"/>
      <c r="V86" s="11"/>
    </row>
    <row r="87" spans="1:22" ht="15" customHeight="1" x14ac:dyDescent="0.3">
      <c r="A87" s="12" t="s">
        <v>93</v>
      </c>
      <c r="B87" s="8">
        <v>889.33547172999965</v>
      </c>
      <c r="C87" s="8">
        <v>547.51459706000003</v>
      </c>
      <c r="D87" s="8">
        <v>568.21828694000033</v>
      </c>
      <c r="E87" s="8">
        <f t="shared" si="61"/>
        <v>2005.0683557299999</v>
      </c>
      <c r="F87" s="8">
        <v>218.99943649000005</v>
      </c>
      <c r="G87" s="8">
        <v>382.30002440999959</v>
      </c>
      <c r="H87" s="8">
        <v>1096.6213341199996</v>
      </c>
      <c r="I87" s="8">
        <f t="shared" si="62"/>
        <v>1697.9207950199993</v>
      </c>
      <c r="J87" s="8">
        <f t="shared" si="63"/>
        <v>3702.9891507499992</v>
      </c>
      <c r="K87" s="8">
        <v>525.95394137000028</v>
      </c>
      <c r="L87" s="8">
        <v>521.33946739999953</v>
      </c>
      <c r="M87" s="8">
        <v>417.05485122999994</v>
      </c>
      <c r="N87" s="8">
        <f t="shared" si="64"/>
        <v>1464.3482599999998</v>
      </c>
      <c r="O87" s="8">
        <v>903.88530370999956</v>
      </c>
      <c r="P87" s="8">
        <v>597.26102209999988</v>
      </c>
      <c r="Q87" s="8">
        <v>555.51574443000027</v>
      </c>
      <c r="R87" s="8">
        <f t="shared" si="65"/>
        <v>2056.6620702399996</v>
      </c>
      <c r="S87" s="8">
        <f t="shared" si="66"/>
        <v>3521.0103302399993</v>
      </c>
      <c r="T87" s="8">
        <f t="shared" si="67"/>
        <v>7223.9994809899981</v>
      </c>
      <c r="U87" s="8"/>
      <c r="V87" s="8"/>
    </row>
    <row r="88" spans="1:22" ht="15" customHeight="1" x14ac:dyDescent="0.3">
      <c r="A88" s="12" t="s">
        <v>94</v>
      </c>
      <c r="B88" s="8">
        <v>250.23093204000003</v>
      </c>
      <c r="C88" s="8">
        <v>187.09133368999986</v>
      </c>
      <c r="D88" s="8">
        <v>163.54116472999993</v>
      </c>
      <c r="E88" s="8">
        <f t="shared" si="61"/>
        <v>600.86343045999979</v>
      </c>
      <c r="F88" s="8">
        <v>104.39713114000004</v>
      </c>
      <c r="G88" s="8">
        <v>163.86366153000003</v>
      </c>
      <c r="H88" s="8">
        <v>244.38223136000005</v>
      </c>
      <c r="I88" s="8">
        <f t="shared" si="62"/>
        <v>512.64302403000011</v>
      </c>
      <c r="J88" s="8">
        <f t="shared" si="63"/>
        <v>1113.5064544899999</v>
      </c>
      <c r="K88" s="8">
        <v>203.59979208000004</v>
      </c>
      <c r="L88" s="8">
        <v>177.00255248000005</v>
      </c>
      <c r="M88" s="8">
        <v>190.26192560999993</v>
      </c>
      <c r="N88" s="8">
        <f t="shared" si="64"/>
        <v>570.86427017000005</v>
      </c>
      <c r="O88" s="8">
        <v>230.93398901000023</v>
      </c>
      <c r="P88" s="8">
        <v>194.83456739000007</v>
      </c>
      <c r="Q88" s="8">
        <v>183.69795645000005</v>
      </c>
      <c r="R88" s="8">
        <f t="shared" si="65"/>
        <v>609.4665128500003</v>
      </c>
      <c r="S88" s="8">
        <f t="shared" si="66"/>
        <v>1180.3307830200004</v>
      </c>
      <c r="T88" s="8">
        <f t="shared" si="67"/>
        <v>2293.8372375100003</v>
      </c>
      <c r="U88" s="8"/>
      <c r="V88" s="8"/>
    </row>
    <row r="89" spans="1:22" s="10" customFormat="1" ht="15" customHeight="1" x14ac:dyDescent="0.3">
      <c r="A89" s="3"/>
      <c r="B89" s="11"/>
      <c r="C89" s="11"/>
      <c r="D89" s="11"/>
      <c r="E89" s="11"/>
      <c r="F89" s="11"/>
      <c r="G89" s="11"/>
      <c r="H89" s="11"/>
      <c r="I89" s="11"/>
      <c r="J89" s="11"/>
      <c r="K89" s="11"/>
      <c r="L89" s="11"/>
      <c r="M89" s="11"/>
      <c r="N89" s="11"/>
      <c r="O89" s="11"/>
      <c r="P89" s="11"/>
      <c r="Q89" s="11"/>
      <c r="R89" s="11"/>
      <c r="S89" s="11"/>
      <c r="T89" s="11"/>
      <c r="U89" s="11"/>
      <c r="V89" s="11"/>
    </row>
    <row r="90" spans="1:22" s="10" customFormat="1" ht="15" customHeight="1" x14ac:dyDescent="0.25">
      <c r="A90" s="10" t="s">
        <v>95</v>
      </c>
      <c r="B90" s="11">
        <f>SUM(B91:B94)</f>
        <v>7183.2873522299997</v>
      </c>
      <c r="C90" s="11">
        <f t="shared" ref="C90:Q90" si="68">SUM(C91:C94)</f>
        <v>4313.2666499699999</v>
      </c>
      <c r="D90" s="11">
        <f t="shared" si="68"/>
        <v>3952.4873540799999</v>
      </c>
      <c r="E90" s="11">
        <f t="shared" ref="E90:E94" si="69">SUM(B90:D90)</f>
        <v>15449.041356279999</v>
      </c>
      <c r="F90" s="11">
        <f t="shared" si="68"/>
        <v>3335.8274712699986</v>
      </c>
      <c r="G90" s="11">
        <f t="shared" si="68"/>
        <v>3106.8185041799998</v>
      </c>
      <c r="H90" s="11">
        <f t="shared" si="68"/>
        <v>9489.3347116000041</v>
      </c>
      <c r="I90" s="11">
        <f t="shared" ref="I90:I94" si="70">SUM(F90:H90)</f>
        <v>15931.980687050003</v>
      </c>
      <c r="J90" s="11">
        <f t="shared" ref="J90:J94" si="71">+E90+I90</f>
        <v>31381.022043330002</v>
      </c>
      <c r="K90" s="11">
        <f t="shared" si="68"/>
        <v>3481.6357364</v>
      </c>
      <c r="L90" s="11">
        <f t="shared" si="68"/>
        <v>4641.955372819999</v>
      </c>
      <c r="M90" s="11">
        <f t="shared" si="68"/>
        <v>3762.060276080002</v>
      </c>
      <c r="N90" s="11">
        <f t="shared" ref="N90:N94" si="72">SUM(K90:M90)</f>
        <v>11885.6513853</v>
      </c>
      <c r="O90" s="11">
        <f t="shared" si="68"/>
        <v>4588.0869423099994</v>
      </c>
      <c r="P90" s="11">
        <f t="shared" si="68"/>
        <v>5835.2458359100019</v>
      </c>
      <c r="Q90" s="11">
        <f t="shared" si="68"/>
        <v>4524.31631414</v>
      </c>
      <c r="R90" s="11">
        <f t="shared" ref="R90:R94" si="73">SUM(O90:Q90)</f>
        <v>14947.649092360001</v>
      </c>
      <c r="S90" s="11">
        <f t="shared" ref="S90:S94" si="74">+N90+R90</f>
        <v>26833.300477659999</v>
      </c>
      <c r="T90" s="11">
        <f t="shared" ref="T90:T94" si="75">+J90+S90</f>
        <v>58214.322520989997</v>
      </c>
      <c r="U90" s="11"/>
      <c r="V90" s="11"/>
    </row>
    <row r="91" spans="1:22" ht="15" customHeight="1" x14ac:dyDescent="0.3">
      <c r="A91" s="12" t="s">
        <v>96</v>
      </c>
      <c r="B91" s="8">
        <v>257.2894942100001</v>
      </c>
      <c r="C91" s="8">
        <v>165.32963724999996</v>
      </c>
      <c r="D91" s="8">
        <v>149.16509542999995</v>
      </c>
      <c r="E91" s="8">
        <f t="shared" si="69"/>
        <v>571.78422689000001</v>
      </c>
      <c r="F91" s="8">
        <v>145.41423843000001</v>
      </c>
      <c r="G91" s="8">
        <v>158.08440925000008</v>
      </c>
      <c r="H91" s="8">
        <v>246.34672066999991</v>
      </c>
      <c r="I91" s="8">
        <f t="shared" si="70"/>
        <v>549.84536834999994</v>
      </c>
      <c r="J91" s="8">
        <f t="shared" si="71"/>
        <v>1121.6295952400001</v>
      </c>
      <c r="K91" s="8">
        <v>164.86581692999985</v>
      </c>
      <c r="L91" s="8">
        <v>180.01168189000001</v>
      </c>
      <c r="M91" s="8">
        <v>167.65530454999998</v>
      </c>
      <c r="N91" s="8">
        <f t="shared" si="72"/>
        <v>512.53280336999978</v>
      </c>
      <c r="O91" s="8">
        <v>175.72746961999999</v>
      </c>
      <c r="P91" s="8">
        <v>203.09200505999996</v>
      </c>
      <c r="Q91" s="8">
        <v>218.22935544999999</v>
      </c>
      <c r="R91" s="8">
        <f t="shared" si="73"/>
        <v>597.04883012999994</v>
      </c>
      <c r="S91" s="8">
        <f t="shared" si="74"/>
        <v>1109.5816334999997</v>
      </c>
      <c r="T91" s="8">
        <f t="shared" si="75"/>
        <v>2231.2112287399996</v>
      </c>
      <c r="U91" s="8"/>
      <c r="V91" s="8"/>
    </row>
    <row r="92" spans="1:22" ht="15" customHeight="1" x14ac:dyDescent="0.3">
      <c r="A92" s="12" t="s">
        <v>97</v>
      </c>
      <c r="B92" s="8">
        <v>1734.8058132699996</v>
      </c>
      <c r="C92" s="8">
        <v>1066.7166893999997</v>
      </c>
      <c r="D92" s="8">
        <v>1053.5938457699999</v>
      </c>
      <c r="E92" s="8">
        <f t="shared" si="69"/>
        <v>3855.116348439999</v>
      </c>
      <c r="F92" s="8">
        <v>403.44914978999992</v>
      </c>
      <c r="G92" s="8">
        <v>476.73901036000001</v>
      </c>
      <c r="H92" s="8">
        <v>1808.887818519999</v>
      </c>
      <c r="I92" s="8">
        <f t="shared" si="70"/>
        <v>2689.0759786699991</v>
      </c>
      <c r="J92" s="8">
        <f t="shared" si="71"/>
        <v>6544.1923271099986</v>
      </c>
      <c r="K92" s="8">
        <v>732.13196056999914</v>
      </c>
      <c r="L92" s="8">
        <v>839.60343189000037</v>
      </c>
      <c r="M92" s="8">
        <v>1115.4395791300003</v>
      </c>
      <c r="N92" s="8">
        <f t="shared" si="72"/>
        <v>2687.1749715899996</v>
      </c>
      <c r="O92" s="8">
        <v>1213.0005888600001</v>
      </c>
      <c r="P92" s="8">
        <v>1182.0196436800002</v>
      </c>
      <c r="Q92" s="8">
        <v>1322.3622401100001</v>
      </c>
      <c r="R92" s="8">
        <f t="shared" si="73"/>
        <v>3717.3824726500006</v>
      </c>
      <c r="S92" s="8">
        <f t="shared" si="74"/>
        <v>6404.5574442400002</v>
      </c>
      <c r="T92" s="8">
        <f t="shared" si="75"/>
        <v>12948.749771349998</v>
      </c>
      <c r="U92" s="8"/>
      <c r="V92" s="8"/>
    </row>
    <row r="93" spans="1:22" ht="15" customHeight="1" x14ac:dyDescent="0.3">
      <c r="A93" s="12" t="s">
        <v>98</v>
      </c>
      <c r="B93" s="8">
        <v>1983.2769355400001</v>
      </c>
      <c r="C93" s="8">
        <v>1195.9959079100001</v>
      </c>
      <c r="D93" s="8">
        <v>982.89829148000058</v>
      </c>
      <c r="E93" s="8">
        <f t="shared" si="69"/>
        <v>4162.1711349300012</v>
      </c>
      <c r="F93" s="8">
        <v>630.3720763299998</v>
      </c>
      <c r="G93" s="8">
        <v>518.29714827999942</v>
      </c>
      <c r="H93" s="8">
        <v>2206.979899580002</v>
      </c>
      <c r="I93" s="8">
        <f t="shared" si="70"/>
        <v>3355.6491241900012</v>
      </c>
      <c r="J93" s="8">
        <f t="shared" si="71"/>
        <v>7517.8202591200024</v>
      </c>
      <c r="K93" s="8">
        <v>799.63972908000005</v>
      </c>
      <c r="L93" s="8">
        <v>999.42629665999993</v>
      </c>
      <c r="M93" s="8">
        <v>916.80395723000117</v>
      </c>
      <c r="N93" s="8">
        <f t="shared" si="72"/>
        <v>2715.8699829700013</v>
      </c>
      <c r="O93" s="8">
        <v>1204.0215666500001</v>
      </c>
      <c r="P93" s="8">
        <v>1349.6637767500008</v>
      </c>
      <c r="Q93" s="8">
        <v>1085.8790467800002</v>
      </c>
      <c r="R93" s="8">
        <f t="shared" si="73"/>
        <v>3639.5643901800013</v>
      </c>
      <c r="S93" s="8">
        <f t="shared" si="74"/>
        <v>6355.434373150003</v>
      </c>
      <c r="T93" s="8">
        <f t="shared" si="75"/>
        <v>13873.254632270005</v>
      </c>
      <c r="U93" s="8"/>
      <c r="V93" s="8"/>
    </row>
    <row r="94" spans="1:22" ht="18" customHeight="1" x14ac:dyDescent="0.3">
      <c r="A94" s="12" t="s">
        <v>99</v>
      </c>
      <c r="B94" s="8">
        <v>3207.9151092099996</v>
      </c>
      <c r="C94" s="8">
        <v>1885.2244154099997</v>
      </c>
      <c r="D94" s="8">
        <v>1766.8301213999991</v>
      </c>
      <c r="E94" s="8">
        <f t="shared" si="69"/>
        <v>6859.9696460199984</v>
      </c>
      <c r="F94" s="8">
        <v>2156.5920067199991</v>
      </c>
      <c r="G94" s="8">
        <v>1953.6979362900004</v>
      </c>
      <c r="H94" s="8">
        <v>5227.1202728300032</v>
      </c>
      <c r="I94" s="8">
        <f t="shared" si="70"/>
        <v>9337.4102158400019</v>
      </c>
      <c r="J94" s="8">
        <f t="shared" si="71"/>
        <v>16197.379861860001</v>
      </c>
      <c r="K94" s="8">
        <v>1784.9982298200011</v>
      </c>
      <c r="L94" s="8">
        <v>2622.9139623799988</v>
      </c>
      <c r="M94" s="8">
        <v>1562.1614351700002</v>
      </c>
      <c r="N94" s="8">
        <f t="shared" si="72"/>
        <v>5970.0736273699995</v>
      </c>
      <c r="O94" s="8">
        <v>1995.3373171799999</v>
      </c>
      <c r="P94" s="8">
        <v>3100.4704104200009</v>
      </c>
      <c r="Q94" s="8">
        <v>1897.8456717999998</v>
      </c>
      <c r="R94" s="8">
        <f t="shared" si="73"/>
        <v>6993.6533994000001</v>
      </c>
      <c r="S94" s="8">
        <f t="shared" si="74"/>
        <v>12963.727026770001</v>
      </c>
      <c r="T94" s="8">
        <f t="shared" si="75"/>
        <v>29161.106888630002</v>
      </c>
      <c r="U94" s="8"/>
      <c r="V94" s="8"/>
    </row>
    <row r="95" spans="1:22" ht="15" customHeight="1" x14ac:dyDescent="0.3">
      <c r="A95" s="12"/>
      <c r="B95" s="8"/>
      <c r="C95" s="8"/>
      <c r="D95" s="8"/>
      <c r="E95" s="8"/>
      <c r="F95" s="8"/>
      <c r="G95" s="8"/>
      <c r="H95" s="8"/>
      <c r="I95" s="8"/>
      <c r="J95" s="8"/>
      <c r="K95" s="8"/>
      <c r="L95" s="8"/>
      <c r="M95" s="8"/>
      <c r="N95" s="8"/>
      <c r="O95" s="8"/>
      <c r="P95" s="8"/>
      <c r="Q95" s="8"/>
      <c r="R95" s="8"/>
      <c r="S95" s="8"/>
      <c r="T95" s="8"/>
      <c r="U95" s="8"/>
      <c r="V95" s="8"/>
    </row>
    <row r="96" spans="1:22" s="10" customFormat="1" ht="15" customHeight="1" x14ac:dyDescent="0.25">
      <c r="A96" s="13" t="s">
        <v>100</v>
      </c>
      <c r="B96" s="11">
        <f>SUM(B97:B102)</f>
        <v>750.00054703000001</v>
      </c>
      <c r="C96" s="11">
        <f t="shared" ref="C96:Q96" si="76">SUM(C97:C102)</f>
        <v>504.54585220000013</v>
      </c>
      <c r="D96" s="11">
        <f t="shared" si="76"/>
        <v>449.78518804999999</v>
      </c>
      <c r="E96" s="11">
        <f t="shared" ref="E96:E102" si="77">SUM(B96:D96)</f>
        <v>1704.3315872800001</v>
      </c>
      <c r="F96" s="11">
        <f t="shared" si="76"/>
        <v>397.43700876000003</v>
      </c>
      <c r="G96" s="11">
        <f t="shared" si="76"/>
        <v>451.51637029000005</v>
      </c>
      <c r="H96" s="11">
        <f t="shared" si="76"/>
        <v>785.2962390900002</v>
      </c>
      <c r="I96" s="11">
        <f t="shared" ref="I96:I102" si="78">SUM(F96:H96)</f>
        <v>1634.2496181400002</v>
      </c>
      <c r="J96" s="11">
        <f t="shared" ref="J96:J102" si="79">+E96+I96</f>
        <v>3338.5812054200005</v>
      </c>
      <c r="K96" s="11">
        <f t="shared" si="76"/>
        <v>579.84866811999996</v>
      </c>
      <c r="L96" s="11">
        <f t="shared" si="76"/>
        <v>552.99165424</v>
      </c>
      <c r="M96" s="11">
        <f t="shared" si="76"/>
        <v>504.76498002000011</v>
      </c>
      <c r="N96" s="11">
        <f t="shared" ref="N96:N102" si="80">SUM(K96:M96)</f>
        <v>1637.60530238</v>
      </c>
      <c r="O96" s="11">
        <f t="shared" si="76"/>
        <v>646.56109033000007</v>
      </c>
      <c r="P96" s="11">
        <f t="shared" si="76"/>
        <v>589.66779539999982</v>
      </c>
      <c r="Q96" s="11">
        <f t="shared" si="76"/>
        <v>601.58356010600005</v>
      </c>
      <c r="R96" s="11">
        <f t="shared" ref="R96:R102" si="81">SUM(O96:Q96)</f>
        <v>1837.8124458360001</v>
      </c>
      <c r="S96" s="11">
        <f t="shared" ref="S96:S102" si="82">+N96+R96</f>
        <v>3475.4177482160003</v>
      </c>
      <c r="T96" s="11">
        <f t="shared" ref="T96:T102" si="83">+J96+S96</f>
        <v>6813.9989536360008</v>
      </c>
      <c r="U96" s="11"/>
      <c r="V96" s="11"/>
    </row>
    <row r="97" spans="1:22" ht="15" customHeight="1" x14ac:dyDescent="0.3">
      <c r="A97" s="12" t="s">
        <v>101</v>
      </c>
      <c r="B97" s="8">
        <v>48.958445980000008</v>
      </c>
      <c r="C97" s="8">
        <v>33.309633779999999</v>
      </c>
      <c r="D97" s="8">
        <v>34.77907342999999</v>
      </c>
      <c r="E97" s="8">
        <f t="shared" si="77"/>
        <v>117.04715318999999</v>
      </c>
      <c r="F97" s="8">
        <v>34.870561350000003</v>
      </c>
      <c r="G97" s="8">
        <v>43.525641110000002</v>
      </c>
      <c r="H97" s="8">
        <v>57.696573769999986</v>
      </c>
      <c r="I97" s="8">
        <f t="shared" si="78"/>
        <v>136.09277623</v>
      </c>
      <c r="J97" s="8">
        <f t="shared" si="79"/>
        <v>253.13992941999999</v>
      </c>
      <c r="K97" s="8">
        <v>50.342549659999989</v>
      </c>
      <c r="L97" s="8">
        <v>44.121950120000008</v>
      </c>
      <c r="M97" s="8">
        <v>50.547514259999993</v>
      </c>
      <c r="N97" s="8">
        <f t="shared" si="80"/>
        <v>145.01201404</v>
      </c>
      <c r="O97" s="8">
        <v>44.252231749999986</v>
      </c>
      <c r="P97" s="8">
        <v>55.891255569999991</v>
      </c>
      <c r="Q97" s="8">
        <v>49.21394729</v>
      </c>
      <c r="R97" s="8">
        <f t="shared" si="81"/>
        <v>149.35743460999998</v>
      </c>
      <c r="S97" s="8">
        <f t="shared" si="82"/>
        <v>294.36944864999998</v>
      </c>
      <c r="T97" s="8">
        <f t="shared" si="83"/>
        <v>547.50937806999991</v>
      </c>
      <c r="U97" s="8"/>
      <c r="V97" s="8"/>
    </row>
    <row r="98" spans="1:22" ht="15" customHeight="1" x14ac:dyDescent="0.3">
      <c r="A98" s="12" t="s">
        <v>102</v>
      </c>
      <c r="B98" s="8">
        <v>147.11816683000004</v>
      </c>
      <c r="C98" s="8">
        <v>116.05871094</v>
      </c>
      <c r="D98" s="8">
        <v>94.13228418999995</v>
      </c>
      <c r="E98" s="8">
        <f t="shared" si="77"/>
        <v>357.30916195999998</v>
      </c>
      <c r="F98" s="8">
        <v>81.49290249000002</v>
      </c>
      <c r="G98" s="8">
        <v>93.397435939999951</v>
      </c>
      <c r="H98" s="8">
        <v>192.43114292000007</v>
      </c>
      <c r="I98" s="8">
        <f t="shared" si="78"/>
        <v>367.32148135000006</v>
      </c>
      <c r="J98" s="8">
        <f t="shared" si="79"/>
        <v>724.6306433100001</v>
      </c>
      <c r="K98" s="8">
        <v>114.05979702</v>
      </c>
      <c r="L98" s="8">
        <v>108.69071774000005</v>
      </c>
      <c r="M98" s="8">
        <v>92.052303080000016</v>
      </c>
      <c r="N98" s="8">
        <f t="shared" si="80"/>
        <v>314.80281784000005</v>
      </c>
      <c r="O98" s="8">
        <v>141.46805481000013</v>
      </c>
      <c r="P98" s="8">
        <v>129.41099051999998</v>
      </c>
      <c r="Q98" s="8">
        <v>122.15452738999996</v>
      </c>
      <c r="R98" s="8">
        <f t="shared" si="81"/>
        <v>393.03357272000005</v>
      </c>
      <c r="S98" s="8">
        <f t="shared" si="82"/>
        <v>707.83639056000015</v>
      </c>
      <c r="T98" s="8">
        <f t="shared" si="83"/>
        <v>1432.4670338700003</v>
      </c>
      <c r="U98" s="8"/>
      <c r="V98" s="8"/>
    </row>
    <row r="99" spans="1:22" ht="15" customHeight="1" x14ac:dyDescent="0.3">
      <c r="A99" s="12" t="s">
        <v>103</v>
      </c>
      <c r="B99" s="8">
        <v>57.277246140000017</v>
      </c>
      <c r="C99" s="8">
        <v>52.754024510000001</v>
      </c>
      <c r="D99" s="8">
        <v>40.565679730000006</v>
      </c>
      <c r="E99" s="8">
        <f t="shared" si="77"/>
        <v>150.59695038000001</v>
      </c>
      <c r="F99" s="8">
        <v>46.86393618000001</v>
      </c>
      <c r="G99" s="8">
        <v>41.661472799999999</v>
      </c>
      <c r="H99" s="8">
        <v>60.298349310000013</v>
      </c>
      <c r="I99" s="8">
        <f t="shared" si="78"/>
        <v>148.82375829000003</v>
      </c>
      <c r="J99" s="8">
        <f t="shared" si="79"/>
        <v>299.42070867000007</v>
      </c>
      <c r="K99" s="8">
        <v>46.010001369999998</v>
      </c>
      <c r="L99" s="8">
        <v>57.520852860000012</v>
      </c>
      <c r="M99" s="8">
        <v>43.871863080000011</v>
      </c>
      <c r="N99" s="8">
        <f t="shared" si="80"/>
        <v>147.40271731000001</v>
      </c>
      <c r="O99" s="8">
        <v>54.752822160000001</v>
      </c>
      <c r="P99" s="8">
        <v>46.270357419999996</v>
      </c>
      <c r="Q99" s="8">
        <v>55.690262066000003</v>
      </c>
      <c r="R99" s="8">
        <f t="shared" si="81"/>
        <v>156.71344164600001</v>
      </c>
      <c r="S99" s="8">
        <f t="shared" si="82"/>
        <v>304.11615895600005</v>
      </c>
      <c r="T99" s="8">
        <f t="shared" si="83"/>
        <v>603.53686762600012</v>
      </c>
      <c r="U99" s="8"/>
      <c r="V99" s="8"/>
    </row>
    <row r="100" spans="1:22" ht="15" customHeight="1" x14ac:dyDescent="0.3">
      <c r="A100" s="12" t="s">
        <v>104</v>
      </c>
      <c r="B100" s="8">
        <v>95.069095179999991</v>
      </c>
      <c r="C100" s="8">
        <v>61.659456179999999</v>
      </c>
      <c r="D100" s="8">
        <v>59.765622150000034</v>
      </c>
      <c r="E100" s="8">
        <f t="shared" si="77"/>
        <v>216.49417351000002</v>
      </c>
      <c r="F100" s="8">
        <v>47.223692959999994</v>
      </c>
      <c r="G100" s="8">
        <v>52.801358190000009</v>
      </c>
      <c r="H100" s="8">
        <v>111.17616373</v>
      </c>
      <c r="I100" s="8">
        <f t="shared" si="78"/>
        <v>211.20121488000001</v>
      </c>
      <c r="J100" s="8">
        <f t="shared" si="79"/>
        <v>427.69538839000006</v>
      </c>
      <c r="K100" s="8">
        <v>81.242442750000009</v>
      </c>
      <c r="L100" s="8">
        <v>61.562249080000015</v>
      </c>
      <c r="M100" s="8">
        <v>62.051515470000005</v>
      </c>
      <c r="N100" s="8">
        <f t="shared" si="80"/>
        <v>204.85620730000002</v>
      </c>
      <c r="O100" s="8">
        <v>75.592154990000026</v>
      </c>
      <c r="P100" s="8">
        <v>78.719658600000002</v>
      </c>
      <c r="Q100" s="8">
        <v>84.797344009999975</v>
      </c>
      <c r="R100" s="8">
        <f t="shared" si="81"/>
        <v>239.1091576</v>
      </c>
      <c r="S100" s="8">
        <f t="shared" si="82"/>
        <v>443.96536490000005</v>
      </c>
      <c r="T100" s="8">
        <f t="shared" si="83"/>
        <v>871.66075329000012</v>
      </c>
      <c r="U100" s="8"/>
      <c r="V100" s="8"/>
    </row>
    <row r="101" spans="1:22" ht="15" customHeight="1" x14ac:dyDescent="0.3">
      <c r="A101" s="12" t="s">
        <v>105</v>
      </c>
      <c r="B101" s="8">
        <v>63.060006610000002</v>
      </c>
      <c r="C101" s="8">
        <v>36.639776349999998</v>
      </c>
      <c r="D101" s="8">
        <v>28.238518269999997</v>
      </c>
      <c r="E101" s="8">
        <f t="shared" si="77"/>
        <v>127.93830122999999</v>
      </c>
      <c r="F101" s="8">
        <v>43.648874599999999</v>
      </c>
      <c r="G101" s="8">
        <v>44.186057180000006</v>
      </c>
      <c r="H101" s="8">
        <v>55.287148509999994</v>
      </c>
      <c r="I101" s="8">
        <f t="shared" si="78"/>
        <v>143.12208028999999</v>
      </c>
      <c r="J101" s="8">
        <f t="shared" si="79"/>
        <v>271.06038151999996</v>
      </c>
      <c r="K101" s="8">
        <v>51.383327039999983</v>
      </c>
      <c r="L101" s="8">
        <v>52.79269666999997</v>
      </c>
      <c r="M101" s="8">
        <v>42.380797170000008</v>
      </c>
      <c r="N101" s="8">
        <f t="shared" si="80"/>
        <v>146.55682087999998</v>
      </c>
      <c r="O101" s="8">
        <v>56.899841340000009</v>
      </c>
      <c r="P101" s="8">
        <v>48.745317020000016</v>
      </c>
      <c r="Q101" s="8">
        <v>38.866943550000002</v>
      </c>
      <c r="R101" s="8">
        <f t="shared" si="81"/>
        <v>144.51210191000001</v>
      </c>
      <c r="S101" s="8">
        <f t="shared" si="82"/>
        <v>291.06892278999999</v>
      </c>
      <c r="T101" s="8">
        <f t="shared" si="83"/>
        <v>562.12930430999995</v>
      </c>
      <c r="U101" s="8"/>
      <c r="V101" s="8"/>
    </row>
    <row r="102" spans="1:22" ht="18" customHeight="1" x14ac:dyDescent="0.3">
      <c r="A102" s="12" t="s">
        <v>106</v>
      </c>
      <c r="B102" s="8">
        <v>338.51758628999988</v>
      </c>
      <c r="C102" s="8">
        <v>204.12425044000017</v>
      </c>
      <c r="D102" s="8">
        <v>192.30401027999997</v>
      </c>
      <c r="E102" s="8">
        <f t="shared" si="77"/>
        <v>734.94584700999997</v>
      </c>
      <c r="F102" s="8">
        <v>143.33704118</v>
      </c>
      <c r="G102" s="8">
        <v>175.94440507000004</v>
      </c>
      <c r="H102" s="8">
        <v>308.40686085000016</v>
      </c>
      <c r="I102" s="8">
        <f t="shared" si="78"/>
        <v>627.6883071000002</v>
      </c>
      <c r="J102" s="8">
        <f t="shared" si="79"/>
        <v>1362.6341541100001</v>
      </c>
      <c r="K102" s="8">
        <v>236.81055027999992</v>
      </c>
      <c r="L102" s="8">
        <v>228.30318776999994</v>
      </c>
      <c r="M102" s="8">
        <v>213.86098696000005</v>
      </c>
      <c r="N102" s="8">
        <f t="shared" si="80"/>
        <v>678.97472500999993</v>
      </c>
      <c r="O102" s="8">
        <v>273.59598527999998</v>
      </c>
      <c r="P102" s="8">
        <v>230.63021626999986</v>
      </c>
      <c r="Q102" s="8">
        <v>250.86053580000006</v>
      </c>
      <c r="R102" s="8">
        <f t="shared" si="81"/>
        <v>755.08673734999991</v>
      </c>
      <c r="S102" s="8">
        <f t="shared" si="82"/>
        <v>1434.06146236</v>
      </c>
      <c r="T102" s="8">
        <f t="shared" si="83"/>
        <v>2796.69561647</v>
      </c>
      <c r="U102" s="8"/>
      <c r="V102" s="8"/>
    </row>
    <row r="103" spans="1:22" s="10" customFormat="1" ht="15" customHeight="1" x14ac:dyDescent="0.3">
      <c r="A103" s="12"/>
      <c r="B103" s="11"/>
      <c r="C103" s="11"/>
      <c r="D103" s="11"/>
      <c r="E103" s="11"/>
      <c r="F103" s="11"/>
      <c r="G103" s="11"/>
      <c r="H103" s="11"/>
      <c r="I103" s="11"/>
      <c r="J103" s="11"/>
      <c r="K103" s="11"/>
      <c r="L103" s="11"/>
      <c r="M103" s="11"/>
      <c r="N103" s="11"/>
      <c r="O103" s="11"/>
      <c r="P103" s="11"/>
      <c r="Q103" s="11"/>
      <c r="R103" s="11"/>
      <c r="S103" s="11"/>
      <c r="T103" s="11"/>
      <c r="U103" s="11"/>
      <c r="V103" s="11"/>
    </row>
    <row r="104" spans="1:22" s="10" customFormat="1" ht="15" customHeight="1" x14ac:dyDescent="0.25">
      <c r="A104" s="13" t="s">
        <v>107</v>
      </c>
      <c r="B104" s="11">
        <f>SUM(B105:B109)</f>
        <v>690.09375944999965</v>
      </c>
      <c r="C104" s="11">
        <f t="shared" ref="C104:Q104" si="84">SUM(C105:C109)</f>
        <v>410.16299628999991</v>
      </c>
      <c r="D104" s="11">
        <f t="shared" si="84"/>
        <v>387.05066046000002</v>
      </c>
      <c r="E104" s="11">
        <f t="shared" ref="E104:E107" si="85">SUM(B104:D104)</f>
        <v>1487.3074161999996</v>
      </c>
      <c r="F104" s="11">
        <f t="shared" si="84"/>
        <v>281.10202322999999</v>
      </c>
      <c r="G104" s="11">
        <f t="shared" si="84"/>
        <v>345.91315317999994</v>
      </c>
      <c r="H104" s="11">
        <f t="shared" si="84"/>
        <v>596.56366690000004</v>
      </c>
      <c r="I104" s="11">
        <f t="shared" ref="I104:I107" si="86">SUM(F104:H104)</f>
        <v>1223.5788433099999</v>
      </c>
      <c r="J104" s="11">
        <f t="shared" ref="J104:J107" si="87">+E104+I104</f>
        <v>2710.8862595099995</v>
      </c>
      <c r="K104" s="11">
        <f t="shared" si="84"/>
        <v>486.10903277999978</v>
      </c>
      <c r="L104" s="11">
        <f t="shared" si="84"/>
        <v>445.67283604999977</v>
      </c>
      <c r="M104" s="11">
        <f t="shared" si="84"/>
        <v>423.58854725999981</v>
      </c>
      <c r="N104" s="11">
        <f t="shared" ref="N104:N107" si="88">SUM(K104:M104)</f>
        <v>1355.3704160899993</v>
      </c>
      <c r="O104" s="11">
        <f t="shared" si="84"/>
        <v>515.05518515000006</v>
      </c>
      <c r="P104" s="11">
        <f t="shared" si="84"/>
        <v>483.19275002999973</v>
      </c>
      <c r="Q104" s="11">
        <f t="shared" si="84"/>
        <v>492.22702739000005</v>
      </c>
      <c r="R104" s="11">
        <f t="shared" ref="R104:R107" si="89">SUM(O104:Q104)</f>
        <v>1490.4749625699999</v>
      </c>
      <c r="S104" s="11">
        <f t="shared" ref="S104:S107" si="90">+N104+R104</f>
        <v>2845.8453786599994</v>
      </c>
      <c r="T104" s="11">
        <f t="shared" ref="T104:T107" si="91">+J104+S104</f>
        <v>5556.7316381699984</v>
      </c>
      <c r="U104" s="11"/>
      <c r="V104" s="11"/>
    </row>
    <row r="105" spans="1:22" ht="15" customHeight="1" x14ac:dyDescent="0.3">
      <c r="A105" s="12" t="s">
        <v>108</v>
      </c>
      <c r="B105" s="8">
        <v>193.58314528999983</v>
      </c>
      <c r="C105" s="8">
        <v>115.91415039999993</v>
      </c>
      <c r="D105" s="8">
        <v>105.32258949000001</v>
      </c>
      <c r="E105" s="8">
        <f t="shared" si="85"/>
        <v>414.8198851799998</v>
      </c>
      <c r="F105" s="8">
        <v>97.051530450000016</v>
      </c>
      <c r="G105" s="8">
        <v>111.34559097999997</v>
      </c>
      <c r="H105" s="8">
        <v>149.72619909000002</v>
      </c>
      <c r="I105" s="8">
        <f t="shared" si="86"/>
        <v>358.12332051999999</v>
      </c>
      <c r="J105" s="8">
        <f t="shared" si="87"/>
        <v>772.94320569999979</v>
      </c>
      <c r="K105" s="8">
        <v>141.03030995999984</v>
      </c>
      <c r="L105" s="8">
        <v>119.60800678000004</v>
      </c>
      <c r="M105" s="8">
        <v>107.17254604999998</v>
      </c>
      <c r="N105" s="8">
        <f t="shared" si="88"/>
        <v>367.81086278999987</v>
      </c>
      <c r="O105" s="8">
        <v>147.09142577000003</v>
      </c>
      <c r="P105" s="8">
        <v>125.12354921999994</v>
      </c>
      <c r="Q105" s="8">
        <v>121.26627120000006</v>
      </c>
      <c r="R105" s="8">
        <f t="shared" si="89"/>
        <v>393.48124619000004</v>
      </c>
      <c r="S105" s="8">
        <f t="shared" si="90"/>
        <v>761.29210897999997</v>
      </c>
      <c r="T105" s="8">
        <f t="shared" si="91"/>
        <v>1534.2353146799996</v>
      </c>
      <c r="U105" s="8"/>
      <c r="V105" s="8"/>
    </row>
    <row r="106" spans="1:22" ht="15" customHeight="1" x14ac:dyDescent="0.3">
      <c r="A106" s="12" t="s">
        <v>109</v>
      </c>
      <c r="B106" s="8">
        <v>156.50895711999993</v>
      </c>
      <c r="C106" s="8">
        <v>80.409570930000044</v>
      </c>
      <c r="D106" s="8">
        <v>97.627562859999983</v>
      </c>
      <c r="E106" s="8">
        <f t="shared" si="85"/>
        <v>334.54609090999998</v>
      </c>
      <c r="F106" s="8">
        <v>64.461606579999994</v>
      </c>
      <c r="G106" s="8">
        <v>80.481395020000008</v>
      </c>
      <c r="H106" s="8">
        <v>116.88222151000002</v>
      </c>
      <c r="I106" s="8">
        <f t="shared" si="86"/>
        <v>261.82522311000002</v>
      </c>
      <c r="J106" s="8">
        <f t="shared" si="87"/>
        <v>596.37131402</v>
      </c>
      <c r="K106" s="8">
        <v>113.72861647999999</v>
      </c>
      <c r="L106" s="8">
        <v>95.829131470000036</v>
      </c>
      <c r="M106" s="8">
        <v>88.12279562999997</v>
      </c>
      <c r="N106" s="8">
        <f t="shared" si="88"/>
        <v>297.68054358000001</v>
      </c>
      <c r="O106" s="8">
        <v>113.40060348000002</v>
      </c>
      <c r="P106" s="8">
        <v>104.41494952000005</v>
      </c>
      <c r="Q106" s="8">
        <v>112.47930558000004</v>
      </c>
      <c r="R106" s="8">
        <f t="shared" si="89"/>
        <v>330.2948585800001</v>
      </c>
      <c r="S106" s="8">
        <f t="shared" si="90"/>
        <v>627.97540216000016</v>
      </c>
      <c r="T106" s="8">
        <f t="shared" si="91"/>
        <v>1224.3467161800002</v>
      </c>
      <c r="U106" s="8"/>
      <c r="V106" s="8"/>
    </row>
    <row r="107" spans="1:22" ht="15" customHeight="1" x14ac:dyDescent="0.3">
      <c r="A107" s="12" t="s">
        <v>110</v>
      </c>
      <c r="B107" s="8">
        <v>56.880065870000003</v>
      </c>
      <c r="C107" s="8">
        <v>33.967763989999995</v>
      </c>
      <c r="D107" s="8">
        <v>33.163962700000006</v>
      </c>
      <c r="E107" s="8">
        <f t="shared" si="85"/>
        <v>124.01179256</v>
      </c>
      <c r="F107" s="8">
        <v>24.694633369999998</v>
      </c>
      <c r="G107" s="8">
        <v>38.14610093999999</v>
      </c>
      <c r="H107" s="8">
        <v>42.798965529999997</v>
      </c>
      <c r="I107" s="8">
        <f t="shared" si="86"/>
        <v>105.63969983999999</v>
      </c>
      <c r="J107" s="8">
        <f t="shared" si="87"/>
        <v>229.6514924</v>
      </c>
      <c r="K107" s="8">
        <v>47.469098429999995</v>
      </c>
      <c r="L107" s="8">
        <v>43.741684619999994</v>
      </c>
      <c r="M107" s="8">
        <v>39.667962729999999</v>
      </c>
      <c r="N107" s="8">
        <f t="shared" si="88"/>
        <v>130.87874577999997</v>
      </c>
      <c r="O107" s="8">
        <v>44.336182660000013</v>
      </c>
      <c r="P107" s="8">
        <v>33.974676299999999</v>
      </c>
      <c r="Q107" s="8">
        <v>38.693268480000008</v>
      </c>
      <c r="R107" s="8">
        <f t="shared" si="89"/>
        <v>117.00412744000002</v>
      </c>
      <c r="S107" s="8">
        <f t="shared" si="90"/>
        <v>247.88287321999999</v>
      </c>
      <c r="T107" s="8">
        <f t="shared" si="91"/>
        <v>477.53436562000002</v>
      </c>
      <c r="U107" s="8"/>
      <c r="V107" s="8"/>
    </row>
    <row r="108" spans="1:22" ht="18" customHeight="1" x14ac:dyDescent="0.3">
      <c r="A108" s="12" t="s">
        <v>111</v>
      </c>
      <c r="B108" s="8"/>
      <c r="C108" s="8"/>
      <c r="D108" s="8"/>
      <c r="E108" s="8"/>
      <c r="F108" s="8"/>
      <c r="G108" s="8"/>
      <c r="H108" s="8"/>
      <c r="I108" s="8"/>
      <c r="J108" s="8"/>
      <c r="K108" s="8"/>
      <c r="L108" s="8"/>
      <c r="M108" s="8"/>
      <c r="N108" s="8"/>
      <c r="O108" s="8"/>
      <c r="P108" s="8"/>
      <c r="Q108" s="8"/>
      <c r="R108" s="8"/>
      <c r="S108" s="8"/>
      <c r="T108" s="8"/>
      <c r="U108" s="8"/>
      <c r="V108" s="8"/>
    </row>
    <row r="109" spans="1:22" ht="15" customHeight="1" x14ac:dyDescent="0.3">
      <c r="A109" s="12" t="s">
        <v>112</v>
      </c>
      <c r="B109" s="8">
        <v>283.12159116999993</v>
      </c>
      <c r="C109" s="8">
        <v>179.87151097</v>
      </c>
      <c r="D109" s="8">
        <v>150.93654541000001</v>
      </c>
      <c r="E109" s="8">
        <f>SUM(B109:D109)</f>
        <v>613.92964754999991</v>
      </c>
      <c r="F109" s="8">
        <v>94.894252829999985</v>
      </c>
      <c r="G109" s="8">
        <v>115.94006623999998</v>
      </c>
      <c r="H109" s="8">
        <v>287.15628077000008</v>
      </c>
      <c r="I109" s="8">
        <f>SUM(F109:H109)</f>
        <v>497.99059984000007</v>
      </c>
      <c r="J109" s="8">
        <f t="shared" ref="J109" si="92">+E109+I109</f>
        <v>1111.92024739</v>
      </c>
      <c r="K109" s="8">
        <v>183.88100790999999</v>
      </c>
      <c r="L109" s="8">
        <v>186.49401317999971</v>
      </c>
      <c r="M109" s="8">
        <v>188.62524284999989</v>
      </c>
      <c r="N109" s="8">
        <f>SUM(K109:M109)</f>
        <v>559.00026393999951</v>
      </c>
      <c r="O109" s="8">
        <v>210.22697324000001</v>
      </c>
      <c r="P109" s="8">
        <v>219.67957498999976</v>
      </c>
      <c r="Q109" s="8">
        <v>219.78818212999994</v>
      </c>
      <c r="R109" s="8">
        <f>SUM(O109:Q109)</f>
        <v>649.69473035999977</v>
      </c>
      <c r="S109" s="8">
        <f t="shared" ref="S109" si="93">+N109+R109</f>
        <v>1208.6949942999993</v>
      </c>
      <c r="T109" s="8">
        <f>+J109+S109</f>
        <v>2320.6152416899995</v>
      </c>
      <c r="U109" s="8"/>
      <c r="V109" s="8"/>
    </row>
    <row r="110" spans="1:22" s="10" customFormat="1" ht="15" customHeight="1" x14ac:dyDescent="0.3">
      <c r="A110" s="12"/>
      <c r="B110" s="11"/>
      <c r="C110" s="11"/>
      <c r="D110" s="11"/>
      <c r="E110" s="11"/>
      <c r="F110" s="11"/>
      <c r="G110" s="11"/>
      <c r="H110" s="11"/>
      <c r="I110" s="11"/>
      <c r="J110" s="11"/>
      <c r="K110" s="11"/>
      <c r="L110" s="11"/>
      <c r="M110" s="11"/>
      <c r="N110" s="11"/>
      <c r="O110" s="11"/>
      <c r="P110" s="11"/>
      <c r="Q110" s="11"/>
      <c r="R110" s="11"/>
      <c r="S110" s="11"/>
      <c r="T110" s="11"/>
      <c r="U110" s="11"/>
      <c r="V110" s="11"/>
    </row>
    <row r="111" spans="1:22" s="10" customFormat="1" ht="15" customHeight="1" x14ac:dyDescent="0.25">
      <c r="A111" s="13" t="s">
        <v>113</v>
      </c>
      <c r="B111" s="11">
        <f>SUM(B112:B116)</f>
        <v>1325.0589734499999</v>
      </c>
      <c r="C111" s="11">
        <f t="shared" ref="C111:Q111" si="94">SUM(C112:C116)</f>
        <v>833.08931729000005</v>
      </c>
      <c r="D111" s="11">
        <f t="shared" si="94"/>
        <v>724.63735524000003</v>
      </c>
      <c r="E111" s="11">
        <f t="shared" ref="E111:E116" si="95">SUM(B111:D111)</f>
        <v>2882.78564598</v>
      </c>
      <c r="F111" s="11">
        <f t="shared" si="94"/>
        <v>551.42591613999991</v>
      </c>
      <c r="G111" s="11">
        <f t="shared" si="94"/>
        <v>628.2905016499999</v>
      </c>
      <c r="H111" s="11">
        <f t="shared" si="94"/>
        <v>1090.2205307539996</v>
      </c>
      <c r="I111" s="11">
        <f t="shared" ref="I111:I116" si="96">SUM(F111:H111)</f>
        <v>2269.9369485439993</v>
      </c>
      <c r="J111" s="11">
        <f t="shared" ref="J111:J116" si="97">+E111+I111</f>
        <v>5152.7225945239989</v>
      </c>
      <c r="K111" s="11">
        <f t="shared" si="94"/>
        <v>880.13551716000018</v>
      </c>
      <c r="L111" s="11">
        <f t="shared" si="94"/>
        <v>886.69568849999951</v>
      </c>
      <c r="M111" s="11">
        <f t="shared" si="94"/>
        <v>768.95785051000053</v>
      </c>
      <c r="N111" s="11">
        <f t="shared" ref="N111:N116" si="98">SUM(K111:M111)</f>
        <v>2535.7890561700005</v>
      </c>
      <c r="O111" s="11">
        <f t="shared" si="94"/>
        <v>905.29886911999984</v>
      </c>
      <c r="P111" s="11">
        <f t="shared" si="94"/>
        <v>898.09013692000019</v>
      </c>
      <c r="Q111" s="11">
        <f t="shared" si="94"/>
        <v>952.25981178999928</v>
      </c>
      <c r="R111" s="11">
        <f t="shared" ref="R111:R116" si="99">SUM(O111:Q111)</f>
        <v>2755.6488178299992</v>
      </c>
      <c r="S111" s="11">
        <f t="shared" ref="S111:S116" si="100">+N111+R111</f>
        <v>5291.4378739999993</v>
      </c>
      <c r="T111" s="11">
        <f t="shared" ref="T111:T116" si="101">+J111+S111</f>
        <v>10444.160468523998</v>
      </c>
      <c r="U111" s="11"/>
      <c r="V111" s="11"/>
    </row>
    <row r="112" spans="1:22" ht="15" customHeight="1" x14ac:dyDescent="0.3">
      <c r="A112" s="12" t="s">
        <v>114</v>
      </c>
      <c r="B112" s="8">
        <v>246.38720600000008</v>
      </c>
      <c r="C112" s="8">
        <v>121.15915578999999</v>
      </c>
      <c r="D112" s="8">
        <v>134.11437099999998</v>
      </c>
      <c r="E112" s="8">
        <f t="shared" si="95"/>
        <v>501.66073279</v>
      </c>
      <c r="F112" s="8">
        <v>104.71723312999994</v>
      </c>
      <c r="G112" s="8">
        <v>153.92566748000002</v>
      </c>
      <c r="H112" s="8">
        <v>203.04079541999999</v>
      </c>
      <c r="I112" s="8">
        <f t="shared" si="96"/>
        <v>461.68369602999996</v>
      </c>
      <c r="J112" s="8">
        <f t="shared" si="97"/>
        <v>963.34442881999996</v>
      </c>
      <c r="K112" s="8">
        <v>155.07135585000003</v>
      </c>
      <c r="L112" s="8">
        <v>165.70122993000012</v>
      </c>
      <c r="M112" s="8">
        <v>161.45640882999999</v>
      </c>
      <c r="N112" s="8">
        <f t="shared" si="98"/>
        <v>482.22899461000014</v>
      </c>
      <c r="O112" s="8">
        <v>194.66248984999984</v>
      </c>
      <c r="P112" s="8">
        <v>186.99270955999992</v>
      </c>
      <c r="Q112" s="8">
        <v>210.80471647000002</v>
      </c>
      <c r="R112" s="8">
        <f t="shared" si="99"/>
        <v>592.45991587999981</v>
      </c>
      <c r="S112" s="8">
        <f t="shared" si="100"/>
        <v>1074.6889104899999</v>
      </c>
      <c r="T112" s="8">
        <f t="shared" si="101"/>
        <v>2038.03333931</v>
      </c>
      <c r="U112" s="8"/>
      <c r="V112" s="8"/>
    </row>
    <row r="113" spans="1:22" ht="15" customHeight="1" x14ac:dyDescent="0.3">
      <c r="A113" s="12" t="s">
        <v>115</v>
      </c>
      <c r="B113" s="8">
        <v>156.66979654999994</v>
      </c>
      <c r="C113" s="8">
        <v>116.16467760000002</v>
      </c>
      <c r="D113" s="8">
        <v>98.315945339999942</v>
      </c>
      <c r="E113" s="8">
        <f t="shared" si="95"/>
        <v>371.15041948999988</v>
      </c>
      <c r="F113" s="8">
        <v>84.986612570000005</v>
      </c>
      <c r="G113" s="8">
        <v>94.264928070000011</v>
      </c>
      <c r="H113" s="8">
        <v>156.04692214999997</v>
      </c>
      <c r="I113" s="8">
        <f t="shared" si="96"/>
        <v>335.29846279000003</v>
      </c>
      <c r="J113" s="8">
        <f t="shared" si="97"/>
        <v>706.44888227999991</v>
      </c>
      <c r="K113" s="8">
        <v>146.92153771000011</v>
      </c>
      <c r="L113" s="8">
        <v>155.95378289999996</v>
      </c>
      <c r="M113" s="8">
        <v>104.20302492000003</v>
      </c>
      <c r="N113" s="8">
        <f t="shared" si="98"/>
        <v>407.07834553000009</v>
      </c>
      <c r="O113" s="8">
        <v>122.95577243000001</v>
      </c>
      <c r="P113" s="8">
        <v>125.77131474000001</v>
      </c>
      <c r="Q113" s="8">
        <v>128.44148792999999</v>
      </c>
      <c r="R113" s="8">
        <f t="shared" si="99"/>
        <v>377.1685751</v>
      </c>
      <c r="S113" s="8">
        <f t="shared" si="100"/>
        <v>784.24692063000009</v>
      </c>
      <c r="T113" s="8">
        <f t="shared" si="101"/>
        <v>1490.6958029100001</v>
      </c>
      <c r="U113" s="8"/>
      <c r="V113" s="8"/>
    </row>
    <row r="114" spans="1:22" ht="15" customHeight="1" x14ac:dyDescent="0.3">
      <c r="A114" s="12" t="s">
        <v>116</v>
      </c>
      <c r="B114" s="8">
        <v>139.56029153000003</v>
      </c>
      <c r="C114" s="8">
        <v>74.32976195000002</v>
      </c>
      <c r="D114" s="8">
        <v>67.633479189999989</v>
      </c>
      <c r="E114" s="8">
        <f t="shared" si="95"/>
        <v>281.52353267000007</v>
      </c>
      <c r="F114" s="8">
        <v>62.506652360000011</v>
      </c>
      <c r="G114" s="8">
        <v>68.181508309999998</v>
      </c>
      <c r="H114" s="8">
        <v>109.31449979400001</v>
      </c>
      <c r="I114" s="8">
        <f t="shared" si="96"/>
        <v>240.00266046400003</v>
      </c>
      <c r="J114" s="8">
        <f t="shared" si="97"/>
        <v>521.5261931340001</v>
      </c>
      <c r="K114" s="8">
        <v>95.287206820000051</v>
      </c>
      <c r="L114" s="8">
        <v>91.809085170000046</v>
      </c>
      <c r="M114" s="8">
        <v>77.202744739999986</v>
      </c>
      <c r="N114" s="8">
        <f t="shared" si="98"/>
        <v>264.29903673000013</v>
      </c>
      <c r="O114" s="8">
        <v>94.865663680000011</v>
      </c>
      <c r="P114" s="8">
        <v>103.66447234000005</v>
      </c>
      <c r="Q114" s="8">
        <v>109.45769066999999</v>
      </c>
      <c r="R114" s="8">
        <f t="shared" si="99"/>
        <v>307.98782669000002</v>
      </c>
      <c r="S114" s="8">
        <f t="shared" si="100"/>
        <v>572.28686342000015</v>
      </c>
      <c r="T114" s="8">
        <f t="shared" si="101"/>
        <v>1093.8130565540002</v>
      </c>
      <c r="U114" s="8"/>
      <c r="V114" s="8"/>
    </row>
    <row r="115" spans="1:22" ht="18" customHeight="1" x14ac:dyDescent="0.3">
      <c r="A115" s="12" t="s">
        <v>117</v>
      </c>
      <c r="B115" s="8">
        <v>46.726864069999998</v>
      </c>
      <c r="C115" s="8">
        <v>38.564226680000004</v>
      </c>
      <c r="D115" s="8">
        <v>40.843349889999999</v>
      </c>
      <c r="E115" s="8">
        <f t="shared" si="95"/>
        <v>126.13444063999999</v>
      </c>
      <c r="F115" s="8">
        <v>24.37919947</v>
      </c>
      <c r="G115" s="8">
        <v>41.651992299999996</v>
      </c>
      <c r="H115" s="8">
        <v>47.921671290000006</v>
      </c>
      <c r="I115" s="8">
        <f t="shared" si="96"/>
        <v>113.95286306</v>
      </c>
      <c r="J115" s="8">
        <f t="shared" si="97"/>
        <v>240.08730370000001</v>
      </c>
      <c r="K115" s="8">
        <v>40.259935010000007</v>
      </c>
      <c r="L115" s="8">
        <v>46.234417409999985</v>
      </c>
      <c r="M115" s="8">
        <v>38.630576080000012</v>
      </c>
      <c r="N115" s="8">
        <f t="shared" si="98"/>
        <v>125.1249285</v>
      </c>
      <c r="O115" s="8">
        <v>50.376490029999992</v>
      </c>
      <c r="P115" s="8">
        <v>57.55527493999999</v>
      </c>
      <c r="Q115" s="8">
        <v>54.267601889999995</v>
      </c>
      <c r="R115" s="8">
        <f t="shared" si="99"/>
        <v>162.19936686</v>
      </c>
      <c r="S115" s="8">
        <f t="shared" si="100"/>
        <v>287.32429536000001</v>
      </c>
      <c r="T115" s="8">
        <f t="shared" si="101"/>
        <v>527.41159906000007</v>
      </c>
      <c r="U115" s="8"/>
      <c r="V115" s="8"/>
    </row>
    <row r="116" spans="1:22" ht="18" customHeight="1" x14ac:dyDescent="0.3">
      <c r="A116" s="12" t="s">
        <v>118</v>
      </c>
      <c r="B116" s="8">
        <v>735.71481529999983</v>
      </c>
      <c r="C116" s="8">
        <v>482.87149527000003</v>
      </c>
      <c r="D116" s="8">
        <v>383.73020982000003</v>
      </c>
      <c r="E116" s="8">
        <f t="shared" si="95"/>
        <v>1602.3165203899998</v>
      </c>
      <c r="F116" s="8">
        <v>274.83621861</v>
      </c>
      <c r="G116" s="8">
        <v>270.26640548999984</v>
      </c>
      <c r="H116" s="8">
        <v>573.89664209999955</v>
      </c>
      <c r="I116" s="8">
        <f t="shared" si="96"/>
        <v>1118.9992661999995</v>
      </c>
      <c r="J116" s="8">
        <f t="shared" si="97"/>
        <v>2721.3157865899993</v>
      </c>
      <c r="K116" s="8">
        <v>442.59548176999999</v>
      </c>
      <c r="L116" s="8">
        <v>426.99717308999931</v>
      </c>
      <c r="M116" s="8">
        <v>387.46509594000042</v>
      </c>
      <c r="N116" s="8">
        <f t="shared" si="98"/>
        <v>1257.0577507999997</v>
      </c>
      <c r="O116" s="8">
        <v>442.43845313000003</v>
      </c>
      <c r="P116" s="8">
        <v>424.1063653400002</v>
      </c>
      <c r="Q116" s="8">
        <v>449.28831482999936</v>
      </c>
      <c r="R116" s="8">
        <f t="shared" si="99"/>
        <v>1315.8331332999996</v>
      </c>
      <c r="S116" s="8">
        <f t="shared" si="100"/>
        <v>2572.8908840999993</v>
      </c>
      <c r="T116" s="8">
        <f t="shared" si="101"/>
        <v>5294.2066706899986</v>
      </c>
      <c r="U116" s="8"/>
      <c r="V116" s="8"/>
    </row>
    <row r="117" spans="1:22" s="10" customFormat="1" ht="15" customHeight="1" x14ac:dyDescent="0.3">
      <c r="A117" s="12"/>
      <c r="B117" s="11"/>
      <c r="C117" s="11"/>
      <c r="D117" s="11"/>
      <c r="E117" s="11"/>
      <c r="F117" s="11"/>
      <c r="G117" s="11"/>
      <c r="H117" s="11"/>
      <c r="I117" s="11"/>
      <c r="J117" s="11"/>
      <c r="K117" s="11"/>
      <c r="L117" s="11"/>
      <c r="M117" s="11"/>
      <c r="N117" s="11"/>
      <c r="O117" s="11"/>
      <c r="P117" s="11"/>
      <c r="Q117" s="11"/>
      <c r="R117" s="11"/>
      <c r="S117" s="11"/>
      <c r="T117" s="11"/>
      <c r="U117" s="11"/>
      <c r="V117" s="11"/>
    </row>
    <row r="118" spans="1:22" s="10" customFormat="1" ht="15" customHeight="1" x14ac:dyDescent="0.25">
      <c r="A118" s="13" t="s">
        <v>119</v>
      </c>
      <c r="B118" s="11">
        <f>SUM(B119:B123)</f>
        <v>3624.3095971100001</v>
      </c>
      <c r="C118" s="11">
        <f t="shared" ref="C118:Q118" si="102">SUM(C119:C123)</f>
        <v>2101.8491275499991</v>
      </c>
      <c r="D118" s="11">
        <f t="shared" si="102"/>
        <v>2100.1063370999996</v>
      </c>
      <c r="E118" s="11">
        <f t="shared" ref="E118:E123" si="103">SUM(B118:D118)</f>
        <v>7826.2650617599993</v>
      </c>
      <c r="F118" s="11">
        <f t="shared" si="102"/>
        <v>1373.6484157499999</v>
      </c>
      <c r="G118" s="11">
        <f t="shared" si="102"/>
        <v>1646.9203158899995</v>
      </c>
      <c r="H118" s="11">
        <f t="shared" si="102"/>
        <v>4945.2203130100006</v>
      </c>
      <c r="I118" s="11">
        <f t="shared" ref="I118:I123" si="104">SUM(F118:H118)</f>
        <v>7965.7890446500005</v>
      </c>
      <c r="J118" s="11">
        <f t="shared" ref="J118:J123" si="105">+E118+I118</f>
        <v>15792.05410641</v>
      </c>
      <c r="K118" s="11">
        <f t="shared" si="102"/>
        <v>2727.2559512699991</v>
      </c>
      <c r="L118" s="11">
        <f t="shared" si="102"/>
        <v>2602.6063450600004</v>
      </c>
      <c r="M118" s="11">
        <f t="shared" si="102"/>
        <v>2550.274244409999</v>
      </c>
      <c r="N118" s="11">
        <f t="shared" ref="N118:N123" si="106">SUM(K118:M118)</f>
        <v>7880.136540739999</v>
      </c>
      <c r="O118" s="11">
        <f t="shared" si="102"/>
        <v>2674.4403347399993</v>
      </c>
      <c r="P118" s="11">
        <f t="shared" si="102"/>
        <v>3148.87095843</v>
      </c>
      <c r="Q118" s="11">
        <f t="shared" si="102"/>
        <v>2365.6870875500008</v>
      </c>
      <c r="R118" s="11">
        <f t="shared" ref="R118:R123" si="107">SUM(O118:Q118)</f>
        <v>8188.9983807200006</v>
      </c>
      <c r="S118" s="11">
        <f t="shared" ref="S118:S123" si="108">+N118+R118</f>
        <v>16069.13492146</v>
      </c>
      <c r="T118" s="11">
        <f t="shared" ref="T118:T123" si="109">+J118+S118</f>
        <v>31861.189027870001</v>
      </c>
      <c r="U118" s="11"/>
      <c r="V118" s="11"/>
    </row>
    <row r="119" spans="1:22" ht="15" customHeight="1" x14ac:dyDescent="0.3">
      <c r="A119" s="12" t="s">
        <v>120</v>
      </c>
      <c r="B119" s="8">
        <v>335.3926209600001</v>
      </c>
      <c r="C119" s="8">
        <v>198.51887747999999</v>
      </c>
      <c r="D119" s="8">
        <v>212.01296779000003</v>
      </c>
      <c r="E119" s="8">
        <f t="shared" si="103"/>
        <v>745.92446623000012</v>
      </c>
      <c r="F119" s="8">
        <v>136.77534502999995</v>
      </c>
      <c r="G119" s="8">
        <v>168.21612879000008</v>
      </c>
      <c r="H119" s="8">
        <v>373.30421331999992</v>
      </c>
      <c r="I119" s="8">
        <f t="shared" si="104"/>
        <v>678.29568713999993</v>
      </c>
      <c r="J119" s="8">
        <f t="shared" si="105"/>
        <v>1424.2201533699999</v>
      </c>
      <c r="K119" s="8">
        <v>233.53208465000003</v>
      </c>
      <c r="L119" s="8">
        <v>263.18441380000007</v>
      </c>
      <c r="M119" s="8">
        <v>213.22018825999999</v>
      </c>
      <c r="N119" s="8">
        <f t="shared" si="106"/>
        <v>709.93668671000012</v>
      </c>
      <c r="O119" s="8">
        <v>291.53369472000008</v>
      </c>
      <c r="P119" s="8">
        <v>265.14858676000011</v>
      </c>
      <c r="Q119" s="8">
        <v>283.29996826000013</v>
      </c>
      <c r="R119" s="8">
        <f t="shared" si="107"/>
        <v>839.98224974000038</v>
      </c>
      <c r="S119" s="8">
        <f t="shared" si="108"/>
        <v>1549.9189364500005</v>
      </c>
      <c r="T119" s="8">
        <f t="shared" si="109"/>
        <v>2974.1390898200007</v>
      </c>
      <c r="U119" s="8"/>
      <c r="V119" s="8"/>
    </row>
    <row r="120" spans="1:22" ht="15" customHeight="1" x14ac:dyDescent="0.3">
      <c r="A120" s="12" t="s">
        <v>121</v>
      </c>
      <c r="B120" s="8">
        <v>162.43082118000001</v>
      </c>
      <c r="C120" s="8">
        <v>80.557396370000035</v>
      </c>
      <c r="D120" s="8">
        <v>65.28717143999998</v>
      </c>
      <c r="E120" s="8">
        <f t="shared" si="103"/>
        <v>308.27538899000001</v>
      </c>
      <c r="F120" s="8">
        <v>45.93454644000002</v>
      </c>
      <c r="G120" s="8">
        <v>62.307410939999983</v>
      </c>
      <c r="H120" s="8">
        <v>95.681117219999933</v>
      </c>
      <c r="I120" s="8">
        <f t="shared" si="104"/>
        <v>203.92307459999995</v>
      </c>
      <c r="J120" s="8">
        <f t="shared" si="105"/>
        <v>512.19846358999996</v>
      </c>
      <c r="K120" s="8">
        <v>94.183509570000012</v>
      </c>
      <c r="L120" s="8">
        <v>92.237456309999956</v>
      </c>
      <c r="M120" s="8">
        <v>85.207370189999963</v>
      </c>
      <c r="N120" s="8">
        <f t="shared" si="106"/>
        <v>271.62833606999993</v>
      </c>
      <c r="O120" s="8">
        <v>83.944006450000003</v>
      </c>
      <c r="P120" s="8">
        <v>112.90386476999998</v>
      </c>
      <c r="Q120" s="8">
        <v>84.309631780000004</v>
      </c>
      <c r="R120" s="8">
        <f t="shared" si="107"/>
        <v>281.15750300000002</v>
      </c>
      <c r="S120" s="8">
        <f t="shared" si="108"/>
        <v>552.78583906999995</v>
      </c>
      <c r="T120" s="8">
        <f t="shared" si="109"/>
        <v>1064.9843026599999</v>
      </c>
      <c r="U120" s="8"/>
      <c r="V120" s="8"/>
    </row>
    <row r="121" spans="1:22" ht="15" customHeight="1" x14ac:dyDescent="0.3">
      <c r="A121" s="12" t="s">
        <v>122</v>
      </c>
      <c r="B121" s="8">
        <v>74.680787009999975</v>
      </c>
      <c r="C121" s="8">
        <v>41.591909650000012</v>
      </c>
      <c r="D121" s="8">
        <v>50.048848469999982</v>
      </c>
      <c r="E121" s="8">
        <f t="shared" si="103"/>
        <v>166.32154512999995</v>
      </c>
      <c r="F121" s="8">
        <v>42.413323489999996</v>
      </c>
      <c r="G121" s="8">
        <v>46.472227740000008</v>
      </c>
      <c r="H121" s="8">
        <v>64.691519710000009</v>
      </c>
      <c r="I121" s="8">
        <f t="shared" si="104"/>
        <v>153.57707094</v>
      </c>
      <c r="J121" s="8">
        <f t="shared" si="105"/>
        <v>319.89861606999995</v>
      </c>
      <c r="K121" s="8">
        <v>49.663410620000001</v>
      </c>
      <c r="L121" s="8">
        <v>50.844901320000005</v>
      </c>
      <c r="M121" s="8">
        <v>54.175699359999996</v>
      </c>
      <c r="N121" s="8">
        <f t="shared" si="106"/>
        <v>154.68401130000001</v>
      </c>
      <c r="O121" s="8">
        <v>65.233090069999989</v>
      </c>
      <c r="P121" s="8">
        <v>50.415583319999996</v>
      </c>
      <c r="Q121" s="8">
        <v>53.338964500000003</v>
      </c>
      <c r="R121" s="8">
        <f t="shared" si="107"/>
        <v>168.98763788999997</v>
      </c>
      <c r="S121" s="8">
        <f t="shared" si="108"/>
        <v>323.67164918999998</v>
      </c>
      <c r="T121" s="8">
        <f t="shared" si="109"/>
        <v>643.57026525999993</v>
      </c>
      <c r="U121" s="8"/>
      <c r="V121" s="8"/>
    </row>
    <row r="122" spans="1:22" ht="15" customHeight="1" x14ac:dyDescent="0.3">
      <c r="A122" s="12" t="s">
        <v>123</v>
      </c>
      <c r="B122" s="8">
        <v>1257.5221944800005</v>
      </c>
      <c r="C122" s="8">
        <v>860.35917672999949</v>
      </c>
      <c r="D122" s="8">
        <v>844.74960576000001</v>
      </c>
      <c r="E122" s="8">
        <f t="shared" si="103"/>
        <v>2962.6309769700001</v>
      </c>
      <c r="F122" s="8">
        <v>325.43710256999992</v>
      </c>
      <c r="G122" s="8">
        <v>471.35732077</v>
      </c>
      <c r="H122" s="8">
        <v>1785.9958569500004</v>
      </c>
      <c r="I122" s="8">
        <f t="shared" si="104"/>
        <v>2582.7902802900003</v>
      </c>
      <c r="J122" s="8">
        <f t="shared" si="105"/>
        <v>5545.4212572600009</v>
      </c>
      <c r="K122" s="8">
        <v>819.14295899999979</v>
      </c>
      <c r="L122" s="8">
        <v>895.68710479000038</v>
      </c>
      <c r="M122" s="8">
        <v>760.35574331999942</v>
      </c>
      <c r="N122" s="8">
        <f t="shared" si="106"/>
        <v>2475.1858071099996</v>
      </c>
      <c r="O122" s="8">
        <v>1118.5869217900001</v>
      </c>
      <c r="P122" s="8">
        <v>1022.9450768500001</v>
      </c>
      <c r="Q122" s="8">
        <v>922.54027331000066</v>
      </c>
      <c r="R122" s="8">
        <f t="shared" si="107"/>
        <v>3064.0722719500009</v>
      </c>
      <c r="S122" s="8">
        <f t="shared" si="108"/>
        <v>5539.2580790600005</v>
      </c>
      <c r="T122" s="8">
        <f t="shared" si="109"/>
        <v>11084.679336320001</v>
      </c>
      <c r="U122" s="8"/>
      <c r="V122" s="8"/>
    </row>
    <row r="123" spans="1:22" ht="18" customHeight="1" x14ac:dyDescent="0.3">
      <c r="A123" s="12" t="s">
        <v>124</v>
      </c>
      <c r="B123" s="8">
        <v>1794.2831734799997</v>
      </c>
      <c r="C123" s="8">
        <v>920.82176731999994</v>
      </c>
      <c r="D123" s="8">
        <v>928.0077436399996</v>
      </c>
      <c r="E123" s="8">
        <f t="shared" si="103"/>
        <v>3643.1126844399996</v>
      </c>
      <c r="F123" s="8">
        <v>823.08809822000001</v>
      </c>
      <c r="G123" s="8">
        <v>898.5672276499995</v>
      </c>
      <c r="H123" s="8">
        <v>2625.5476058100007</v>
      </c>
      <c r="I123" s="8">
        <f t="shared" si="104"/>
        <v>4347.2029316799999</v>
      </c>
      <c r="J123" s="8">
        <f t="shared" si="105"/>
        <v>7990.3156161199995</v>
      </c>
      <c r="K123" s="8">
        <v>1530.7339874299994</v>
      </c>
      <c r="L123" s="8">
        <v>1300.65246884</v>
      </c>
      <c r="M123" s="8">
        <v>1437.3152432799998</v>
      </c>
      <c r="N123" s="8">
        <f t="shared" si="106"/>
        <v>4268.7016995499989</v>
      </c>
      <c r="O123" s="8">
        <v>1115.1426217099993</v>
      </c>
      <c r="P123" s="8">
        <v>1697.4578467299998</v>
      </c>
      <c r="Q123" s="8">
        <v>1022.1982497000001</v>
      </c>
      <c r="R123" s="8">
        <f t="shared" si="107"/>
        <v>3834.7987181399994</v>
      </c>
      <c r="S123" s="8">
        <f t="shared" si="108"/>
        <v>8103.5004176899984</v>
      </c>
      <c r="T123" s="8">
        <f t="shared" si="109"/>
        <v>16093.816033809999</v>
      </c>
      <c r="U123" s="8"/>
      <c r="V123" s="8"/>
    </row>
    <row r="124" spans="1:22" s="10" customFormat="1" ht="15" customHeight="1" x14ac:dyDescent="0.3">
      <c r="A124" s="12"/>
      <c r="B124" s="11"/>
      <c r="C124" s="11"/>
      <c r="D124" s="11"/>
      <c r="E124" s="11"/>
      <c r="F124" s="11"/>
      <c r="G124" s="11"/>
      <c r="H124" s="11"/>
      <c r="I124" s="11"/>
      <c r="J124" s="11"/>
      <c r="K124" s="11"/>
      <c r="L124" s="11"/>
      <c r="M124" s="11"/>
      <c r="N124" s="11"/>
      <c r="O124" s="11"/>
      <c r="P124" s="11"/>
      <c r="Q124" s="11"/>
      <c r="R124" s="11"/>
      <c r="S124" s="11"/>
      <c r="T124" s="11"/>
      <c r="U124" s="11"/>
      <c r="V124" s="11"/>
    </row>
    <row r="125" spans="1:22" s="10" customFormat="1" ht="15" customHeight="1" x14ac:dyDescent="0.25">
      <c r="A125" s="13" t="s">
        <v>125</v>
      </c>
      <c r="B125" s="11">
        <f>SUM(B126:B129)</f>
        <v>697.34117190999996</v>
      </c>
      <c r="C125" s="11">
        <f t="shared" ref="C125:Q125" si="110">SUM(C126:C129)</f>
        <v>431.27673356999998</v>
      </c>
      <c r="D125" s="11">
        <f t="shared" si="110"/>
        <v>463.08564289000003</v>
      </c>
      <c r="E125" s="11">
        <f t="shared" ref="E125:E129" si="111">SUM(B125:D125)</f>
        <v>1591.7035483700001</v>
      </c>
      <c r="F125" s="11">
        <f t="shared" si="110"/>
        <v>289.23534893999999</v>
      </c>
      <c r="G125" s="11">
        <f t="shared" si="110"/>
        <v>388.93225937000011</v>
      </c>
      <c r="H125" s="11">
        <f t="shared" si="110"/>
        <v>836.2328265540001</v>
      </c>
      <c r="I125" s="11">
        <f t="shared" ref="I125:I129" si="112">SUM(F125:H125)</f>
        <v>1514.4004348640001</v>
      </c>
      <c r="J125" s="11">
        <f t="shared" ref="J125:J129" si="113">+E125+I125</f>
        <v>3106.1039832340002</v>
      </c>
      <c r="K125" s="11">
        <f t="shared" si="110"/>
        <v>572.96376052000005</v>
      </c>
      <c r="L125" s="11">
        <f t="shared" si="110"/>
        <v>576.14375722</v>
      </c>
      <c r="M125" s="11">
        <f t="shared" si="110"/>
        <v>503.58410122000009</v>
      </c>
      <c r="N125" s="11">
        <f t="shared" ref="N125:N129" si="114">SUM(K125:M125)</f>
        <v>1652.6916189600001</v>
      </c>
      <c r="O125" s="11">
        <f t="shared" si="110"/>
        <v>562.20194767999988</v>
      </c>
      <c r="P125" s="11">
        <f t="shared" si="110"/>
        <v>585.22726230000001</v>
      </c>
      <c r="Q125" s="11">
        <f t="shared" si="110"/>
        <v>569.07426774999999</v>
      </c>
      <c r="R125" s="11">
        <f t="shared" ref="R125:R129" si="115">SUM(O125:Q125)</f>
        <v>1716.50347773</v>
      </c>
      <c r="S125" s="11">
        <f t="shared" ref="S125:S129" si="116">+N125+R125</f>
        <v>3369.1950966900004</v>
      </c>
      <c r="T125" s="11">
        <f t="shared" ref="T125:T129" si="117">+J125+S125</f>
        <v>6475.2990799240006</v>
      </c>
      <c r="U125" s="11"/>
      <c r="V125" s="11"/>
    </row>
    <row r="126" spans="1:22" ht="15" customHeight="1" x14ac:dyDescent="0.3">
      <c r="A126" s="12" t="s">
        <v>126</v>
      </c>
      <c r="B126" s="8">
        <v>153.05087305000004</v>
      </c>
      <c r="C126" s="8">
        <v>89.675153389999977</v>
      </c>
      <c r="D126" s="8">
        <v>98.51960047</v>
      </c>
      <c r="E126" s="8">
        <f t="shared" si="111"/>
        <v>341.24562691</v>
      </c>
      <c r="F126" s="8">
        <v>62.011431799999983</v>
      </c>
      <c r="G126" s="8">
        <v>98.119906060000062</v>
      </c>
      <c r="H126" s="8">
        <v>141.37367421400009</v>
      </c>
      <c r="I126" s="8">
        <f t="shared" si="112"/>
        <v>301.50501207400009</v>
      </c>
      <c r="J126" s="8">
        <f t="shared" si="113"/>
        <v>642.75063898400003</v>
      </c>
      <c r="K126" s="8">
        <v>125.50409773000004</v>
      </c>
      <c r="L126" s="8">
        <v>122.25764089000005</v>
      </c>
      <c r="M126" s="8">
        <v>99.219481210000041</v>
      </c>
      <c r="N126" s="8">
        <f t="shared" si="114"/>
        <v>346.9812198300001</v>
      </c>
      <c r="O126" s="8">
        <v>121.79873092</v>
      </c>
      <c r="P126" s="8">
        <v>120.64363461999992</v>
      </c>
      <c r="Q126" s="8">
        <v>121.82970662000004</v>
      </c>
      <c r="R126" s="8">
        <f t="shared" si="115"/>
        <v>364.27207215999994</v>
      </c>
      <c r="S126" s="8">
        <f t="shared" si="116"/>
        <v>711.25329198999998</v>
      </c>
      <c r="T126" s="8">
        <f t="shared" si="117"/>
        <v>1354.003930974</v>
      </c>
      <c r="U126" s="8"/>
      <c r="V126" s="8"/>
    </row>
    <row r="127" spans="1:22" ht="15" customHeight="1" x14ac:dyDescent="0.3">
      <c r="A127" s="12" t="s">
        <v>127</v>
      </c>
      <c r="B127" s="8">
        <v>286.14514987000001</v>
      </c>
      <c r="C127" s="8">
        <v>177.13575237999999</v>
      </c>
      <c r="D127" s="8">
        <v>188.88848444000007</v>
      </c>
      <c r="E127" s="8">
        <f t="shared" si="111"/>
        <v>652.16938669000001</v>
      </c>
      <c r="F127" s="8">
        <v>106.96490124999998</v>
      </c>
      <c r="G127" s="8">
        <v>156.29431309000009</v>
      </c>
      <c r="H127" s="8">
        <v>381.37094716000024</v>
      </c>
      <c r="I127" s="8">
        <f t="shared" si="112"/>
        <v>644.63016150000033</v>
      </c>
      <c r="J127" s="8">
        <f t="shared" si="113"/>
        <v>1296.7995481900002</v>
      </c>
      <c r="K127" s="8">
        <v>219.11862290000002</v>
      </c>
      <c r="L127" s="8">
        <v>216.26603347999986</v>
      </c>
      <c r="M127" s="8">
        <v>200.50668930000001</v>
      </c>
      <c r="N127" s="8">
        <f t="shared" si="114"/>
        <v>635.89134567999986</v>
      </c>
      <c r="O127" s="8">
        <v>209.59056129999988</v>
      </c>
      <c r="P127" s="8">
        <v>210.30981644000002</v>
      </c>
      <c r="Q127" s="8">
        <v>242.34655140999999</v>
      </c>
      <c r="R127" s="8">
        <f t="shared" si="115"/>
        <v>662.24692914999991</v>
      </c>
      <c r="S127" s="8">
        <f t="shared" si="116"/>
        <v>1298.1382748299998</v>
      </c>
      <c r="T127" s="8">
        <f t="shared" si="117"/>
        <v>2594.93782302</v>
      </c>
      <c r="U127" s="8"/>
      <c r="V127" s="8"/>
    </row>
    <row r="128" spans="1:22" ht="15" customHeight="1" x14ac:dyDescent="0.3">
      <c r="A128" s="12" t="s">
        <v>128</v>
      </c>
      <c r="B128" s="8">
        <v>169.33757181000004</v>
      </c>
      <c r="C128" s="8">
        <v>100.71688805000001</v>
      </c>
      <c r="D128" s="8">
        <v>115.52592712999996</v>
      </c>
      <c r="E128" s="8">
        <f t="shared" si="111"/>
        <v>385.58038699000002</v>
      </c>
      <c r="F128" s="8">
        <v>86.72520102</v>
      </c>
      <c r="G128" s="8">
        <v>86.338295539999976</v>
      </c>
      <c r="H128" s="8">
        <v>187.37755499999983</v>
      </c>
      <c r="I128" s="8">
        <f t="shared" si="112"/>
        <v>360.44105155999978</v>
      </c>
      <c r="J128" s="8">
        <f t="shared" si="113"/>
        <v>746.02143854999986</v>
      </c>
      <c r="K128" s="8">
        <v>129.77431733999995</v>
      </c>
      <c r="L128" s="8">
        <v>141.7489161</v>
      </c>
      <c r="M128" s="8">
        <v>113.15557709000005</v>
      </c>
      <c r="N128" s="8">
        <f t="shared" si="114"/>
        <v>384.67881053000002</v>
      </c>
      <c r="O128" s="8">
        <v>146.96332486000006</v>
      </c>
      <c r="P128" s="8">
        <v>138.19020978000009</v>
      </c>
      <c r="Q128" s="8">
        <v>140.14940324000003</v>
      </c>
      <c r="R128" s="8">
        <f t="shared" si="115"/>
        <v>425.30293788000017</v>
      </c>
      <c r="S128" s="8">
        <f t="shared" si="116"/>
        <v>809.98174841000014</v>
      </c>
      <c r="T128" s="8">
        <f t="shared" si="117"/>
        <v>1556.00318696</v>
      </c>
      <c r="U128" s="8"/>
      <c r="V128" s="8"/>
    </row>
    <row r="129" spans="1:22" ht="15" customHeight="1" x14ac:dyDescent="0.3">
      <c r="A129" s="12" t="s">
        <v>129</v>
      </c>
      <c r="B129" s="8">
        <v>88.807577179999981</v>
      </c>
      <c r="C129" s="8">
        <v>63.748939749999998</v>
      </c>
      <c r="D129" s="8">
        <v>60.151630849999989</v>
      </c>
      <c r="E129" s="8">
        <f t="shared" si="111"/>
        <v>212.70814777999999</v>
      </c>
      <c r="F129" s="8">
        <v>33.53381487</v>
      </c>
      <c r="G129" s="8">
        <v>48.179744679999999</v>
      </c>
      <c r="H129" s="8">
        <v>126.11065017999995</v>
      </c>
      <c r="I129" s="8">
        <f t="shared" si="112"/>
        <v>207.82420972999995</v>
      </c>
      <c r="J129" s="8">
        <f t="shared" si="113"/>
        <v>420.53235750999994</v>
      </c>
      <c r="K129" s="8">
        <v>98.56672254999998</v>
      </c>
      <c r="L129" s="8">
        <v>95.87116675</v>
      </c>
      <c r="M129" s="8">
        <v>90.702353619999968</v>
      </c>
      <c r="N129" s="8">
        <f t="shared" si="114"/>
        <v>285.14024291999999</v>
      </c>
      <c r="O129" s="8">
        <v>83.849330599999973</v>
      </c>
      <c r="P129" s="8">
        <v>116.08360145999998</v>
      </c>
      <c r="Q129" s="8">
        <v>64.748606479999978</v>
      </c>
      <c r="R129" s="8">
        <f t="shared" si="115"/>
        <v>264.68153853999991</v>
      </c>
      <c r="S129" s="8">
        <f t="shared" si="116"/>
        <v>549.8217814599999</v>
      </c>
      <c r="T129" s="8">
        <f t="shared" si="117"/>
        <v>970.35413896999989</v>
      </c>
      <c r="U129" s="8"/>
      <c r="V129" s="8"/>
    </row>
    <row r="130" spans="1:22" s="10" customFormat="1" ht="15" customHeight="1" x14ac:dyDescent="0.3">
      <c r="A130" s="12"/>
      <c r="B130" s="11"/>
      <c r="C130" s="11"/>
      <c r="D130" s="11"/>
      <c r="E130" s="11"/>
      <c r="F130" s="11"/>
      <c r="G130" s="11"/>
      <c r="H130" s="11"/>
      <c r="I130" s="11"/>
      <c r="J130" s="11"/>
      <c r="K130" s="11"/>
      <c r="L130" s="11"/>
      <c r="M130" s="11"/>
      <c r="N130" s="11"/>
      <c r="O130" s="11"/>
      <c r="P130" s="11"/>
      <c r="Q130" s="11"/>
      <c r="R130" s="11"/>
      <c r="S130" s="11"/>
      <c r="T130" s="11"/>
      <c r="U130" s="11"/>
      <c r="V130" s="11"/>
    </row>
    <row r="131" spans="1:22" s="10" customFormat="1" ht="15" customHeight="1" x14ac:dyDescent="0.25">
      <c r="A131" s="13" t="s">
        <v>130</v>
      </c>
      <c r="B131" s="11">
        <f>SUM(B132:B135)</f>
        <v>575.73506573000009</v>
      </c>
      <c r="C131" s="11">
        <f t="shared" ref="C131:Q131" si="118">SUM(C132:C135)</f>
        <v>355.6296610199999</v>
      </c>
      <c r="D131" s="11">
        <f t="shared" si="118"/>
        <v>349.50641765999995</v>
      </c>
      <c r="E131" s="11">
        <f t="shared" ref="E131:E135" si="119">SUM(B131:D131)</f>
        <v>1280.8711444099999</v>
      </c>
      <c r="F131" s="11">
        <f t="shared" si="118"/>
        <v>287.19051837000006</v>
      </c>
      <c r="G131" s="11">
        <f t="shared" si="118"/>
        <v>319.60970264999992</v>
      </c>
      <c r="H131" s="11">
        <f t="shared" si="118"/>
        <v>562.0658857300001</v>
      </c>
      <c r="I131" s="11">
        <f t="shared" ref="I131:I135" si="120">SUM(F131:H131)</f>
        <v>1168.8661067500002</v>
      </c>
      <c r="J131" s="11">
        <f t="shared" ref="J131:J135" si="121">+E131+I131</f>
        <v>2449.7372511600001</v>
      </c>
      <c r="K131" s="11">
        <f t="shared" si="118"/>
        <v>394.92890868000001</v>
      </c>
      <c r="L131" s="11">
        <f t="shared" si="118"/>
        <v>386.17856735999999</v>
      </c>
      <c r="M131" s="11">
        <f t="shared" si="118"/>
        <v>393.99716759</v>
      </c>
      <c r="N131" s="11">
        <f t="shared" ref="N131:N135" si="122">SUM(K131:M131)</f>
        <v>1175.1046436299998</v>
      </c>
      <c r="O131" s="11">
        <f t="shared" si="118"/>
        <v>426.06918449000011</v>
      </c>
      <c r="P131" s="11">
        <f t="shared" si="118"/>
        <v>425.40731665999988</v>
      </c>
      <c r="Q131" s="11">
        <f t="shared" si="118"/>
        <v>414.66386603000001</v>
      </c>
      <c r="R131" s="11">
        <f t="shared" ref="R131:R135" si="123">SUM(O131:Q131)</f>
        <v>1266.1403671799999</v>
      </c>
      <c r="S131" s="11">
        <f t="shared" ref="S131:S135" si="124">+N131+R131</f>
        <v>2441.2450108099997</v>
      </c>
      <c r="T131" s="11">
        <f t="shared" ref="T131:T135" si="125">+J131+S131</f>
        <v>4890.9822619699999</v>
      </c>
      <c r="U131" s="11"/>
      <c r="V131" s="11"/>
    </row>
    <row r="132" spans="1:22" ht="15" customHeight="1" x14ac:dyDescent="0.3">
      <c r="A132" s="12" t="s">
        <v>131</v>
      </c>
      <c r="B132" s="8">
        <v>236.14739216000004</v>
      </c>
      <c r="C132" s="8">
        <v>150.78276923999988</v>
      </c>
      <c r="D132" s="8">
        <v>162.27069814999993</v>
      </c>
      <c r="E132" s="8">
        <f t="shared" si="119"/>
        <v>549.2008595499999</v>
      </c>
      <c r="F132" s="8">
        <v>106.80310453000007</v>
      </c>
      <c r="G132" s="8">
        <v>117.95154847999997</v>
      </c>
      <c r="H132" s="8">
        <v>268.29602739000012</v>
      </c>
      <c r="I132" s="8">
        <f t="shared" si="120"/>
        <v>493.05068040000015</v>
      </c>
      <c r="J132" s="8">
        <f t="shared" si="121"/>
        <v>1042.2515399500001</v>
      </c>
      <c r="K132" s="8">
        <v>166.06802381</v>
      </c>
      <c r="L132" s="8">
        <v>152.87670370999999</v>
      </c>
      <c r="M132" s="8">
        <v>168.08495176000005</v>
      </c>
      <c r="N132" s="8">
        <f t="shared" si="122"/>
        <v>487.0296792800001</v>
      </c>
      <c r="O132" s="8">
        <v>194.43036993000004</v>
      </c>
      <c r="P132" s="8">
        <v>190.61111847999985</v>
      </c>
      <c r="Q132" s="8">
        <v>180.08378885000005</v>
      </c>
      <c r="R132" s="8">
        <f t="shared" si="123"/>
        <v>565.12527725999996</v>
      </c>
      <c r="S132" s="8">
        <f t="shared" si="124"/>
        <v>1052.1549565400001</v>
      </c>
      <c r="T132" s="8">
        <f t="shared" si="125"/>
        <v>2094.4064964899999</v>
      </c>
      <c r="U132" s="8"/>
      <c r="V132" s="8"/>
    </row>
    <row r="133" spans="1:22" ht="15" customHeight="1" x14ac:dyDescent="0.3">
      <c r="A133" s="12" t="s">
        <v>132</v>
      </c>
      <c r="B133" s="8">
        <v>103.63214721000004</v>
      </c>
      <c r="C133" s="8">
        <v>61.781153870000011</v>
      </c>
      <c r="D133" s="8">
        <v>58.79193501999999</v>
      </c>
      <c r="E133" s="8">
        <f t="shared" si="119"/>
        <v>224.20523610000004</v>
      </c>
      <c r="F133" s="8">
        <v>56.231837259999992</v>
      </c>
      <c r="G133" s="8">
        <v>78.792204249999969</v>
      </c>
      <c r="H133" s="8">
        <v>86.770493449999975</v>
      </c>
      <c r="I133" s="8">
        <f t="shared" si="120"/>
        <v>221.79453495999994</v>
      </c>
      <c r="J133" s="8">
        <f t="shared" si="121"/>
        <v>445.99977105999994</v>
      </c>
      <c r="K133" s="8">
        <v>68.475446369999972</v>
      </c>
      <c r="L133" s="8">
        <v>87.553660450000038</v>
      </c>
      <c r="M133" s="8">
        <v>78.63916583000001</v>
      </c>
      <c r="N133" s="8">
        <f t="shared" si="122"/>
        <v>234.66827265000001</v>
      </c>
      <c r="O133" s="8">
        <v>76.719663310000001</v>
      </c>
      <c r="P133" s="8">
        <v>84.686494620000005</v>
      </c>
      <c r="Q133" s="8">
        <v>76.961932640000015</v>
      </c>
      <c r="R133" s="8">
        <f t="shared" si="123"/>
        <v>238.36809057000002</v>
      </c>
      <c r="S133" s="8">
        <f t="shared" si="124"/>
        <v>473.03636322</v>
      </c>
      <c r="T133" s="8">
        <f t="shared" si="125"/>
        <v>919.03613427999994</v>
      </c>
      <c r="U133" s="8"/>
      <c r="V133" s="8"/>
    </row>
    <row r="134" spans="1:22" ht="15" customHeight="1" x14ac:dyDescent="0.3">
      <c r="A134" s="12" t="s">
        <v>133</v>
      </c>
      <c r="B134" s="8">
        <v>142.22674398999999</v>
      </c>
      <c r="C134" s="8">
        <v>83.834478460000014</v>
      </c>
      <c r="D134" s="8">
        <v>75.888107519999991</v>
      </c>
      <c r="E134" s="8">
        <f t="shared" si="119"/>
        <v>301.94932997000001</v>
      </c>
      <c r="F134" s="8">
        <v>59.439093289999988</v>
      </c>
      <c r="G134" s="8">
        <v>64.15836099000002</v>
      </c>
      <c r="H134" s="8">
        <v>133.13472877000001</v>
      </c>
      <c r="I134" s="8">
        <f t="shared" si="120"/>
        <v>256.73218305</v>
      </c>
      <c r="J134" s="8">
        <f t="shared" si="121"/>
        <v>558.68151302000001</v>
      </c>
      <c r="K134" s="8">
        <v>97.489170210000012</v>
      </c>
      <c r="L134" s="8">
        <v>85.054089959999999</v>
      </c>
      <c r="M134" s="8">
        <v>79.180146719999982</v>
      </c>
      <c r="N134" s="8">
        <f t="shared" si="122"/>
        <v>261.72340688999998</v>
      </c>
      <c r="O134" s="8">
        <v>85.541985740000001</v>
      </c>
      <c r="P134" s="8">
        <v>85.431498479999988</v>
      </c>
      <c r="Q134" s="8">
        <v>85.078999139999937</v>
      </c>
      <c r="R134" s="8">
        <f t="shared" si="123"/>
        <v>256.05248335999994</v>
      </c>
      <c r="S134" s="8">
        <f t="shared" si="124"/>
        <v>517.77589024999997</v>
      </c>
      <c r="T134" s="8">
        <f t="shared" si="125"/>
        <v>1076.45740327</v>
      </c>
      <c r="U134" s="8"/>
      <c r="V134" s="8"/>
    </row>
    <row r="135" spans="1:22" ht="15" customHeight="1" x14ac:dyDescent="0.3">
      <c r="A135" s="12" t="s">
        <v>134</v>
      </c>
      <c r="B135" s="8">
        <v>93.728782370000005</v>
      </c>
      <c r="C135" s="8">
        <v>59.231259449999989</v>
      </c>
      <c r="D135" s="8">
        <v>52.555676970000015</v>
      </c>
      <c r="E135" s="8">
        <f t="shared" si="119"/>
        <v>205.51571878999999</v>
      </c>
      <c r="F135" s="8">
        <v>64.716483289999985</v>
      </c>
      <c r="G135" s="8">
        <v>58.707588929999986</v>
      </c>
      <c r="H135" s="8">
        <v>73.864636119999986</v>
      </c>
      <c r="I135" s="8">
        <f t="shared" si="120"/>
        <v>197.28870833999997</v>
      </c>
      <c r="J135" s="8">
        <f t="shared" si="121"/>
        <v>402.80442712999997</v>
      </c>
      <c r="K135" s="8">
        <v>62.896268290000016</v>
      </c>
      <c r="L135" s="8">
        <v>60.694113239999979</v>
      </c>
      <c r="M135" s="8">
        <v>68.092903279999987</v>
      </c>
      <c r="N135" s="8">
        <f t="shared" si="122"/>
        <v>191.68328480999998</v>
      </c>
      <c r="O135" s="8">
        <v>69.377165510000026</v>
      </c>
      <c r="P135" s="8">
        <v>64.678205080000026</v>
      </c>
      <c r="Q135" s="8">
        <v>72.539145399999995</v>
      </c>
      <c r="R135" s="8">
        <f t="shared" si="123"/>
        <v>206.59451599000005</v>
      </c>
      <c r="S135" s="8">
        <f t="shared" si="124"/>
        <v>398.27780080000002</v>
      </c>
      <c r="T135" s="8">
        <f t="shared" si="125"/>
        <v>801.08222793000004</v>
      </c>
      <c r="U135" s="8"/>
      <c r="V135" s="8"/>
    </row>
    <row r="136" spans="1:22" s="10" customFormat="1" ht="15" customHeight="1" x14ac:dyDescent="0.3">
      <c r="A136" s="12"/>
      <c r="B136" s="11"/>
      <c r="C136" s="11"/>
      <c r="D136" s="11"/>
      <c r="E136" s="11"/>
      <c r="F136" s="11"/>
      <c r="G136" s="11"/>
      <c r="H136" s="11"/>
      <c r="I136" s="11"/>
      <c r="J136" s="11"/>
      <c r="K136" s="11"/>
      <c r="L136" s="11"/>
      <c r="M136" s="11"/>
      <c r="N136" s="11"/>
      <c r="O136" s="11"/>
      <c r="P136" s="11"/>
      <c r="Q136" s="11"/>
      <c r="R136" s="11"/>
      <c r="S136" s="11"/>
      <c r="T136" s="11"/>
      <c r="U136" s="11"/>
      <c r="V136" s="11"/>
    </row>
    <row r="137" spans="1:22" s="10" customFormat="1" ht="15" customHeight="1" x14ac:dyDescent="0.25">
      <c r="A137" s="14" t="s">
        <v>135</v>
      </c>
      <c r="B137" s="11">
        <f>SUM(B138:B143)</f>
        <v>254.56272277999997</v>
      </c>
      <c r="C137" s="11">
        <f t="shared" ref="C137:Q137" si="126">SUM(C138:C143)</f>
        <v>255.30440007000001</v>
      </c>
      <c r="D137" s="11">
        <f t="shared" si="126"/>
        <v>174.29682041999996</v>
      </c>
      <c r="E137" s="11">
        <f t="shared" ref="E137:E142" si="127">SUM(B137:D137)</f>
        <v>684.16394326999989</v>
      </c>
      <c r="F137" s="11">
        <f t="shared" si="126"/>
        <v>148.17973889000001</v>
      </c>
      <c r="G137" s="11">
        <f t="shared" si="126"/>
        <v>208.7920316</v>
      </c>
      <c r="H137" s="11">
        <f t="shared" si="126"/>
        <v>278.10218155000007</v>
      </c>
      <c r="I137" s="11">
        <f t="shared" ref="I137:I142" si="128">SUM(F137:H137)</f>
        <v>635.07395204000011</v>
      </c>
      <c r="J137" s="11">
        <f t="shared" ref="J137:J142" si="129">+E137+I137</f>
        <v>1319.2378953100001</v>
      </c>
      <c r="K137" s="11">
        <f t="shared" si="126"/>
        <v>243.65115983000001</v>
      </c>
      <c r="L137" s="11">
        <f t="shared" si="126"/>
        <v>185.41283971999999</v>
      </c>
      <c r="M137" s="11">
        <f t="shared" si="126"/>
        <v>177.52793917999995</v>
      </c>
      <c r="N137" s="11">
        <f t="shared" ref="N137:N142" si="130">SUM(K137:M137)</f>
        <v>606.59193872999992</v>
      </c>
      <c r="O137" s="11">
        <f t="shared" si="126"/>
        <v>181.2899065</v>
      </c>
      <c r="P137" s="11">
        <f t="shared" si="126"/>
        <v>224.67822867000004</v>
      </c>
      <c r="Q137" s="11">
        <f t="shared" si="126"/>
        <v>254.78480902999999</v>
      </c>
      <c r="R137" s="11">
        <f t="shared" ref="R137:R142" si="131">SUM(O137:Q137)</f>
        <v>660.7529442</v>
      </c>
      <c r="S137" s="11">
        <f t="shared" ref="S137:S142" si="132">+N137+R137</f>
        <v>1267.34488293</v>
      </c>
      <c r="T137" s="11">
        <f t="shared" ref="T137:T142" si="133">+J137+S137</f>
        <v>2586.5827782400002</v>
      </c>
      <c r="U137" s="11"/>
      <c r="V137" s="11"/>
    </row>
    <row r="138" spans="1:22" ht="15" customHeight="1" x14ac:dyDescent="0.3">
      <c r="A138" s="12" t="s">
        <v>136</v>
      </c>
      <c r="B138" s="8">
        <v>16.435219249999999</v>
      </c>
      <c r="C138" s="8">
        <v>10.93114851</v>
      </c>
      <c r="D138" s="8">
        <v>24.286114939999997</v>
      </c>
      <c r="E138" s="8">
        <f t="shared" si="127"/>
        <v>51.652482699999993</v>
      </c>
      <c r="F138" s="8">
        <v>9.3937520400000007</v>
      </c>
      <c r="G138" s="8">
        <v>8.3097764999999999</v>
      </c>
      <c r="H138" s="8">
        <v>16.668892090000003</v>
      </c>
      <c r="I138" s="8">
        <f t="shared" si="128"/>
        <v>34.372420630000008</v>
      </c>
      <c r="J138" s="8">
        <f t="shared" si="129"/>
        <v>86.024903330000001</v>
      </c>
      <c r="K138" s="8">
        <v>17.376331310000005</v>
      </c>
      <c r="L138" s="8">
        <v>12.304260940000001</v>
      </c>
      <c r="M138" s="8">
        <v>15.627980999999997</v>
      </c>
      <c r="N138" s="8">
        <f t="shared" si="130"/>
        <v>45.308573250000002</v>
      </c>
      <c r="O138" s="8">
        <v>21.859638520000001</v>
      </c>
      <c r="P138" s="8">
        <v>13.596273190000005</v>
      </c>
      <c r="Q138" s="8">
        <v>11.859318539999997</v>
      </c>
      <c r="R138" s="8">
        <f t="shared" si="131"/>
        <v>47.315230250000006</v>
      </c>
      <c r="S138" s="8">
        <f t="shared" si="132"/>
        <v>92.623803500000008</v>
      </c>
      <c r="T138" s="8">
        <f t="shared" si="133"/>
        <v>178.64870683000001</v>
      </c>
      <c r="U138" s="8"/>
      <c r="V138" s="8"/>
    </row>
    <row r="139" spans="1:22" ht="15" customHeight="1" x14ac:dyDescent="0.3">
      <c r="A139" s="12" t="s">
        <v>137</v>
      </c>
      <c r="B139" s="8">
        <v>37.177456349999993</v>
      </c>
      <c r="C139" s="8">
        <v>35.178326270000007</v>
      </c>
      <c r="D139" s="8">
        <v>38.832562750000001</v>
      </c>
      <c r="E139" s="8">
        <f t="shared" si="127"/>
        <v>111.18834537000001</v>
      </c>
      <c r="F139" s="8">
        <v>35.987064100000005</v>
      </c>
      <c r="G139" s="8">
        <v>27.83509922</v>
      </c>
      <c r="H139" s="8">
        <v>60.448452539999998</v>
      </c>
      <c r="I139" s="8">
        <f t="shared" si="128"/>
        <v>124.27061585999999</v>
      </c>
      <c r="J139" s="8">
        <f t="shared" si="129"/>
        <v>235.45896123</v>
      </c>
      <c r="K139" s="8">
        <v>33.315748409999998</v>
      </c>
      <c r="L139" s="8">
        <v>37.550329650000002</v>
      </c>
      <c r="M139" s="8">
        <v>29.787190539999997</v>
      </c>
      <c r="N139" s="8">
        <f t="shared" si="130"/>
        <v>100.6532686</v>
      </c>
      <c r="O139" s="8">
        <v>34.152153420000005</v>
      </c>
      <c r="P139" s="8">
        <v>36.174692559999997</v>
      </c>
      <c r="Q139" s="8">
        <v>53.581118960000005</v>
      </c>
      <c r="R139" s="8">
        <f t="shared" si="131"/>
        <v>123.90796494</v>
      </c>
      <c r="S139" s="8">
        <f t="shared" si="132"/>
        <v>224.56123353999999</v>
      </c>
      <c r="T139" s="8">
        <f t="shared" si="133"/>
        <v>460.02019476999999</v>
      </c>
      <c r="U139" s="8"/>
      <c r="V139" s="8"/>
    </row>
    <row r="140" spans="1:22" ht="15" customHeight="1" x14ac:dyDescent="0.3">
      <c r="A140" s="12" t="s">
        <v>138</v>
      </c>
      <c r="B140" s="8">
        <v>172.38078138</v>
      </c>
      <c r="C140" s="8">
        <v>174.45810149000002</v>
      </c>
      <c r="D140" s="8">
        <v>77.926066069999962</v>
      </c>
      <c r="E140" s="8">
        <f t="shared" si="127"/>
        <v>424.76494893999995</v>
      </c>
      <c r="F140" s="8">
        <v>85.765111760000011</v>
      </c>
      <c r="G140" s="8">
        <v>152.90054122999999</v>
      </c>
      <c r="H140" s="8">
        <v>130.58969151000005</v>
      </c>
      <c r="I140" s="8">
        <f t="shared" si="128"/>
        <v>369.25534450000009</v>
      </c>
      <c r="J140" s="8">
        <f t="shared" si="129"/>
        <v>794.02029344000005</v>
      </c>
      <c r="K140" s="8">
        <v>157.28132550999999</v>
      </c>
      <c r="L140" s="8">
        <v>111.19908545</v>
      </c>
      <c r="M140" s="8">
        <v>100.00309174999997</v>
      </c>
      <c r="N140" s="8">
        <f t="shared" si="130"/>
        <v>368.48350270999993</v>
      </c>
      <c r="O140" s="8">
        <v>102.50170347</v>
      </c>
      <c r="P140" s="8">
        <v>144.53217533000003</v>
      </c>
      <c r="Q140" s="8">
        <v>137.05553644999998</v>
      </c>
      <c r="R140" s="8">
        <f t="shared" si="131"/>
        <v>384.08941525</v>
      </c>
      <c r="S140" s="8">
        <f t="shared" si="132"/>
        <v>752.57291795999993</v>
      </c>
      <c r="T140" s="8">
        <f t="shared" si="133"/>
        <v>1546.5932114</v>
      </c>
      <c r="U140" s="8"/>
      <c r="V140" s="8"/>
    </row>
    <row r="141" spans="1:22" ht="15" customHeight="1" x14ac:dyDescent="0.3">
      <c r="A141" s="12" t="s">
        <v>139</v>
      </c>
      <c r="B141" s="8">
        <v>14.189555179999999</v>
      </c>
      <c r="C141" s="8">
        <v>14.568734190000001</v>
      </c>
      <c r="D141" s="8">
        <v>17.121739219999998</v>
      </c>
      <c r="E141" s="8">
        <f t="shared" si="127"/>
        <v>45.880028589999995</v>
      </c>
      <c r="F141" s="8">
        <v>6.8030801399999996</v>
      </c>
      <c r="G141" s="8">
        <v>7.8038671700000002</v>
      </c>
      <c r="H141" s="8">
        <v>17.251579469999999</v>
      </c>
      <c r="I141" s="8">
        <f t="shared" si="128"/>
        <v>31.858526779999998</v>
      </c>
      <c r="J141" s="8">
        <f t="shared" si="129"/>
        <v>77.73855537</v>
      </c>
      <c r="K141" s="8">
        <v>12.83228489</v>
      </c>
      <c r="L141" s="8">
        <v>7.7839364500000015</v>
      </c>
      <c r="M141" s="8">
        <v>8.630772689999997</v>
      </c>
      <c r="N141" s="8">
        <f t="shared" si="130"/>
        <v>29.24699403</v>
      </c>
      <c r="O141" s="8">
        <v>7.9713143000000022</v>
      </c>
      <c r="P141" s="8">
        <v>12.255290850000002</v>
      </c>
      <c r="Q141" s="8">
        <v>24.098764839999998</v>
      </c>
      <c r="R141" s="8">
        <f t="shared" si="131"/>
        <v>44.325369989999999</v>
      </c>
      <c r="S141" s="8">
        <f t="shared" si="132"/>
        <v>73.572364019999995</v>
      </c>
      <c r="T141" s="8">
        <f t="shared" si="133"/>
        <v>151.31091938999998</v>
      </c>
      <c r="U141" s="8"/>
      <c r="V141" s="8"/>
    </row>
    <row r="142" spans="1:22" ht="15" customHeight="1" x14ac:dyDescent="0.3">
      <c r="A142" s="12" t="s">
        <v>140</v>
      </c>
      <c r="B142" s="8">
        <v>14.379710619999999</v>
      </c>
      <c r="C142" s="8">
        <v>20.168089609999999</v>
      </c>
      <c r="D142" s="8">
        <v>16.130337440000002</v>
      </c>
      <c r="E142" s="8">
        <f t="shared" si="127"/>
        <v>50.678137669999998</v>
      </c>
      <c r="F142" s="8">
        <v>10.23073085</v>
      </c>
      <c r="G142" s="8">
        <v>11.942747479999998</v>
      </c>
      <c r="H142" s="8">
        <v>53.143565939999995</v>
      </c>
      <c r="I142" s="8">
        <f t="shared" si="128"/>
        <v>75.317044269999997</v>
      </c>
      <c r="J142" s="8">
        <f t="shared" si="129"/>
        <v>125.99518193999999</v>
      </c>
      <c r="K142" s="8">
        <v>22.84546971</v>
      </c>
      <c r="L142" s="8">
        <v>16.575227229999999</v>
      </c>
      <c r="M142" s="8">
        <v>23.478903199999998</v>
      </c>
      <c r="N142" s="8">
        <f t="shared" si="130"/>
        <v>62.899600139999997</v>
      </c>
      <c r="O142" s="8">
        <v>14.805096790000002</v>
      </c>
      <c r="P142" s="8">
        <v>18.119796740000002</v>
      </c>
      <c r="Q142" s="8">
        <v>28.190070240000001</v>
      </c>
      <c r="R142" s="8">
        <f t="shared" si="131"/>
        <v>61.114963770000003</v>
      </c>
      <c r="S142" s="8">
        <f t="shared" si="132"/>
        <v>124.01456390999999</v>
      </c>
      <c r="T142" s="8">
        <f t="shared" si="133"/>
        <v>250.00974585</v>
      </c>
      <c r="U142" s="8"/>
      <c r="V142" s="8"/>
    </row>
    <row r="143" spans="1:22" ht="18" customHeight="1" x14ac:dyDescent="0.3">
      <c r="A143" s="12" t="s">
        <v>141</v>
      </c>
      <c r="B143" s="8"/>
      <c r="C143" s="8"/>
      <c r="D143" s="8"/>
      <c r="E143" s="8"/>
      <c r="F143" s="8"/>
      <c r="G143" s="8"/>
      <c r="H143" s="8"/>
      <c r="I143" s="8"/>
      <c r="J143" s="8"/>
      <c r="K143" s="8"/>
      <c r="L143" s="8"/>
      <c r="M143" s="8"/>
      <c r="N143" s="8"/>
      <c r="O143" s="8"/>
      <c r="P143" s="8"/>
      <c r="Q143" s="8"/>
      <c r="R143" s="8"/>
      <c r="S143" s="8"/>
      <c r="T143" s="8"/>
      <c r="U143" s="8"/>
      <c r="V143" s="8"/>
    </row>
    <row r="144" spans="1:22" ht="15" customHeight="1" x14ac:dyDescent="0.3">
      <c r="B144" s="8"/>
      <c r="C144" s="8"/>
      <c r="D144" s="8"/>
      <c r="E144" s="8"/>
      <c r="F144" s="8"/>
      <c r="G144" s="8"/>
      <c r="H144" s="8"/>
      <c r="I144" s="8"/>
      <c r="J144" s="8"/>
      <c r="K144" s="8"/>
      <c r="L144" s="8"/>
      <c r="M144" s="8"/>
      <c r="N144" s="8"/>
      <c r="O144" s="8"/>
      <c r="P144" s="8"/>
      <c r="Q144" s="8"/>
      <c r="R144" s="8"/>
      <c r="S144" s="8"/>
      <c r="T144" s="8"/>
      <c r="U144" s="8"/>
      <c r="V144" s="8"/>
    </row>
    <row r="145" spans="1:36" s="10" customFormat="1" ht="15" customHeight="1" x14ac:dyDescent="0.25">
      <c r="A145" s="10" t="s">
        <v>142</v>
      </c>
      <c r="B145" s="11">
        <f>+B7+B25+B33+B39+B45+B56+B64+B71+B79+B86+B90+B96+B104+B111+B118+B125+B131+B137</f>
        <v>189458.47654717008</v>
      </c>
      <c r="C145" s="11">
        <f t="shared" ref="C145:Q145" si="134">+C7+C25+C33+C39+C45+C56+C64+C71+C79+C86+C90+C96+C104+C111+C118+C125+C131+C137</f>
        <v>138207.986246824</v>
      </c>
      <c r="D145" s="11">
        <f t="shared" si="134"/>
        <v>126746.67389378999</v>
      </c>
      <c r="E145" s="11">
        <f>SUM(B145:D145)</f>
        <v>454413.13668778411</v>
      </c>
      <c r="F145" s="11">
        <f t="shared" si="134"/>
        <v>87744.063015607011</v>
      </c>
      <c r="G145" s="11">
        <f t="shared" si="134"/>
        <v>109226.13310302002</v>
      </c>
      <c r="H145" s="11">
        <f t="shared" si="134"/>
        <v>279253.04512304795</v>
      </c>
      <c r="I145" s="11">
        <f>SUM(F145:H145)</f>
        <v>476223.24124167499</v>
      </c>
      <c r="J145" s="11">
        <f t="shared" ref="J145" si="135">+E145+I145</f>
        <v>930636.37792945909</v>
      </c>
      <c r="K145" s="11">
        <f t="shared" si="134"/>
        <v>151858.59858982998</v>
      </c>
      <c r="L145" s="11">
        <f t="shared" si="134"/>
        <v>179974.11826521001</v>
      </c>
      <c r="M145" s="11">
        <f t="shared" si="134"/>
        <v>136797.36692407998</v>
      </c>
      <c r="N145" s="11">
        <f>SUM(K145:M145)</f>
        <v>468630.08377912</v>
      </c>
      <c r="O145" s="11">
        <f t="shared" si="134"/>
        <v>149865.87457128003</v>
      </c>
      <c r="P145" s="11">
        <f t="shared" si="134"/>
        <v>188405.49872807</v>
      </c>
      <c r="Q145" s="11">
        <f t="shared" si="134"/>
        <v>156393.351598946</v>
      </c>
      <c r="R145" s="11">
        <f>SUM(O145:Q145)</f>
        <v>494664.72489829606</v>
      </c>
      <c r="S145" s="11">
        <f t="shared" ref="S145" si="136">+N145+R145</f>
        <v>963294.80867741606</v>
      </c>
      <c r="T145" s="11">
        <f>+J145+S145</f>
        <v>1893931.1866068752</v>
      </c>
      <c r="U145" s="11"/>
      <c r="V145" s="11"/>
    </row>
    <row r="146" spans="1:36" ht="15" customHeight="1" x14ac:dyDescent="0.3">
      <c r="B146" s="8"/>
      <c r="C146" s="8"/>
      <c r="D146" s="8"/>
      <c r="E146" s="8"/>
      <c r="F146" s="8"/>
      <c r="G146" s="8"/>
      <c r="H146" s="8"/>
      <c r="I146" s="8"/>
      <c r="J146" s="8"/>
      <c r="K146" s="8"/>
      <c r="L146" s="8"/>
      <c r="M146" s="8"/>
      <c r="N146" s="8"/>
      <c r="O146" s="8"/>
      <c r="P146" s="8"/>
      <c r="Q146" s="8"/>
      <c r="R146" s="8"/>
      <c r="S146" s="8"/>
      <c r="T146" s="8"/>
      <c r="U146" s="8"/>
      <c r="V146" s="8"/>
    </row>
    <row r="147" spans="1:36" s="10" customFormat="1" ht="15" customHeight="1" x14ac:dyDescent="0.25">
      <c r="A147" s="10" t="s">
        <v>143</v>
      </c>
      <c r="B147" s="11">
        <v>5395.6985406700005</v>
      </c>
      <c r="C147" s="11">
        <v>4001.3668012100006</v>
      </c>
      <c r="D147" s="11">
        <v>5047.9942779599996</v>
      </c>
      <c r="E147" s="11">
        <f>SUM(B147:D147)</f>
        <v>14445.059619840002</v>
      </c>
      <c r="F147" s="11">
        <v>2773.7537896499998</v>
      </c>
      <c r="G147" s="11">
        <v>5178.9126628999993</v>
      </c>
      <c r="H147" s="11">
        <v>3663.2865104899997</v>
      </c>
      <c r="I147" s="11">
        <f>SUM(F147:H147)</f>
        <v>11615.952963039999</v>
      </c>
      <c r="J147" s="11">
        <f t="shared" ref="J147" si="137">+E147+I147</f>
        <v>26061.012582880001</v>
      </c>
      <c r="K147" s="11">
        <v>8522.6600908300006</v>
      </c>
      <c r="L147" s="11">
        <v>7056.3589246299989</v>
      </c>
      <c r="M147" s="11">
        <v>4362.8617905900001</v>
      </c>
      <c r="N147" s="11">
        <f>SUM(K147:M147)</f>
        <v>19941.880806049998</v>
      </c>
      <c r="O147" s="11">
        <v>2527.3360556100001</v>
      </c>
      <c r="P147" s="11">
        <v>4533.5691670900005</v>
      </c>
      <c r="Q147" s="11">
        <v>9007.1385539300009</v>
      </c>
      <c r="R147" s="11">
        <f>SUM(O147:Q147)</f>
        <v>16068.043776630002</v>
      </c>
      <c r="S147" s="11">
        <f t="shared" ref="S147" si="138">+N147+R147</f>
        <v>36009.924582680003</v>
      </c>
      <c r="T147" s="11">
        <f>+J147+S147</f>
        <v>62070.937165560004</v>
      </c>
      <c r="U147" s="11"/>
      <c r="V147" s="11"/>
      <c r="W147" s="15"/>
      <c r="X147" s="15"/>
      <c r="Y147" s="15"/>
      <c r="Z147" s="15"/>
      <c r="AA147" s="15"/>
      <c r="AB147" s="15"/>
      <c r="AC147" s="15"/>
      <c r="AD147" s="15"/>
      <c r="AE147" s="15"/>
      <c r="AF147" s="15"/>
      <c r="AG147" s="15"/>
      <c r="AH147" s="15"/>
      <c r="AI147" s="15"/>
      <c r="AJ147" s="15"/>
    </row>
    <row r="148" spans="1:36" s="10" customFormat="1" ht="15" customHeight="1" x14ac:dyDescent="0.2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spans="1:36" s="10" customFormat="1" ht="15" customHeight="1" x14ac:dyDescent="0.25">
      <c r="A149" s="10" t="s">
        <v>144</v>
      </c>
      <c r="B149" s="15">
        <v>13.687200980000004</v>
      </c>
      <c r="C149" s="15">
        <v>12.65852109000002</v>
      </c>
      <c r="D149" s="15">
        <v>0.5805809399999925</v>
      </c>
      <c r="E149" s="15">
        <f>SUM(B149:D149)</f>
        <v>26.926303010000016</v>
      </c>
      <c r="F149" s="15">
        <v>0.85654368000001269</v>
      </c>
      <c r="G149" s="15">
        <v>2.1226706100000001</v>
      </c>
      <c r="H149" s="15">
        <v>31.749457459999999</v>
      </c>
      <c r="I149" s="15">
        <f>SUM(F149:H149)</f>
        <v>34.728671750000011</v>
      </c>
      <c r="J149" s="15">
        <f t="shared" ref="J149" si="139">+E149+I149</f>
        <v>61.65497476000003</v>
      </c>
      <c r="K149" s="15">
        <v>76.141128720000012</v>
      </c>
      <c r="L149" s="15">
        <v>5.3670754999999941</v>
      </c>
      <c r="M149" s="15">
        <v>34.428704079999989</v>
      </c>
      <c r="N149" s="15">
        <f>SUM(K149:M149)</f>
        <v>115.9369083</v>
      </c>
      <c r="O149" s="15">
        <v>43.259014420000014</v>
      </c>
      <c r="P149" s="15">
        <v>38.690657730000005</v>
      </c>
      <c r="Q149" s="15">
        <v>22.083072140000002</v>
      </c>
      <c r="R149" s="15">
        <f>SUM(O149:Q149)</f>
        <v>104.03274429000002</v>
      </c>
      <c r="S149" s="15">
        <f t="shared" ref="S149" si="140">+N149+R149</f>
        <v>219.96965259000001</v>
      </c>
      <c r="T149" s="15">
        <f>+J149+S149</f>
        <v>281.62462735000003</v>
      </c>
      <c r="U149" s="15"/>
      <c r="V149" s="15"/>
      <c r="W149" s="15"/>
      <c r="X149" s="15"/>
      <c r="Y149" s="15"/>
      <c r="Z149" s="15"/>
      <c r="AA149" s="15"/>
      <c r="AB149" s="15"/>
      <c r="AC149" s="15"/>
      <c r="AD149" s="15"/>
      <c r="AE149" s="15"/>
      <c r="AF149" s="15"/>
      <c r="AG149" s="15"/>
      <c r="AH149" s="15"/>
      <c r="AI149" s="15"/>
      <c r="AJ149" s="15"/>
    </row>
    <row r="150" spans="1:36" s="10" customFormat="1" ht="15" customHeight="1" x14ac:dyDescent="0.2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spans="1:36" s="10" customFormat="1" ht="15" customHeight="1" x14ac:dyDescent="0.25">
      <c r="A151" s="10" t="s">
        <v>145</v>
      </c>
      <c r="B151" s="15">
        <f>+B145+B147+B149</f>
        <v>194867.86228882009</v>
      </c>
      <c r="C151" s="15">
        <f t="shared" ref="C151:Q151" si="141">+C145+C147+C149</f>
        <v>142222.01156912401</v>
      </c>
      <c r="D151" s="15">
        <f t="shared" si="141"/>
        <v>131795.24875269001</v>
      </c>
      <c r="E151" s="15">
        <f>SUM(B151:D151)</f>
        <v>468885.12261063408</v>
      </c>
      <c r="F151" s="15">
        <f t="shared" si="141"/>
        <v>90518.673348937009</v>
      </c>
      <c r="G151" s="15">
        <f t="shared" si="141"/>
        <v>114407.16843653002</v>
      </c>
      <c r="H151" s="15">
        <f t="shared" si="141"/>
        <v>282948.08109099796</v>
      </c>
      <c r="I151" s="15">
        <f>SUM(F151:H151)</f>
        <v>487873.92287646502</v>
      </c>
      <c r="J151" s="15">
        <f t="shared" ref="J151" si="142">+E151+I151</f>
        <v>956759.04548709909</v>
      </c>
      <c r="K151" s="15">
        <f t="shared" si="141"/>
        <v>160457.39980937997</v>
      </c>
      <c r="L151" s="15">
        <f t="shared" si="141"/>
        <v>187035.84426534001</v>
      </c>
      <c r="M151" s="15">
        <f t="shared" si="141"/>
        <v>141194.65741874996</v>
      </c>
      <c r="N151" s="15">
        <f>SUM(K151:M151)</f>
        <v>488687.90149346995</v>
      </c>
      <c r="O151" s="15">
        <f t="shared" si="141"/>
        <v>152436.46964131005</v>
      </c>
      <c r="P151" s="15">
        <f t="shared" si="141"/>
        <v>192977.75855289001</v>
      </c>
      <c r="Q151" s="15">
        <f t="shared" si="141"/>
        <v>165422.57322501601</v>
      </c>
      <c r="R151" s="15">
        <f>SUM(O151:Q151)</f>
        <v>510836.80141921609</v>
      </c>
      <c r="S151" s="15">
        <f t="shared" ref="S151" si="143">+N151+R151</f>
        <v>999524.70291268604</v>
      </c>
      <c r="T151" s="15">
        <f>+J151+S151</f>
        <v>1956283.7483997853</v>
      </c>
      <c r="U151" s="15"/>
      <c r="V151" s="15"/>
      <c r="W151" s="15"/>
      <c r="X151" s="15"/>
      <c r="Y151" s="15"/>
      <c r="Z151" s="15"/>
      <c r="AA151" s="15"/>
      <c r="AB151" s="15"/>
      <c r="AC151" s="15"/>
      <c r="AD151" s="15"/>
      <c r="AE151" s="15"/>
      <c r="AF151" s="15"/>
      <c r="AG151" s="15"/>
      <c r="AH151" s="15"/>
      <c r="AI151" s="15"/>
      <c r="AJ151" s="15"/>
    </row>
    <row r="152" spans="1:36" s="10" customFormat="1" ht="15" customHeight="1" x14ac:dyDescent="0.2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spans="1:36" s="10" customFormat="1" ht="15" customHeight="1" x14ac:dyDescent="0.25">
      <c r="A153" s="10" t="s">
        <v>146</v>
      </c>
      <c r="B153" s="15">
        <v>0</v>
      </c>
      <c r="C153" s="15">
        <v>0</v>
      </c>
      <c r="D153" s="15">
        <v>0</v>
      </c>
      <c r="E153" s="15">
        <f>SUM(B153:D153)</f>
        <v>0</v>
      </c>
      <c r="F153" s="15">
        <v>0</v>
      </c>
      <c r="G153" s="15">
        <v>0</v>
      </c>
      <c r="H153" s="15">
        <v>-197.49135988999998</v>
      </c>
      <c r="I153" s="15">
        <f>SUM(F153:H153)</f>
        <v>-197.49135988999998</v>
      </c>
      <c r="J153" s="15">
        <f t="shared" ref="J153" si="144">+E153+I153</f>
        <v>-197.49135988999998</v>
      </c>
      <c r="K153" s="15">
        <v>-1576.7958230699999</v>
      </c>
      <c r="L153" s="15">
        <v>-233.56829066999998</v>
      </c>
      <c r="M153" s="15">
        <v>-556.14708727999994</v>
      </c>
      <c r="N153" s="15">
        <f>SUM(K153:M153)</f>
        <v>-2366.5112010199996</v>
      </c>
      <c r="O153" s="15">
        <v>-432.6013815</v>
      </c>
      <c r="P153" s="15">
        <v>-1340.5853608599998</v>
      </c>
      <c r="Q153" s="15">
        <v>-923.22178047</v>
      </c>
      <c r="R153" s="15">
        <f>SUM(O153:Q153)</f>
        <v>-2696.4085228299996</v>
      </c>
      <c r="S153" s="15">
        <f t="shared" ref="S153" si="145">+N153+R153</f>
        <v>-5062.9197238499992</v>
      </c>
      <c r="T153" s="15">
        <f>+J153+S153</f>
        <v>-5260.4110837399994</v>
      </c>
      <c r="U153" s="15"/>
      <c r="V153" s="15"/>
      <c r="W153" s="15"/>
      <c r="X153" s="15"/>
      <c r="Y153" s="15"/>
      <c r="Z153" s="15"/>
      <c r="AA153" s="15"/>
      <c r="AB153" s="15"/>
      <c r="AC153" s="15"/>
      <c r="AD153" s="15"/>
      <c r="AE153" s="15"/>
      <c r="AF153" s="15"/>
      <c r="AG153" s="15"/>
      <c r="AH153" s="15"/>
      <c r="AI153" s="15"/>
      <c r="AJ153" s="15"/>
    </row>
    <row r="154" spans="1:36" s="10" customFormat="1" ht="15" customHeight="1" x14ac:dyDescent="0.2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spans="1:36" s="10" customFormat="1" ht="15" customHeight="1" x14ac:dyDescent="0.25">
      <c r="A155" s="10" t="s">
        <v>147</v>
      </c>
      <c r="B155" s="15">
        <f>+B151+B153</f>
        <v>194867.86228882009</v>
      </c>
      <c r="C155" s="15">
        <f t="shared" ref="C155:Q155" si="146">+C151+C153</f>
        <v>142222.01156912401</v>
      </c>
      <c r="D155" s="15">
        <f t="shared" si="146"/>
        <v>131795.24875269001</v>
      </c>
      <c r="E155" s="15">
        <f>SUM(B155:D155)</f>
        <v>468885.12261063408</v>
      </c>
      <c r="F155" s="15">
        <f t="shared" si="146"/>
        <v>90518.673348937009</v>
      </c>
      <c r="G155" s="15">
        <f t="shared" si="146"/>
        <v>114407.16843653002</v>
      </c>
      <c r="H155" s="15">
        <f t="shared" si="146"/>
        <v>282750.58973110799</v>
      </c>
      <c r="I155" s="15">
        <f>SUM(F155:H155)</f>
        <v>487676.43151657504</v>
      </c>
      <c r="J155" s="15">
        <f t="shared" ref="J155" si="147">+E155+I155</f>
        <v>956561.55412720912</v>
      </c>
      <c r="K155" s="15">
        <f t="shared" si="146"/>
        <v>158880.60398630999</v>
      </c>
      <c r="L155" s="15">
        <f t="shared" si="146"/>
        <v>186802.27597467002</v>
      </c>
      <c r="M155" s="15">
        <f t="shared" si="146"/>
        <v>140638.51033146997</v>
      </c>
      <c r="N155" s="15">
        <f>SUM(K155:M155)</f>
        <v>486321.39029244997</v>
      </c>
      <c r="O155" s="15">
        <f t="shared" si="146"/>
        <v>152003.86825981006</v>
      </c>
      <c r="P155" s="15">
        <f t="shared" si="146"/>
        <v>191637.17319203002</v>
      </c>
      <c r="Q155" s="15">
        <f t="shared" si="146"/>
        <v>164499.35144454602</v>
      </c>
      <c r="R155" s="15">
        <f>SUM(O155:Q155)</f>
        <v>508140.3928963861</v>
      </c>
      <c r="S155" s="15">
        <f t="shared" ref="S155" si="148">+N155+R155</f>
        <v>994461.78318883607</v>
      </c>
      <c r="T155" s="15">
        <f>+J155+S155</f>
        <v>1951023.3373160451</v>
      </c>
      <c r="U155" s="15"/>
      <c r="V155" s="15"/>
      <c r="W155" s="15"/>
      <c r="X155" s="15"/>
      <c r="Y155" s="15"/>
      <c r="Z155" s="15"/>
      <c r="AA155" s="15"/>
      <c r="AB155" s="15"/>
      <c r="AC155" s="15"/>
      <c r="AD155" s="15"/>
      <c r="AE155" s="15"/>
      <c r="AF155" s="15"/>
      <c r="AG155" s="15"/>
      <c r="AH155" s="15"/>
      <c r="AI155" s="15"/>
      <c r="AJ155" s="15"/>
    </row>
    <row r="156" spans="1:36" s="10" customFormat="1" ht="15" customHeight="1" thickBot="1" x14ac:dyDescent="0.3">
      <c r="A156" s="16"/>
      <c r="B156" s="17"/>
      <c r="C156" s="17"/>
      <c r="D156" s="17"/>
      <c r="E156" s="17"/>
      <c r="F156" s="17"/>
      <c r="G156" s="17"/>
      <c r="H156" s="17"/>
      <c r="I156" s="17"/>
      <c r="J156" s="17"/>
      <c r="K156" s="17"/>
      <c r="L156" s="17"/>
      <c r="M156" s="17"/>
      <c r="N156" s="17"/>
      <c r="O156" s="17"/>
      <c r="P156" s="17"/>
      <c r="Q156" s="17"/>
      <c r="R156" s="17"/>
      <c r="S156" s="17"/>
      <c r="T156" s="17"/>
      <c r="U156" s="15"/>
      <c r="V156" s="15"/>
      <c r="W156" s="15"/>
      <c r="X156" s="15"/>
      <c r="Y156" s="15"/>
      <c r="Z156" s="15"/>
      <c r="AA156" s="15"/>
      <c r="AB156" s="15"/>
      <c r="AC156" s="15"/>
      <c r="AD156" s="15"/>
      <c r="AE156" s="15"/>
      <c r="AF156" s="15"/>
      <c r="AG156" s="15"/>
      <c r="AH156" s="15"/>
      <c r="AI156" s="15"/>
      <c r="AJ156" s="15"/>
    </row>
    <row r="157" spans="1:36" s="10" customFormat="1" ht="15" customHeight="1" thickTop="1" x14ac:dyDescent="0.25">
      <c r="A157" s="18" t="s">
        <v>148</v>
      </c>
      <c r="B157" s="19"/>
      <c r="C157" s="19"/>
      <c r="D157" s="19"/>
      <c r="E157" s="19"/>
      <c r="F157" s="19"/>
      <c r="G157" s="19"/>
      <c r="H157" s="19"/>
      <c r="I157" s="19"/>
      <c r="J157" s="19"/>
      <c r="K157" s="19"/>
      <c r="L157" s="19"/>
      <c r="M157" s="19"/>
      <c r="N157" s="19"/>
      <c r="O157" s="19"/>
      <c r="P157" s="19"/>
      <c r="Q157" s="19"/>
      <c r="R157" s="19"/>
      <c r="S157" s="19"/>
      <c r="T157" s="19"/>
      <c r="U157" s="15"/>
      <c r="V157" s="15"/>
      <c r="W157" s="15"/>
      <c r="X157" s="15"/>
      <c r="Y157" s="15"/>
      <c r="Z157" s="15"/>
      <c r="AA157" s="15"/>
      <c r="AB157" s="15"/>
      <c r="AC157" s="15"/>
      <c r="AD157" s="15"/>
      <c r="AE157" s="15"/>
      <c r="AF157" s="15"/>
      <c r="AG157" s="15"/>
      <c r="AH157" s="15"/>
      <c r="AI157" s="15"/>
      <c r="AJ157" s="15"/>
    </row>
    <row r="158" spans="1:36" s="10" customFormat="1" ht="15" customHeight="1" x14ac:dyDescent="0.25">
      <c r="A158" s="18"/>
      <c r="B158" s="19"/>
      <c r="C158" s="19"/>
      <c r="D158" s="19"/>
      <c r="E158" s="19"/>
      <c r="F158" s="19"/>
      <c r="G158" s="19"/>
      <c r="H158" s="19"/>
      <c r="I158" s="19"/>
      <c r="J158" s="19"/>
      <c r="K158" s="19"/>
      <c r="L158" s="19"/>
      <c r="M158" s="19"/>
      <c r="N158" s="19"/>
      <c r="O158" s="19"/>
      <c r="P158" s="19"/>
      <c r="Q158" s="19"/>
      <c r="R158" s="19"/>
      <c r="S158" s="19"/>
      <c r="T158" s="19"/>
      <c r="U158" s="15"/>
      <c r="V158" s="15"/>
      <c r="W158" s="15"/>
      <c r="X158" s="15"/>
      <c r="Y158" s="15"/>
      <c r="Z158" s="15"/>
      <c r="AA158" s="15"/>
      <c r="AB158" s="15"/>
      <c r="AC158" s="15"/>
      <c r="AD158" s="15"/>
      <c r="AE158" s="15"/>
      <c r="AF158" s="15"/>
      <c r="AG158" s="15"/>
      <c r="AH158" s="15"/>
      <c r="AI158" s="15"/>
      <c r="AJ158" s="15"/>
    </row>
    <row r="159" spans="1:36" s="10" customFormat="1" ht="15" customHeight="1" x14ac:dyDescent="0.3">
      <c r="A159" s="20" t="s">
        <v>149</v>
      </c>
      <c r="B159" s="21"/>
      <c r="C159" s="21"/>
      <c r="D159" s="21"/>
      <c r="E159" s="21"/>
      <c r="F159" s="21"/>
      <c r="G159" s="21"/>
      <c r="H159" s="21"/>
      <c r="I159" s="21"/>
      <c r="J159" s="21"/>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spans="1:36" s="10" customFormat="1" ht="15" customHeight="1" x14ac:dyDescent="0.3">
      <c r="A160" s="20" t="s">
        <v>175</v>
      </c>
      <c r="B160" s="22"/>
      <c r="C160" s="22"/>
      <c r="D160" s="22"/>
      <c r="E160" s="22"/>
      <c r="F160" s="22"/>
      <c r="G160" s="22"/>
      <c r="H160" s="22"/>
      <c r="I160" s="22"/>
      <c r="J160" s="22"/>
    </row>
    <row r="161" spans="1:10" ht="15" customHeight="1" x14ac:dyDescent="0.3">
      <c r="A161" s="23" t="s">
        <v>150</v>
      </c>
      <c r="B161" s="24"/>
      <c r="C161" s="24"/>
      <c r="D161" s="24"/>
      <c r="E161" s="24"/>
      <c r="F161" s="24"/>
      <c r="G161" s="24"/>
      <c r="H161" s="24"/>
      <c r="I161" s="24"/>
      <c r="J161" s="24"/>
    </row>
    <row r="162" spans="1:10" s="24" customFormat="1" ht="17.100000000000001" customHeight="1" x14ac:dyDescent="0.3">
      <c r="A162" s="25" t="s">
        <v>151</v>
      </c>
    </row>
    <row r="163" spans="1:10" s="24" customFormat="1" ht="17.100000000000001" customHeight="1" x14ac:dyDescent="0.3">
      <c r="A163" s="25" t="s">
        <v>152</v>
      </c>
    </row>
    <row r="164" spans="1:10" s="24" customFormat="1" ht="17.100000000000001" customHeight="1" x14ac:dyDescent="0.3">
      <c r="A164" s="25" t="s">
        <v>153</v>
      </c>
    </row>
    <row r="165" spans="1:10" s="24" customFormat="1" ht="17.100000000000001" customHeight="1" x14ac:dyDescent="0.3">
      <c r="A165" s="25" t="s">
        <v>154</v>
      </c>
    </row>
    <row r="166" spans="1:10" s="24" customFormat="1" ht="17.100000000000001" customHeight="1" x14ac:dyDescent="0.3">
      <c r="A166" s="25" t="s">
        <v>155</v>
      </c>
    </row>
    <row r="167" spans="1:10" s="24" customFormat="1" ht="15.95" customHeight="1" x14ac:dyDescent="0.3">
      <c r="A167" s="55" t="s">
        <v>156</v>
      </c>
      <c r="B167" s="55"/>
      <c r="C167" s="55"/>
      <c r="D167" s="55"/>
      <c r="E167" s="55"/>
      <c r="F167" s="55"/>
      <c r="G167" s="55"/>
      <c r="H167" s="55"/>
      <c r="I167" s="55"/>
      <c r="J167" s="55"/>
    </row>
    <row r="168" spans="1:10" s="24" customFormat="1" ht="15.95" customHeight="1" x14ac:dyDescent="0.3">
      <c r="A168" s="55"/>
      <c r="B168" s="55"/>
      <c r="C168" s="55"/>
      <c r="D168" s="55"/>
      <c r="E168" s="55"/>
      <c r="F168" s="55"/>
      <c r="G168" s="55"/>
      <c r="H168" s="55"/>
      <c r="I168" s="55"/>
      <c r="J168" s="55"/>
    </row>
    <row r="169" spans="1:10" s="24" customFormat="1" ht="17.100000000000001" customHeight="1" x14ac:dyDescent="0.3">
      <c r="A169" s="25" t="s">
        <v>157</v>
      </c>
    </row>
    <row r="170" spans="1:10" s="24" customFormat="1" ht="17.100000000000001" customHeight="1" x14ac:dyDescent="0.3">
      <c r="A170" s="25" t="s">
        <v>158</v>
      </c>
    </row>
    <row r="171" spans="1:10" s="24" customFormat="1" ht="15.95" customHeight="1" x14ac:dyDescent="0.3">
      <c r="A171" s="55" t="s">
        <v>159</v>
      </c>
      <c r="B171" s="55"/>
      <c r="C171" s="55"/>
      <c r="D171" s="55"/>
      <c r="E171" s="55"/>
      <c r="F171" s="55"/>
      <c r="G171" s="55"/>
      <c r="H171" s="55"/>
      <c r="I171" s="55"/>
      <c r="J171" s="55"/>
    </row>
    <row r="172" spans="1:10" s="24" customFormat="1" ht="15.95" customHeight="1" x14ac:dyDescent="0.3">
      <c r="A172" s="55"/>
      <c r="B172" s="55"/>
      <c r="C172" s="55"/>
      <c r="D172" s="55"/>
      <c r="E172" s="55"/>
      <c r="F172" s="55"/>
      <c r="G172" s="55"/>
      <c r="H172" s="55"/>
      <c r="I172" s="55"/>
      <c r="J172" s="55"/>
    </row>
    <row r="173" spans="1:10" s="24" customFormat="1" ht="17.100000000000001" customHeight="1" x14ac:dyDescent="0.3">
      <c r="A173" s="25" t="s">
        <v>160</v>
      </c>
    </row>
    <row r="174" spans="1:10" s="24" customFormat="1" ht="17.100000000000001" customHeight="1" x14ac:dyDescent="0.3">
      <c r="A174" s="25" t="s">
        <v>161</v>
      </c>
    </row>
    <row r="175" spans="1:10" s="24" customFormat="1" ht="17.100000000000001" customHeight="1" x14ac:dyDescent="0.3">
      <c r="A175" s="25" t="s">
        <v>162</v>
      </c>
      <c r="B175" s="25"/>
      <c r="C175" s="25"/>
      <c r="D175" s="25"/>
      <c r="E175" s="25"/>
      <c r="F175" s="25"/>
      <c r="G175" s="25"/>
      <c r="H175" s="25"/>
      <c r="I175" s="25"/>
      <c r="J175" s="25"/>
    </row>
    <row r="176" spans="1:10" s="24" customFormat="1" ht="17.100000000000001" customHeight="1" x14ac:dyDescent="0.3">
      <c r="A176" s="25" t="s">
        <v>163</v>
      </c>
    </row>
    <row r="177" spans="1:1" s="24" customFormat="1" ht="17.100000000000001" customHeight="1" x14ac:dyDescent="0.3">
      <c r="A177" s="25" t="s">
        <v>164</v>
      </c>
    </row>
    <row r="178" spans="1:1" s="24" customFormat="1" ht="13.5" x14ac:dyDescent="0.3"/>
    <row r="179" spans="1:1" s="24" customFormat="1" ht="13.5" x14ac:dyDescent="0.3"/>
    <row r="180" spans="1:1" s="24" customFormat="1" x14ac:dyDescent="0.3">
      <c r="A180" s="1"/>
    </row>
    <row r="181" spans="1:1" s="24" customFormat="1" ht="13.5" x14ac:dyDescent="0.3"/>
    <row r="182" spans="1:1" s="24" customFormat="1" ht="13.5" x14ac:dyDescent="0.3"/>
    <row r="183" spans="1:1" s="24" customFormat="1" ht="13.5" x14ac:dyDescent="0.3"/>
    <row r="184" spans="1:1" s="24" customFormat="1" ht="13.5" x14ac:dyDescent="0.3"/>
  </sheetData>
  <mergeCells count="2">
    <mergeCell ref="A167:J168"/>
    <mergeCell ref="A171:J172"/>
  </mergeCells>
  <printOptions horizontalCentered="1"/>
  <pageMargins left="0.2" right="0.2" top="0.5" bottom="0.5" header="0.3" footer="0.3"/>
  <pageSetup paperSize="14" scale="85" orientation="landscape" r:id="rId1"/>
  <headerFooter>
    <oddFooter>&amp;C&amp;"Century Gothic,Regular"&amp;8Page &amp;P of &amp;N</oddFooter>
  </headerFooter>
  <rowBreaks count="3" manualBreakCount="3">
    <brk id="78" max="16383" man="1"/>
    <brk id="110" max="16383" man="1"/>
    <brk id="14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59EFC-FB25-4AE3-A569-F8C868E7D15B}">
  <dimension ref="A1:AJ184"/>
  <sheetViews>
    <sheetView workbookViewId="0">
      <selection activeCell="A3" sqref="A3"/>
    </sheetView>
  </sheetViews>
  <sheetFormatPr defaultRowHeight="14.25" x14ac:dyDescent="0.3"/>
  <cols>
    <col min="1" max="1" width="50.625" style="3" customWidth="1"/>
    <col min="2" max="20" width="11.625" style="3" customWidth="1"/>
    <col min="21" max="16384" width="9" style="3"/>
  </cols>
  <sheetData>
    <row r="1" spans="1:22" x14ac:dyDescent="0.3">
      <c r="A1" s="1" t="s">
        <v>0</v>
      </c>
      <c r="B1" s="1"/>
      <c r="C1" s="1"/>
      <c r="D1" s="1"/>
      <c r="E1" s="1"/>
      <c r="F1" s="1"/>
      <c r="G1" s="1"/>
      <c r="H1" s="1"/>
      <c r="I1" s="1"/>
      <c r="J1" s="1"/>
      <c r="K1" s="1"/>
      <c r="L1" s="1"/>
      <c r="M1" s="1"/>
      <c r="N1" s="1"/>
      <c r="O1" s="1"/>
      <c r="P1" s="1"/>
      <c r="Q1" s="1"/>
      <c r="R1" s="2"/>
      <c r="S1" s="2"/>
    </row>
    <row r="2" spans="1:22" x14ac:dyDescent="0.3">
      <c r="A2" s="1" t="s">
        <v>177</v>
      </c>
      <c r="B2" s="1"/>
      <c r="C2" s="1"/>
      <c r="D2" s="1"/>
      <c r="E2" s="1"/>
      <c r="F2" s="1"/>
      <c r="G2" s="1"/>
      <c r="H2" s="1"/>
      <c r="I2" s="1"/>
      <c r="J2" s="1"/>
      <c r="K2" s="1"/>
      <c r="L2" s="1"/>
      <c r="M2" s="1"/>
      <c r="N2" s="1"/>
      <c r="O2" s="1"/>
      <c r="P2" s="1"/>
      <c r="Q2" s="1"/>
      <c r="R2" s="2"/>
      <c r="S2" s="2"/>
    </row>
    <row r="3" spans="1:22" x14ac:dyDescent="0.3">
      <c r="A3" s="1" t="s">
        <v>1</v>
      </c>
      <c r="B3" s="1"/>
      <c r="C3" s="1"/>
      <c r="D3" s="1"/>
      <c r="E3" s="1"/>
      <c r="F3" s="1"/>
      <c r="G3" s="1"/>
      <c r="H3" s="1"/>
      <c r="I3" s="1"/>
      <c r="J3" s="1"/>
      <c r="K3" s="1"/>
      <c r="L3" s="1"/>
      <c r="M3" s="1"/>
      <c r="N3" s="1"/>
      <c r="O3" s="1"/>
      <c r="P3" s="1"/>
      <c r="Q3" s="1"/>
      <c r="R3" s="2"/>
      <c r="S3" s="2"/>
    </row>
    <row r="4" spans="1:22" ht="15" thickBot="1" x14ac:dyDescent="0.35"/>
    <row r="5" spans="1:22" s="7" customFormat="1" ht="15" thickTop="1" thickBot="1" x14ac:dyDescent="0.3">
      <c r="A5" s="4" t="s">
        <v>2</v>
      </c>
      <c r="B5" s="5" t="s">
        <v>3</v>
      </c>
      <c r="C5" s="5" t="s">
        <v>4</v>
      </c>
      <c r="D5" s="5" t="s">
        <v>5</v>
      </c>
      <c r="E5" s="5" t="s">
        <v>6</v>
      </c>
      <c r="F5" s="5" t="s">
        <v>7</v>
      </c>
      <c r="G5" s="5" t="s">
        <v>8</v>
      </c>
      <c r="H5" s="5" t="s">
        <v>9</v>
      </c>
      <c r="I5" s="5" t="s">
        <v>10</v>
      </c>
      <c r="J5" s="5" t="s">
        <v>11</v>
      </c>
      <c r="K5" s="5" t="s">
        <v>12</v>
      </c>
      <c r="L5" s="5" t="s">
        <v>13</v>
      </c>
      <c r="M5" s="5" t="s">
        <v>14</v>
      </c>
      <c r="N5" s="5" t="s">
        <v>15</v>
      </c>
      <c r="O5" s="5" t="s">
        <v>16</v>
      </c>
      <c r="P5" s="5" t="s">
        <v>17</v>
      </c>
      <c r="Q5" s="6" t="s">
        <v>18</v>
      </c>
      <c r="R5" s="5" t="s">
        <v>19</v>
      </c>
      <c r="S5" s="5" t="s">
        <v>20</v>
      </c>
      <c r="T5" s="5" t="s">
        <v>21</v>
      </c>
    </row>
    <row r="6" spans="1:22" s="9" customFormat="1" ht="15" thickTop="1" x14ac:dyDescent="0.3">
      <c r="A6" s="3"/>
      <c r="B6" s="8"/>
      <c r="C6" s="8"/>
      <c r="D6" s="8"/>
      <c r="E6" s="8"/>
      <c r="F6" s="8"/>
      <c r="G6" s="8"/>
      <c r="H6" s="8"/>
      <c r="I6" s="8"/>
      <c r="J6" s="8"/>
      <c r="K6" s="8"/>
      <c r="L6" s="8"/>
      <c r="M6" s="8"/>
      <c r="N6" s="8"/>
      <c r="O6" s="8"/>
      <c r="P6" s="8"/>
      <c r="Q6" s="8"/>
      <c r="R6" s="8"/>
      <c r="S6" s="8"/>
      <c r="T6" s="8"/>
      <c r="U6" s="8"/>
      <c r="V6" s="8"/>
    </row>
    <row r="7" spans="1:22" s="10" customFormat="1" ht="15" customHeight="1" x14ac:dyDescent="0.25">
      <c r="A7" s="10" t="s">
        <v>22</v>
      </c>
      <c r="B7" s="11">
        <f>SUM(B8:B23)</f>
        <v>146346.44765795997</v>
      </c>
      <c r="C7" s="11">
        <f>SUM(C8:C23)</f>
        <v>120354.91199053996</v>
      </c>
      <c r="D7" s="11">
        <f>SUM(D8:D23)</f>
        <v>110112.25209819998</v>
      </c>
      <c r="E7" s="11">
        <f t="shared" ref="E7:E23" si="0">SUM(B7:D7)</f>
        <v>376813.6117466999</v>
      </c>
      <c r="F7" s="11">
        <f>SUM(F8:F23)</f>
        <v>177875.80939260998</v>
      </c>
      <c r="G7" s="11">
        <f>SUM(G8:G23)</f>
        <v>151555.02540295001</v>
      </c>
      <c r="H7" s="11">
        <f>SUM(H8:H23)</f>
        <v>130556.87726530003</v>
      </c>
      <c r="I7" s="11">
        <f t="shared" ref="I7:I23" si="1">SUM(F7:H7)</f>
        <v>459987.71206086001</v>
      </c>
      <c r="J7" s="11">
        <f t="shared" ref="J7:J23" si="2">+E7+I7</f>
        <v>836801.32380755991</v>
      </c>
      <c r="K7" s="11">
        <f>SUM(K8:K23)</f>
        <v>137854.30120684</v>
      </c>
      <c r="L7" s="11">
        <f>SUM(L8:L23)</f>
        <v>149975.51075097997</v>
      </c>
      <c r="M7" s="11">
        <f>SUM(M8:M23)</f>
        <v>125016.48081369001</v>
      </c>
      <c r="N7" s="11">
        <f t="shared" ref="N7:N23" si="3">SUM(K7:M7)</f>
        <v>412846.29277150996</v>
      </c>
      <c r="O7" s="11">
        <f>SUM(O8:O23)</f>
        <v>130929.44276378</v>
      </c>
      <c r="P7" s="11">
        <f>SUM(P8:P23)</f>
        <v>176427.96894947</v>
      </c>
      <c r="Q7" s="11">
        <f>SUM(Q8:Q23)</f>
        <v>132601.99195176724</v>
      </c>
      <c r="R7" s="11">
        <f t="shared" ref="R7:R23" si="4">SUM(O7:Q7)</f>
        <v>439959.40366501722</v>
      </c>
      <c r="S7" s="11">
        <f t="shared" ref="S7:S23" si="5">+N7+R7</f>
        <v>852805.69643652719</v>
      </c>
      <c r="T7" s="11">
        <f t="shared" ref="T7:T23" si="6">+J7+S7</f>
        <v>1689607.0202440871</v>
      </c>
      <c r="U7" s="11"/>
      <c r="V7" s="11"/>
    </row>
    <row r="8" spans="1:22" ht="15" customHeight="1" x14ac:dyDescent="0.3">
      <c r="A8" s="12" t="s">
        <v>23</v>
      </c>
      <c r="B8" s="8">
        <v>534.2692036699998</v>
      </c>
      <c r="C8" s="8">
        <v>364.6674289499997</v>
      </c>
      <c r="D8" s="8">
        <v>404.13404589999993</v>
      </c>
      <c r="E8" s="8">
        <f t="shared" si="0"/>
        <v>1303.0706785199995</v>
      </c>
      <c r="F8" s="8">
        <v>678.82432279999966</v>
      </c>
      <c r="G8" s="8">
        <v>510.8817916099996</v>
      </c>
      <c r="H8" s="8">
        <v>457.00398004000022</v>
      </c>
      <c r="I8" s="8">
        <f t="shared" si="1"/>
        <v>1646.7100944499996</v>
      </c>
      <c r="J8" s="8">
        <f t="shared" si="2"/>
        <v>2949.7807729699989</v>
      </c>
      <c r="K8" s="8">
        <v>493.94260935999984</v>
      </c>
      <c r="L8" s="8">
        <v>446.86218661000032</v>
      </c>
      <c r="M8" s="8">
        <v>425.92155913999983</v>
      </c>
      <c r="N8" s="8">
        <f t="shared" si="3"/>
        <v>1366.72635511</v>
      </c>
      <c r="O8" s="8">
        <v>442.78870568000008</v>
      </c>
      <c r="P8" s="8">
        <v>499.80848553999971</v>
      </c>
      <c r="Q8" s="8">
        <v>509.86655152000003</v>
      </c>
      <c r="R8" s="8">
        <f t="shared" si="4"/>
        <v>1452.4637427399998</v>
      </c>
      <c r="S8" s="8">
        <f t="shared" si="5"/>
        <v>2819.1900978499998</v>
      </c>
      <c r="T8" s="8">
        <f t="shared" si="6"/>
        <v>5768.9708708199987</v>
      </c>
      <c r="U8" s="8"/>
      <c r="V8" s="8"/>
    </row>
    <row r="9" spans="1:22" ht="15" customHeight="1" x14ac:dyDescent="0.3">
      <c r="A9" s="12" t="s">
        <v>24</v>
      </c>
      <c r="B9" s="8">
        <v>527.94089352000003</v>
      </c>
      <c r="C9" s="8">
        <v>438.13387482999991</v>
      </c>
      <c r="D9" s="8">
        <v>468.58641685999993</v>
      </c>
      <c r="E9" s="8">
        <f t="shared" si="0"/>
        <v>1434.6611852099998</v>
      </c>
      <c r="F9" s="8">
        <v>880.18726365999999</v>
      </c>
      <c r="G9" s="8">
        <v>618.67419369999982</v>
      </c>
      <c r="H9" s="8">
        <v>456.89567455999969</v>
      </c>
      <c r="I9" s="8">
        <f t="shared" si="1"/>
        <v>1955.7571319199994</v>
      </c>
      <c r="J9" s="8">
        <f t="shared" si="2"/>
        <v>3390.4183171299992</v>
      </c>
      <c r="K9" s="8">
        <v>503.02765212000008</v>
      </c>
      <c r="L9" s="8">
        <v>543.12963709000007</v>
      </c>
      <c r="M9" s="8">
        <v>516.88510362000011</v>
      </c>
      <c r="N9" s="8">
        <f t="shared" si="3"/>
        <v>1563.0423928300004</v>
      </c>
      <c r="O9" s="8">
        <v>464.53125075999998</v>
      </c>
      <c r="P9" s="8">
        <v>689.72811714999989</v>
      </c>
      <c r="Q9" s="8">
        <v>565.58835608999993</v>
      </c>
      <c r="R9" s="8">
        <f t="shared" si="4"/>
        <v>1719.8477239999997</v>
      </c>
      <c r="S9" s="8">
        <f t="shared" si="5"/>
        <v>3282.8901168299999</v>
      </c>
      <c r="T9" s="8">
        <f t="shared" si="6"/>
        <v>6673.3084339599991</v>
      </c>
      <c r="U9" s="8"/>
      <c r="V9" s="8"/>
    </row>
    <row r="10" spans="1:22" ht="15" customHeight="1" x14ac:dyDescent="0.3">
      <c r="A10" s="12" t="s">
        <v>25</v>
      </c>
      <c r="B10" s="8">
        <v>9750.27905465</v>
      </c>
      <c r="C10" s="8">
        <v>6909.0032029600006</v>
      </c>
      <c r="D10" s="8">
        <v>7105.3243488200014</v>
      </c>
      <c r="E10" s="8">
        <f t="shared" si="0"/>
        <v>23764.606606430003</v>
      </c>
      <c r="F10" s="8">
        <v>11715.327635439997</v>
      </c>
      <c r="G10" s="8">
        <v>8407.5216664200088</v>
      </c>
      <c r="H10" s="8">
        <v>10482.697012280003</v>
      </c>
      <c r="I10" s="8">
        <f t="shared" si="1"/>
        <v>30605.546314140011</v>
      </c>
      <c r="J10" s="8">
        <f t="shared" si="2"/>
        <v>54370.152920570014</v>
      </c>
      <c r="K10" s="8">
        <v>8565.2865139899986</v>
      </c>
      <c r="L10" s="8">
        <v>8357.9212606400015</v>
      </c>
      <c r="M10" s="8">
        <v>9754.8296252700056</v>
      </c>
      <c r="N10" s="8">
        <f t="shared" si="3"/>
        <v>26678.037399900004</v>
      </c>
      <c r="O10" s="8">
        <v>8565.652482930007</v>
      </c>
      <c r="P10" s="8">
        <v>11450.574764449997</v>
      </c>
      <c r="Q10" s="8">
        <v>9823.2978957300002</v>
      </c>
      <c r="R10" s="8">
        <f t="shared" si="4"/>
        <v>29839.525143110004</v>
      </c>
      <c r="S10" s="8">
        <f t="shared" si="5"/>
        <v>56517.562543010004</v>
      </c>
      <c r="T10" s="8">
        <f t="shared" si="6"/>
        <v>110887.71546358001</v>
      </c>
      <c r="U10" s="8"/>
      <c r="V10" s="8"/>
    </row>
    <row r="11" spans="1:22" ht="15" customHeight="1" x14ac:dyDescent="0.3">
      <c r="A11" s="12" t="s">
        <v>26</v>
      </c>
      <c r="B11" s="8">
        <v>263.17576738999975</v>
      </c>
      <c r="C11" s="8">
        <v>230.17716358999994</v>
      </c>
      <c r="D11" s="8">
        <v>250.95699054999989</v>
      </c>
      <c r="E11" s="8">
        <f t="shared" si="0"/>
        <v>744.30992152999954</v>
      </c>
      <c r="F11" s="8">
        <v>338.73934440999989</v>
      </c>
      <c r="G11" s="8">
        <v>270.07572194000011</v>
      </c>
      <c r="H11" s="8">
        <v>288.22352690999992</v>
      </c>
      <c r="I11" s="8">
        <f t="shared" si="1"/>
        <v>897.03859325999997</v>
      </c>
      <c r="J11" s="8">
        <f t="shared" si="2"/>
        <v>1641.3485147899996</v>
      </c>
      <c r="K11" s="8">
        <v>267.00866916000012</v>
      </c>
      <c r="L11" s="8">
        <v>251.17334523000005</v>
      </c>
      <c r="M11" s="8">
        <v>209.21551775</v>
      </c>
      <c r="N11" s="8">
        <f t="shared" si="3"/>
        <v>727.39753214000018</v>
      </c>
      <c r="O11" s="8">
        <v>271.10697068999986</v>
      </c>
      <c r="P11" s="8">
        <v>309.67802666999989</v>
      </c>
      <c r="Q11" s="8">
        <v>324.14497913000008</v>
      </c>
      <c r="R11" s="8">
        <f t="shared" si="4"/>
        <v>904.92997648999994</v>
      </c>
      <c r="S11" s="8">
        <f t="shared" si="5"/>
        <v>1632.32750863</v>
      </c>
      <c r="T11" s="8">
        <f t="shared" si="6"/>
        <v>3273.6760234199996</v>
      </c>
      <c r="U11" s="8"/>
      <c r="V11" s="8"/>
    </row>
    <row r="12" spans="1:22" ht="15" customHeight="1" x14ac:dyDescent="0.3">
      <c r="A12" s="12" t="s">
        <v>27</v>
      </c>
      <c r="B12" s="8">
        <v>1703.6302770199982</v>
      </c>
      <c r="C12" s="8">
        <v>1596.0002869599971</v>
      </c>
      <c r="D12" s="8">
        <v>1390.4738433399996</v>
      </c>
      <c r="E12" s="8">
        <f t="shared" si="0"/>
        <v>4690.1044073199946</v>
      </c>
      <c r="F12" s="8">
        <v>2281.9691567500004</v>
      </c>
      <c r="G12" s="8">
        <v>1775.2727242099995</v>
      </c>
      <c r="H12" s="8">
        <v>1449.3786329000015</v>
      </c>
      <c r="I12" s="8">
        <f t="shared" si="1"/>
        <v>5506.6205138600017</v>
      </c>
      <c r="J12" s="8">
        <f t="shared" si="2"/>
        <v>10196.724921179997</v>
      </c>
      <c r="K12" s="8">
        <v>1738.3737744400032</v>
      </c>
      <c r="L12" s="8">
        <v>1739.6786904199989</v>
      </c>
      <c r="M12" s="8">
        <v>1703.5711591200013</v>
      </c>
      <c r="N12" s="8">
        <f t="shared" si="3"/>
        <v>5181.6236239800037</v>
      </c>
      <c r="O12" s="8">
        <v>1741.5376882099995</v>
      </c>
      <c r="P12" s="8">
        <v>2544.8497132699999</v>
      </c>
      <c r="Q12" s="8">
        <v>1889.0346262799994</v>
      </c>
      <c r="R12" s="8">
        <f t="shared" si="4"/>
        <v>6175.4220277599989</v>
      </c>
      <c r="S12" s="8">
        <f t="shared" si="5"/>
        <v>11357.045651740002</v>
      </c>
      <c r="T12" s="8">
        <f t="shared" si="6"/>
        <v>21553.770572919999</v>
      </c>
      <c r="U12" s="8"/>
      <c r="V12" s="8"/>
    </row>
    <row r="13" spans="1:22" ht="15" customHeight="1" x14ac:dyDescent="0.3">
      <c r="A13" s="12" t="s">
        <v>28</v>
      </c>
      <c r="B13" s="8">
        <v>4471.6759715100015</v>
      </c>
      <c r="C13" s="8">
        <v>2847.6087337299996</v>
      </c>
      <c r="D13" s="8">
        <v>3010.9957189499996</v>
      </c>
      <c r="E13" s="8">
        <f t="shared" si="0"/>
        <v>10330.280424190001</v>
      </c>
      <c r="F13" s="8">
        <v>4250.9359700999985</v>
      </c>
      <c r="G13" s="8">
        <v>3565.8929058699978</v>
      </c>
      <c r="H13" s="8">
        <v>3667.3013257299995</v>
      </c>
      <c r="I13" s="8">
        <f t="shared" si="1"/>
        <v>11484.130201699996</v>
      </c>
      <c r="J13" s="8">
        <f t="shared" si="2"/>
        <v>21814.410625889999</v>
      </c>
      <c r="K13" s="8">
        <v>3154.8197325000001</v>
      </c>
      <c r="L13" s="8">
        <v>3302.9346425599992</v>
      </c>
      <c r="M13" s="8">
        <v>3105.0687671900009</v>
      </c>
      <c r="N13" s="8">
        <f t="shared" si="3"/>
        <v>9562.8231422500012</v>
      </c>
      <c r="O13" s="8">
        <v>3200.4331184500002</v>
      </c>
      <c r="P13" s="8">
        <v>3959.5421461300002</v>
      </c>
      <c r="Q13" s="8">
        <v>4092.1425946899994</v>
      </c>
      <c r="R13" s="8">
        <f t="shared" si="4"/>
        <v>11252.11785927</v>
      </c>
      <c r="S13" s="8">
        <f t="shared" si="5"/>
        <v>20814.941001520001</v>
      </c>
      <c r="T13" s="8">
        <f t="shared" si="6"/>
        <v>42629.351627409997</v>
      </c>
      <c r="U13" s="8"/>
      <c r="V13" s="8"/>
    </row>
    <row r="14" spans="1:22" ht="18" customHeight="1" x14ac:dyDescent="0.3">
      <c r="A14" s="12" t="s">
        <v>29</v>
      </c>
      <c r="B14" s="8">
        <v>671.85728379000011</v>
      </c>
      <c r="C14" s="8">
        <v>498.93868068999996</v>
      </c>
      <c r="D14" s="8">
        <v>532.71442207999985</v>
      </c>
      <c r="E14" s="8">
        <f t="shared" si="0"/>
        <v>1703.5103865599999</v>
      </c>
      <c r="F14" s="8">
        <v>810.05256485000018</v>
      </c>
      <c r="G14" s="8">
        <v>565.68956988000025</v>
      </c>
      <c r="H14" s="8">
        <v>542.49316601999965</v>
      </c>
      <c r="I14" s="8">
        <f t="shared" si="1"/>
        <v>1918.2353007500001</v>
      </c>
      <c r="J14" s="8">
        <f t="shared" si="2"/>
        <v>3621.74568731</v>
      </c>
      <c r="K14" s="8">
        <v>531.21091467999952</v>
      </c>
      <c r="L14" s="8">
        <v>570.83415942999977</v>
      </c>
      <c r="M14" s="8">
        <v>543.17596409000032</v>
      </c>
      <c r="N14" s="8">
        <f t="shared" si="3"/>
        <v>1645.2210381999998</v>
      </c>
      <c r="O14" s="8">
        <v>681.30200019000006</v>
      </c>
      <c r="P14" s="8">
        <v>716.31348557000081</v>
      </c>
      <c r="Q14" s="8">
        <v>567.15886936000004</v>
      </c>
      <c r="R14" s="8">
        <f t="shared" si="4"/>
        <v>1964.774355120001</v>
      </c>
      <c r="S14" s="8">
        <f t="shared" si="5"/>
        <v>3609.9953933200009</v>
      </c>
      <c r="T14" s="8">
        <f t="shared" si="6"/>
        <v>7231.7410806300013</v>
      </c>
      <c r="U14" s="8"/>
      <c r="V14" s="8"/>
    </row>
    <row r="15" spans="1:22" ht="15" customHeight="1" x14ac:dyDescent="0.3">
      <c r="A15" s="12" t="s">
        <v>30</v>
      </c>
      <c r="B15" s="8">
        <v>1129.2036880400005</v>
      </c>
      <c r="C15" s="8">
        <v>950.24426631999972</v>
      </c>
      <c r="D15" s="8">
        <v>911.18653144000029</v>
      </c>
      <c r="E15" s="8">
        <f t="shared" si="0"/>
        <v>2990.6344858000002</v>
      </c>
      <c r="F15" s="8">
        <v>1560.2343708500002</v>
      </c>
      <c r="G15" s="8">
        <v>1096.3672826900008</v>
      </c>
      <c r="H15" s="8">
        <v>1019.4097864900001</v>
      </c>
      <c r="I15" s="8">
        <f t="shared" si="1"/>
        <v>3676.0114400300013</v>
      </c>
      <c r="J15" s="8">
        <f t="shared" si="2"/>
        <v>6666.6459258300019</v>
      </c>
      <c r="K15" s="8">
        <v>1084.6745227500012</v>
      </c>
      <c r="L15" s="8">
        <v>1228.4232985299993</v>
      </c>
      <c r="M15" s="8">
        <v>1054.42970932</v>
      </c>
      <c r="N15" s="8">
        <f t="shared" si="3"/>
        <v>3367.5275306000003</v>
      </c>
      <c r="O15" s="8">
        <v>979.42217414999948</v>
      </c>
      <c r="P15" s="8">
        <v>1228.7833755200006</v>
      </c>
      <c r="Q15" s="8">
        <v>1204.0008053799988</v>
      </c>
      <c r="R15" s="8">
        <f t="shared" si="4"/>
        <v>3412.2063550499988</v>
      </c>
      <c r="S15" s="8">
        <f t="shared" si="5"/>
        <v>6779.7338856499991</v>
      </c>
      <c r="T15" s="8">
        <f t="shared" si="6"/>
        <v>13446.379811480001</v>
      </c>
      <c r="U15" s="8"/>
      <c r="V15" s="8"/>
    </row>
    <row r="16" spans="1:22" ht="15" customHeight="1" x14ac:dyDescent="0.3">
      <c r="A16" s="12" t="s">
        <v>31</v>
      </c>
      <c r="B16" s="8">
        <v>1900.8599027400001</v>
      </c>
      <c r="C16" s="8">
        <v>1114.8453184800001</v>
      </c>
      <c r="D16" s="8">
        <v>950.44187169000134</v>
      </c>
      <c r="E16" s="8">
        <f t="shared" si="0"/>
        <v>3966.1470929100014</v>
      </c>
      <c r="F16" s="8">
        <v>1871.8528155000033</v>
      </c>
      <c r="G16" s="8">
        <v>1159.3309110499999</v>
      </c>
      <c r="H16" s="8">
        <v>955.46397423000064</v>
      </c>
      <c r="I16" s="8">
        <f t="shared" si="1"/>
        <v>3986.647700780004</v>
      </c>
      <c r="J16" s="8">
        <f t="shared" si="2"/>
        <v>7952.7947936900055</v>
      </c>
      <c r="K16" s="8">
        <v>1551.6076921799975</v>
      </c>
      <c r="L16" s="8">
        <v>1035.8317506200003</v>
      </c>
      <c r="M16" s="8">
        <v>1180.727418729999</v>
      </c>
      <c r="N16" s="8">
        <f t="shared" si="3"/>
        <v>3768.1668615299968</v>
      </c>
      <c r="O16" s="8">
        <v>958.95323226000016</v>
      </c>
      <c r="P16" s="8">
        <v>1783.8510598400001</v>
      </c>
      <c r="Q16" s="8">
        <v>1038.3244348799999</v>
      </c>
      <c r="R16" s="8">
        <f t="shared" si="4"/>
        <v>3781.12872698</v>
      </c>
      <c r="S16" s="8">
        <f t="shared" si="5"/>
        <v>7549.2955885099964</v>
      </c>
      <c r="T16" s="8">
        <f t="shared" si="6"/>
        <v>15502.090382200002</v>
      </c>
      <c r="U16" s="8"/>
      <c r="V16" s="8"/>
    </row>
    <row r="17" spans="1:22" ht="15" customHeight="1" x14ac:dyDescent="0.3">
      <c r="A17" s="12" t="s">
        <v>32</v>
      </c>
      <c r="B17" s="8">
        <v>1651.4088118600002</v>
      </c>
      <c r="C17" s="8">
        <v>1615.1191951900007</v>
      </c>
      <c r="D17" s="8">
        <v>1286.6054408799992</v>
      </c>
      <c r="E17" s="8">
        <f t="shared" si="0"/>
        <v>4553.1334479300003</v>
      </c>
      <c r="F17" s="8">
        <v>1928.0094668499983</v>
      </c>
      <c r="G17" s="8">
        <v>1365.5119307399998</v>
      </c>
      <c r="H17" s="8">
        <v>1109.3932343600004</v>
      </c>
      <c r="I17" s="8">
        <f t="shared" si="1"/>
        <v>4402.9146319499978</v>
      </c>
      <c r="J17" s="8">
        <f t="shared" si="2"/>
        <v>8956.0480798799981</v>
      </c>
      <c r="K17" s="8">
        <v>1970.1790418599996</v>
      </c>
      <c r="L17" s="8">
        <v>1319.0336337300005</v>
      </c>
      <c r="M17" s="8">
        <v>1225.4568366699996</v>
      </c>
      <c r="N17" s="8">
        <f t="shared" si="3"/>
        <v>4514.6695122599995</v>
      </c>
      <c r="O17" s="8">
        <v>1483.1960112200004</v>
      </c>
      <c r="P17" s="8">
        <v>2705.2131481700003</v>
      </c>
      <c r="Q17" s="8">
        <v>1685.3058064399995</v>
      </c>
      <c r="R17" s="8">
        <f t="shared" si="4"/>
        <v>5873.7149658300004</v>
      </c>
      <c r="S17" s="8">
        <f t="shared" si="5"/>
        <v>10388.38447809</v>
      </c>
      <c r="T17" s="8">
        <f t="shared" si="6"/>
        <v>19344.432557969998</v>
      </c>
      <c r="U17" s="8"/>
      <c r="V17" s="8"/>
    </row>
    <row r="18" spans="1:22" ht="15" customHeight="1" x14ac:dyDescent="0.3">
      <c r="A18" s="12" t="s">
        <v>33</v>
      </c>
      <c r="B18" s="8">
        <v>4131.5748467099993</v>
      </c>
      <c r="C18" s="8">
        <v>2947.5875735799978</v>
      </c>
      <c r="D18" s="8">
        <v>2404.3283053500018</v>
      </c>
      <c r="E18" s="8">
        <f t="shared" si="0"/>
        <v>9483.4907256399983</v>
      </c>
      <c r="F18" s="8">
        <v>4827.9781094699974</v>
      </c>
      <c r="G18" s="8">
        <v>3629.6541981199998</v>
      </c>
      <c r="H18" s="8">
        <v>3256.6530211000022</v>
      </c>
      <c r="I18" s="8">
        <f t="shared" si="1"/>
        <v>11714.285328689999</v>
      </c>
      <c r="J18" s="8">
        <f t="shared" si="2"/>
        <v>21197.776054329996</v>
      </c>
      <c r="K18" s="8">
        <v>3635.6663164900046</v>
      </c>
      <c r="L18" s="8">
        <v>3136.6394868899938</v>
      </c>
      <c r="M18" s="8">
        <v>2951.9536214300001</v>
      </c>
      <c r="N18" s="8">
        <f t="shared" si="3"/>
        <v>9724.2594248099995</v>
      </c>
      <c r="O18" s="8">
        <v>3206.7601536199959</v>
      </c>
      <c r="P18" s="8">
        <v>3912.8095601100035</v>
      </c>
      <c r="Q18" s="8">
        <v>3561.5627684299957</v>
      </c>
      <c r="R18" s="8">
        <f t="shared" si="4"/>
        <v>10681.132482159996</v>
      </c>
      <c r="S18" s="8">
        <f t="shared" si="5"/>
        <v>20405.391906969995</v>
      </c>
      <c r="T18" s="8">
        <f t="shared" si="6"/>
        <v>41603.167961299987</v>
      </c>
      <c r="U18" s="8"/>
      <c r="V18" s="8"/>
    </row>
    <row r="19" spans="1:22" ht="15" customHeight="1" x14ac:dyDescent="0.3">
      <c r="A19" s="12" t="s">
        <v>34</v>
      </c>
      <c r="B19" s="8">
        <v>7508.622543540002</v>
      </c>
      <c r="C19" s="8">
        <v>5747.2004753600013</v>
      </c>
      <c r="D19" s="8">
        <v>5874.4357572900008</v>
      </c>
      <c r="E19" s="8">
        <f t="shared" si="0"/>
        <v>19130.258776190003</v>
      </c>
      <c r="F19" s="8">
        <v>8880.0979180999948</v>
      </c>
      <c r="G19" s="8">
        <v>6511.154393279995</v>
      </c>
      <c r="H19" s="8">
        <v>6100.3529006799999</v>
      </c>
      <c r="I19" s="8">
        <f t="shared" si="1"/>
        <v>21491.605212059992</v>
      </c>
      <c r="J19" s="8">
        <f t="shared" si="2"/>
        <v>40621.863988249999</v>
      </c>
      <c r="K19" s="8">
        <v>6291.3399216199959</v>
      </c>
      <c r="L19" s="8">
        <v>6279.4103167200028</v>
      </c>
      <c r="M19" s="8">
        <v>5938.9818199300007</v>
      </c>
      <c r="N19" s="8">
        <f t="shared" si="3"/>
        <v>18509.732058269998</v>
      </c>
      <c r="O19" s="8">
        <v>6440.7068487000033</v>
      </c>
      <c r="P19" s="8">
        <v>8415.5281493599978</v>
      </c>
      <c r="Q19" s="8">
        <v>6503.1921128199992</v>
      </c>
      <c r="R19" s="8">
        <f t="shared" si="4"/>
        <v>21359.427110880002</v>
      </c>
      <c r="S19" s="8">
        <f t="shared" si="5"/>
        <v>39869.15916915</v>
      </c>
      <c r="T19" s="8">
        <f t="shared" si="6"/>
        <v>80491.023157399992</v>
      </c>
      <c r="U19" s="8"/>
      <c r="V19" s="8"/>
    </row>
    <row r="20" spans="1:22" ht="15" customHeight="1" x14ac:dyDescent="0.3">
      <c r="A20" s="12" t="s">
        <v>35</v>
      </c>
      <c r="B20" s="8">
        <v>524.24254209999958</v>
      </c>
      <c r="C20" s="8">
        <v>397.43972412999989</v>
      </c>
      <c r="D20" s="8">
        <v>522.32957713999974</v>
      </c>
      <c r="E20" s="8">
        <f t="shared" si="0"/>
        <v>1444.011843369999</v>
      </c>
      <c r="F20" s="8">
        <v>652.75360023000098</v>
      </c>
      <c r="G20" s="8">
        <v>607.00633808000043</v>
      </c>
      <c r="H20" s="8">
        <v>417.96739678000046</v>
      </c>
      <c r="I20" s="8">
        <f t="shared" si="1"/>
        <v>1677.7273350900018</v>
      </c>
      <c r="J20" s="8">
        <f t="shared" si="2"/>
        <v>3121.7391784600009</v>
      </c>
      <c r="K20" s="8">
        <v>438.23294742999997</v>
      </c>
      <c r="L20" s="8">
        <v>417.12707366000006</v>
      </c>
      <c r="M20" s="8">
        <v>460.76257374999989</v>
      </c>
      <c r="N20" s="8">
        <f t="shared" si="3"/>
        <v>1316.1225948399999</v>
      </c>
      <c r="O20" s="8">
        <v>457.1080152000003</v>
      </c>
      <c r="P20" s="8">
        <v>522.25192817999971</v>
      </c>
      <c r="Q20" s="8">
        <v>453.7982148200004</v>
      </c>
      <c r="R20" s="8">
        <f t="shared" si="4"/>
        <v>1433.1581582000003</v>
      </c>
      <c r="S20" s="8">
        <f t="shared" si="5"/>
        <v>2749.2807530400005</v>
      </c>
      <c r="T20" s="8">
        <f t="shared" si="6"/>
        <v>5871.0199315000009</v>
      </c>
      <c r="U20" s="8"/>
      <c r="V20" s="8"/>
    </row>
    <row r="21" spans="1:22" ht="15" customHeight="1" x14ac:dyDescent="0.3">
      <c r="A21" s="12" t="s">
        <v>36</v>
      </c>
      <c r="B21" s="8">
        <v>5861.8172678400015</v>
      </c>
      <c r="C21" s="8">
        <v>4945.9317291900006</v>
      </c>
      <c r="D21" s="8">
        <v>4020.697165149993</v>
      </c>
      <c r="E21" s="8">
        <f t="shared" si="0"/>
        <v>14828.446162179995</v>
      </c>
      <c r="F21" s="8">
        <v>7630.1579195799941</v>
      </c>
      <c r="G21" s="8">
        <v>5652.7860852599915</v>
      </c>
      <c r="H21" s="8">
        <v>4195.6797010900018</v>
      </c>
      <c r="I21" s="8">
        <f t="shared" si="1"/>
        <v>17478.623705929986</v>
      </c>
      <c r="J21" s="8">
        <f t="shared" si="2"/>
        <v>32307.069868109982</v>
      </c>
      <c r="K21" s="8">
        <v>5520.3590467699896</v>
      </c>
      <c r="L21" s="8">
        <v>5297.3804182699987</v>
      </c>
      <c r="M21" s="8">
        <v>5509.6559108400033</v>
      </c>
      <c r="N21" s="8">
        <f t="shared" si="3"/>
        <v>16327.395375879991</v>
      </c>
      <c r="O21" s="8">
        <v>5648.5828166100046</v>
      </c>
      <c r="P21" s="8">
        <v>6512.667893270007</v>
      </c>
      <c r="Q21" s="8">
        <v>6473.7603620799873</v>
      </c>
      <c r="R21" s="8">
        <f t="shared" si="4"/>
        <v>18635.011071959998</v>
      </c>
      <c r="S21" s="8">
        <f t="shared" si="5"/>
        <v>34962.406447839989</v>
      </c>
      <c r="T21" s="8">
        <f t="shared" si="6"/>
        <v>67269.476315949971</v>
      </c>
      <c r="U21" s="8"/>
      <c r="V21" s="8"/>
    </row>
    <row r="22" spans="1:22" ht="15" customHeight="1" x14ac:dyDescent="0.3">
      <c r="A22" s="12" t="s">
        <v>37</v>
      </c>
      <c r="B22" s="8">
        <v>448.79012297999986</v>
      </c>
      <c r="C22" s="8">
        <v>348.39130051000046</v>
      </c>
      <c r="D22" s="8">
        <v>376.38791760999993</v>
      </c>
      <c r="E22" s="8">
        <f t="shared" si="0"/>
        <v>1173.5693411000002</v>
      </c>
      <c r="F22" s="8">
        <v>539.02246110999988</v>
      </c>
      <c r="G22" s="8">
        <v>383.91890469999993</v>
      </c>
      <c r="H22" s="8">
        <v>461.97648643999963</v>
      </c>
      <c r="I22" s="8">
        <f t="shared" si="1"/>
        <v>1384.9178522499994</v>
      </c>
      <c r="J22" s="8">
        <f t="shared" si="2"/>
        <v>2558.4871933499999</v>
      </c>
      <c r="K22" s="8">
        <v>501.8580020899999</v>
      </c>
      <c r="L22" s="8">
        <v>461.43151968000075</v>
      </c>
      <c r="M22" s="8">
        <v>450.40595179000002</v>
      </c>
      <c r="N22" s="8">
        <f t="shared" si="3"/>
        <v>1413.6954735600007</v>
      </c>
      <c r="O22" s="8">
        <v>430.38322846000023</v>
      </c>
      <c r="P22" s="8">
        <v>512.9869808000002</v>
      </c>
      <c r="Q22" s="8">
        <v>450.45952520000071</v>
      </c>
      <c r="R22" s="8">
        <f t="shared" si="4"/>
        <v>1393.829734460001</v>
      </c>
      <c r="S22" s="8">
        <f t="shared" si="5"/>
        <v>2807.5252080200016</v>
      </c>
      <c r="T22" s="8">
        <f t="shared" si="6"/>
        <v>5366.0124013700015</v>
      </c>
      <c r="U22" s="8"/>
      <c r="V22" s="8"/>
    </row>
    <row r="23" spans="1:22" ht="18" customHeight="1" x14ac:dyDescent="0.3">
      <c r="A23" s="12" t="s">
        <v>38</v>
      </c>
      <c r="B23" s="8">
        <v>105267.09948059998</v>
      </c>
      <c r="C23" s="8">
        <v>89403.62303606997</v>
      </c>
      <c r="D23" s="8">
        <v>80602.65374514999</v>
      </c>
      <c r="E23" s="8">
        <f t="shared" si="0"/>
        <v>275273.37626181997</v>
      </c>
      <c r="F23" s="8">
        <v>129029.66647291</v>
      </c>
      <c r="G23" s="8">
        <v>115435.28678540001</v>
      </c>
      <c r="H23" s="8">
        <v>95695.987445690029</v>
      </c>
      <c r="I23" s="8">
        <f t="shared" si="1"/>
        <v>340160.94070400007</v>
      </c>
      <c r="J23" s="8">
        <f t="shared" si="2"/>
        <v>615434.31696582003</v>
      </c>
      <c r="K23" s="8">
        <v>101606.71384940001</v>
      </c>
      <c r="L23" s="8">
        <v>115587.69933089998</v>
      </c>
      <c r="M23" s="8">
        <v>89985.439275049997</v>
      </c>
      <c r="N23" s="8">
        <f t="shared" si="3"/>
        <v>307179.85245534999</v>
      </c>
      <c r="O23" s="8">
        <v>95956.978066649986</v>
      </c>
      <c r="P23" s="8">
        <v>130663.38211543999</v>
      </c>
      <c r="Q23" s="8">
        <v>93460.354048917259</v>
      </c>
      <c r="R23" s="8">
        <f t="shared" si="4"/>
        <v>320080.71423100721</v>
      </c>
      <c r="S23" s="8">
        <f t="shared" si="5"/>
        <v>627260.56668635714</v>
      </c>
      <c r="T23" s="8">
        <f t="shared" si="6"/>
        <v>1242694.8836521772</v>
      </c>
      <c r="U23" s="8"/>
      <c r="V23" s="8"/>
    </row>
    <row r="24" spans="1:22" s="10" customFormat="1" ht="15" customHeight="1" x14ac:dyDescent="0.3">
      <c r="A24" s="3"/>
      <c r="B24" s="11"/>
      <c r="C24" s="11"/>
      <c r="D24" s="11"/>
      <c r="E24" s="11"/>
      <c r="F24" s="11"/>
      <c r="G24" s="11"/>
      <c r="H24" s="11"/>
      <c r="I24" s="11"/>
      <c r="J24" s="11"/>
      <c r="K24" s="11"/>
      <c r="L24" s="11"/>
      <c r="M24" s="11"/>
      <c r="N24" s="11"/>
      <c r="O24" s="11"/>
      <c r="P24" s="11"/>
      <c r="Q24" s="11"/>
      <c r="R24" s="11"/>
      <c r="S24" s="11"/>
      <c r="T24" s="11"/>
      <c r="U24" s="11"/>
      <c r="V24" s="11"/>
    </row>
    <row r="25" spans="1:22" s="10" customFormat="1" ht="15" customHeight="1" x14ac:dyDescent="0.25">
      <c r="A25" s="10" t="s">
        <v>39</v>
      </c>
      <c r="B25" s="11">
        <f>SUM(B26:B31)</f>
        <v>580.1596684399999</v>
      </c>
      <c r="C25" s="11">
        <f>SUM(C26:C31)</f>
        <v>372.96804336000002</v>
      </c>
      <c r="D25" s="11">
        <f>SUM(D26:D31)</f>
        <v>400.71466552999993</v>
      </c>
      <c r="E25" s="11">
        <f t="shared" ref="E25:E31" si="7">SUM(B25:D25)</f>
        <v>1353.8423773299999</v>
      </c>
      <c r="F25" s="11">
        <f>SUM(F26:F31)</f>
        <v>579.88522337000018</v>
      </c>
      <c r="G25" s="11">
        <f>SUM(G26:G31)</f>
        <v>437.67768895000006</v>
      </c>
      <c r="H25" s="11">
        <f>SUM(H26:H31)</f>
        <v>514.62835676000009</v>
      </c>
      <c r="I25" s="11">
        <f t="shared" ref="I25:I31" si="8">SUM(F25:H25)</f>
        <v>1532.1912690800004</v>
      </c>
      <c r="J25" s="11">
        <f t="shared" ref="J25:J31" si="9">+E25+I25</f>
        <v>2886.0336464100001</v>
      </c>
      <c r="K25" s="11">
        <f>SUM(K26:K31)</f>
        <v>519.53255796000008</v>
      </c>
      <c r="L25" s="11">
        <f>SUM(L26:L31)</f>
        <v>489.16949657999987</v>
      </c>
      <c r="M25" s="11">
        <f>SUM(M26:M31)</f>
        <v>436.12826531000007</v>
      </c>
      <c r="N25" s="11">
        <f t="shared" ref="N25:N31" si="10">SUM(K25:M25)</f>
        <v>1444.83031985</v>
      </c>
      <c r="O25" s="11">
        <f>SUM(O26:O31)</f>
        <v>543.02875190999998</v>
      </c>
      <c r="P25" s="11">
        <f>SUM(P26:P31)</f>
        <v>561.66240855000001</v>
      </c>
      <c r="Q25" s="11">
        <f>SUM(Q26:Q31)</f>
        <v>572.15848916999994</v>
      </c>
      <c r="R25" s="11">
        <f t="shared" ref="R25:R31" si="11">SUM(O25:Q25)</f>
        <v>1676.8496496299999</v>
      </c>
      <c r="S25" s="11">
        <f t="shared" ref="S25:S31" si="12">+N25+R25</f>
        <v>3121.6799694800002</v>
      </c>
      <c r="T25" s="11">
        <f t="shared" ref="T25:T31" si="13">+J25+S25</f>
        <v>6007.7136158900003</v>
      </c>
      <c r="U25" s="11"/>
      <c r="V25" s="11"/>
    </row>
    <row r="26" spans="1:22" ht="15" customHeight="1" x14ac:dyDescent="0.3">
      <c r="A26" s="12" t="s">
        <v>40</v>
      </c>
      <c r="B26" s="8">
        <v>62.222709939999987</v>
      </c>
      <c r="C26" s="8">
        <v>30.497734400000002</v>
      </c>
      <c r="D26" s="8">
        <v>36.757032440000003</v>
      </c>
      <c r="E26" s="8">
        <f t="shared" si="7"/>
        <v>129.47747677999999</v>
      </c>
      <c r="F26" s="8">
        <v>45.294304200000006</v>
      </c>
      <c r="G26" s="8">
        <v>38.315872290000001</v>
      </c>
      <c r="H26" s="8">
        <v>50.70585209</v>
      </c>
      <c r="I26" s="8">
        <f t="shared" si="8"/>
        <v>134.31602858000002</v>
      </c>
      <c r="J26" s="8">
        <f t="shared" si="9"/>
        <v>263.79350536000004</v>
      </c>
      <c r="K26" s="8">
        <v>50.202781399999992</v>
      </c>
      <c r="L26" s="8">
        <v>40.182091560000011</v>
      </c>
      <c r="M26" s="8">
        <v>35.429339199999994</v>
      </c>
      <c r="N26" s="8">
        <f t="shared" si="10"/>
        <v>125.81421215999998</v>
      </c>
      <c r="O26" s="8">
        <v>44.619625240000012</v>
      </c>
      <c r="P26" s="8">
        <v>41.380704250000001</v>
      </c>
      <c r="Q26" s="8">
        <v>48.300816479999988</v>
      </c>
      <c r="R26" s="8">
        <f t="shared" si="11"/>
        <v>134.30114596999999</v>
      </c>
      <c r="S26" s="8">
        <f t="shared" si="12"/>
        <v>260.11535813</v>
      </c>
      <c r="T26" s="8">
        <f t="shared" si="13"/>
        <v>523.90886349000004</v>
      </c>
      <c r="U26" s="8"/>
      <c r="V26" s="8"/>
    </row>
    <row r="27" spans="1:22" ht="15" customHeight="1" x14ac:dyDescent="0.3">
      <c r="A27" s="12" t="s">
        <v>41</v>
      </c>
      <c r="B27" s="8">
        <v>81.428615140000019</v>
      </c>
      <c r="C27" s="8">
        <v>44.479106990000005</v>
      </c>
      <c r="D27" s="8">
        <v>44.265103599999996</v>
      </c>
      <c r="E27" s="8">
        <f t="shared" si="7"/>
        <v>170.17282573000003</v>
      </c>
      <c r="F27" s="8">
        <v>64.288254480000006</v>
      </c>
      <c r="G27" s="8">
        <v>59.624520210000007</v>
      </c>
      <c r="H27" s="8">
        <v>68.020160410000003</v>
      </c>
      <c r="I27" s="8">
        <f t="shared" si="8"/>
        <v>191.93293510000001</v>
      </c>
      <c r="J27" s="8">
        <f t="shared" si="9"/>
        <v>362.10576083000001</v>
      </c>
      <c r="K27" s="8">
        <v>58.529667760000002</v>
      </c>
      <c r="L27" s="8">
        <v>60.765685859999998</v>
      </c>
      <c r="M27" s="8">
        <v>56.976303969999996</v>
      </c>
      <c r="N27" s="8">
        <f t="shared" si="10"/>
        <v>176.27165758999999</v>
      </c>
      <c r="O27" s="8">
        <v>66.79544688</v>
      </c>
      <c r="P27" s="8">
        <v>59.925554040000009</v>
      </c>
      <c r="Q27" s="8">
        <v>68.308034719999995</v>
      </c>
      <c r="R27" s="8">
        <f t="shared" si="11"/>
        <v>195.02903564000002</v>
      </c>
      <c r="S27" s="8">
        <f t="shared" si="12"/>
        <v>371.30069322999998</v>
      </c>
      <c r="T27" s="8">
        <f t="shared" si="13"/>
        <v>733.40645405999999</v>
      </c>
      <c r="U27" s="8"/>
      <c r="V27" s="8"/>
    </row>
    <row r="28" spans="1:22" ht="15" customHeight="1" x14ac:dyDescent="0.3">
      <c r="A28" s="12" t="s">
        <v>42</v>
      </c>
      <c r="B28" s="8">
        <v>97.295830980000048</v>
      </c>
      <c r="C28" s="8">
        <v>73.52420711000002</v>
      </c>
      <c r="D28" s="8">
        <v>84.843963040000006</v>
      </c>
      <c r="E28" s="8">
        <f t="shared" si="7"/>
        <v>255.66400113000009</v>
      </c>
      <c r="F28" s="8">
        <v>104.93924953999998</v>
      </c>
      <c r="G28" s="8">
        <v>67.464503770000007</v>
      </c>
      <c r="H28" s="8">
        <v>79.644308080000044</v>
      </c>
      <c r="I28" s="8">
        <f t="shared" si="8"/>
        <v>252.04806139000004</v>
      </c>
      <c r="J28" s="8">
        <f t="shared" si="9"/>
        <v>507.71206252000013</v>
      </c>
      <c r="K28" s="8">
        <v>108.24295157999997</v>
      </c>
      <c r="L28" s="8">
        <v>71.659880129999962</v>
      </c>
      <c r="M28" s="8">
        <v>75.683172859999985</v>
      </c>
      <c r="N28" s="8">
        <f t="shared" si="10"/>
        <v>255.58600456999991</v>
      </c>
      <c r="O28" s="8">
        <v>84.97689397000002</v>
      </c>
      <c r="P28" s="8">
        <v>95.984819829999992</v>
      </c>
      <c r="Q28" s="8">
        <v>117.68621363999993</v>
      </c>
      <c r="R28" s="8">
        <f t="shared" si="11"/>
        <v>298.64792743999993</v>
      </c>
      <c r="S28" s="8">
        <f t="shared" si="12"/>
        <v>554.23393200999988</v>
      </c>
      <c r="T28" s="8">
        <f t="shared" si="13"/>
        <v>1061.94599453</v>
      </c>
      <c r="U28" s="8"/>
      <c r="V28" s="8"/>
    </row>
    <row r="29" spans="1:22" ht="15" customHeight="1" x14ac:dyDescent="0.3">
      <c r="A29" s="12" t="s">
        <v>43</v>
      </c>
      <c r="B29" s="8">
        <v>53.661097709999993</v>
      </c>
      <c r="C29" s="8">
        <v>24.164123399999998</v>
      </c>
      <c r="D29" s="8">
        <v>25.620285600000003</v>
      </c>
      <c r="E29" s="8">
        <f t="shared" si="7"/>
        <v>103.44550670999999</v>
      </c>
      <c r="F29" s="8">
        <v>27.220792530000001</v>
      </c>
      <c r="G29" s="8">
        <v>25.380419190000005</v>
      </c>
      <c r="H29" s="8">
        <v>33.068658540000001</v>
      </c>
      <c r="I29" s="8">
        <f t="shared" si="8"/>
        <v>85.66987026000001</v>
      </c>
      <c r="J29" s="8">
        <f t="shared" si="9"/>
        <v>189.11537697</v>
      </c>
      <c r="K29" s="8">
        <v>32.757019370000002</v>
      </c>
      <c r="L29" s="8">
        <v>32.4878517</v>
      </c>
      <c r="M29" s="8">
        <v>29.675732040000007</v>
      </c>
      <c r="N29" s="8">
        <f t="shared" si="10"/>
        <v>94.920603110000002</v>
      </c>
      <c r="O29" s="8">
        <v>30.095859999999998</v>
      </c>
      <c r="P29" s="8">
        <v>36.996745560000008</v>
      </c>
      <c r="Q29" s="8">
        <v>30.566543679999992</v>
      </c>
      <c r="R29" s="8">
        <f t="shared" si="11"/>
        <v>97.659149240000005</v>
      </c>
      <c r="S29" s="8">
        <f t="shared" si="12"/>
        <v>192.57975235000001</v>
      </c>
      <c r="T29" s="8">
        <f t="shared" si="13"/>
        <v>381.69512931999998</v>
      </c>
      <c r="U29" s="8"/>
      <c r="V29" s="8"/>
    </row>
    <row r="30" spans="1:22" ht="15" customHeight="1" x14ac:dyDescent="0.3">
      <c r="A30" s="12" t="s">
        <v>44</v>
      </c>
      <c r="B30" s="8">
        <v>47.877856719999997</v>
      </c>
      <c r="C30" s="8">
        <v>17.747427219999999</v>
      </c>
      <c r="D30" s="8">
        <v>19.96838326</v>
      </c>
      <c r="E30" s="8">
        <f t="shared" si="7"/>
        <v>85.593667199999999</v>
      </c>
      <c r="F30" s="8">
        <v>40.13770967</v>
      </c>
      <c r="G30" s="8">
        <v>18.167014270000003</v>
      </c>
      <c r="H30" s="8">
        <v>29.402788240000003</v>
      </c>
      <c r="I30" s="8">
        <f t="shared" si="8"/>
        <v>87.707512180000009</v>
      </c>
      <c r="J30" s="8">
        <f t="shared" si="9"/>
        <v>173.30117938000001</v>
      </c>
      <c r="K30" s="8">
        <v>36.090365930000004</v>
      </c>
      <c r="L30" s="8">
        <v>29.477768590000007</v>
      </c>
      <c r="M30" s="8">
        <v>30.578857629999995</v>
      </c>
      <c r="N30" s="8">
        <f t="shared" si="10"/>
        <v>96.146992150000017</v>
      </c>
      <c r="O30" s="8">
        <v>32.131798929999988</v>
      </c>
      <c r="P30" s="8">
        <v>33.188310919999999</v>
      </c>
      <c r="Q30" s="8">
        <v>38.521838280000004</v>
      </c>
      <c r="R30" s="8">
        <f t="shared" si="11"/>
        <v>103.84194812999999</v>
      </c>
      <c r="S30" s="8">
        <f t="shared" si="12"/>
        <v>199.98894028000001</v>
      </c>
      <c r="T30" s="8">
        <f t="shared" si="13"/>
        <v>373.29011966000002</v>
      </c>
      <c r="U30" s="8"/>
      <c r="V30" s="8"/>
    </row>
    <row r="31" spans="1:22" ht="15" customHeight="1" x14ac:dyDescent="0.3">
      <c r="A31" s="12" t="s">
        <v>45</v>
      </c>
      <c r="B31" s="8">
        <v>237.67355794999989</v>
      </c>
      <c r="C31" s="8">
        <v>182.55544424000001</v>
      </c>
      <c r="D31" s="8">
        <v>189.25989758999995</v>
      </c>
      <c r="E31" s="8">
        <f t="shared" si="7"/>
        <v>609.48889977999988</v>
      </c>
      <c r="F31" s="8">
        <v>298.00491295000023</v>
      </c>
      <c r="G31" s="8">
        <v>228.72535922000009</v>
      </c>
      <c r="H31" s="8">
        <v>253.78658940000003</v>
      </c>
      <c r="I31" s="8">
        <f t="shared" si="8"/>
        <v>780.51686157000029</v>
      </c>
      <c r="J31" s="8">
        <f t="shared" si="9"/>
        <v>1390.0057613500003</v>
      </c>
      <c r="K31" s="8">
        <v>233.70977192000018</v>
      </c>
      <c r="L31" s="8">
        <v>254.5962187399999</v>
      </c>
      <c r="M31" s="8">
        <v>207.78485961000007</v>
      </c>
      <c r="N31" s="8">
        <f t="shared" si="10"/>
        <v>696.09085027000015</v>
      </c>
      <c r="O31" s="8">
        <v>284.40912688999992</v>
      </c>
      <c r="P31" s="8">
        <v>294.18627395000004</v>
      </c>
      <c r="Q31" s="8">
        <v>268.77504237000005</v>
      </c>
      <c r="R31" s="8">
        <f t="shared" si="11"/>
        <v>847.37044320999996</v>
      </c>
      <c r="S31" s="8">
        <f t="shared" si="12"/>
        <v>1543.4612934800002</v>
      </c>
      <c r="T31" s="8">
        <f t="shared" si="13"/>
        <v>2933.4670548300005</v>
      </c>
      <c r="U31" s="8"/>
      <c r="V31" s="8"/>
    </row>
    <row r="32" spans="1:22" s="10" customFormat="1" ht="15" customHeight="1" x14ac:dyDescent="0.3">
      <c r="A32" s="3"/>
      <c r="B32" s="11"/>
      <c r="C32" s="11"/>
      <c r="D32" s="11"/>
      <c r="E32" s="11"/>
      <c r="F32" s="11"/>
      <c r="G32" s="11"/>
      <c r="H32" s="11"/>
      <c r="I32" s="11"/>
      <c r="J32" s="11"/>
      <c r="K32" s="11"/>
      <c r="L32" s="11"/>
      <c r="M32" s="11"/>
      <c r="N32" s="11"/>
      <c r="O32" s="11"/>
      <c r="P32" s="11"/>
      <c r="Q32" s="11"/>
      <c r="R32" s="11"/>
      <c r="S32" s="11"/>
      <c r="T32" s="11"/>
      <c r="U32" s="11"/>
      <c r="V32" s="11"/>
    </row>
    <row r="33" spans="1:22" s="10" customFormat="1" ht="15" customHeight="1" x14ac:dyDescent="0.25">
      <c r="A33" s="10" t="s">
        <v>46</v>
      </c>
      <c r="B33" s="11">
        <f>SUM(B34:B37)</f>
        <v>1386.6181018399998</v>
      </c>
      <c r="C33" s="11">
        <f>SUM(C34:C37)</f>
        <v>913.10659710000004</v>
      </c>
      <c r="D33" s="11">
        <f>SUM(D34:D37)</f>
        <v>1027.0731077300002</v>
      </c>
      <c r="E33" s="11">
        <f>SUM(B33:D33)</f>
        <v>3326.7978066700002</v>
      </c>
      <c r="F33" s="11">
        <f>SUM(F34:F37)</f>
        <v>1417.067754109999</v>
      </c>
      <c r="G33" s="11">
        <f>SUM(G34:G37)</f>
        <v>1157.1981119299994</v>
      </c>
      <c r="H33" s="11">
        <f>SUM(H34:H37)</f>
        <v>1102.52968775</v>
      </c>
      <c r="I33" s="11">
        <f>SUM(F33:H33)</f>
        <v>3676.7955537899984</v>
      </c>
      <c r="J33" s="11">
        <f>+E33+I33</f>
        <v>7003.5933604599986</v>
      </c>
      <c r="K33" s="11">
        <f>SUM(K34:K37)</f>
        <v>1248.44226527</v>
      </c>
      <c r="L33" s="11">
        <f>SUM(L34:L37)</f>
        <v>1158.4675552499996</v>
      </c>
      <c r="M33" s="11">
        <f>SUM(M34:M37)</f>
        <v>1020.5688923600002</v>
      </c>
      <c r="N33" s="11">
        <f>SUM(K33:M33)</f>
        <v>3427.4787128799999</v>
      </c>
      <c r="O33" s="11">
        <f>SUM(O34:O37)</f>
        <v>1154.1811174699999</v>
      </c>
      <c r="P33" s="11">
        <f>SUM(P34:P37)</f>
        <v>1336.4009716800001</v>
      </c>
      <c r="Q33" s="11">
        <f>SUM(Q34:Q37)</f>
        <v>1088.5016016500006</v>
      </c>
      <c r="R33" s="11">
        <f>SUM(O33:Q33)</f>
        <v>3579.0836908000001</v>
      </c>
      <c r="S33" s="11">
        <f>+N33+R33</f>
        <v>7006.56240368</v>
      </c>
      <c r="T33" s="11">
        <f>+J33+S33</f>
        <v>14010.15576414</v>
      </c>
      <c r="U33" s="11"/>
      <c r="V33" s="11"/>
    </row>
    <row r="34" spans="1:22" ht="15" customHeight="1" x14ac:dyDescent="0.3">
      <c r="A34" s="12" t="s">
        <v>47</v>
      </c>
      <c r="B34" s="8">
        <v>223.50077019000008</v>
      </c>
      <c r="C34" s="8">
        <v>118.77450284000003</v>
      </c>
      <c r="D34" s="8">
        <v>132.72492025000003</v>
      </c>
      <c r="E34" s="8">
        <f>SUM(B34:D34)</f>
        <v>475.00019328000013</v>
      </c>
      <c r="F34" s="8">
        <v>196.34956786999985</v>
      </c>
      <c r="G34" s="8">
        <v>130.13944177000002</v>
      </c>
      <c r="H34" s="8">
        <v>137.00669042999994</v>
      </c>
      <c r="I34" s="8">
        <f>SUM(F34:H34)</f>
        <v>463.49570006999977</v>
      </c>
      <c r="J34" s="8">
        <f>+E34+I34</f>
        <v>938.49589334999996</v>
      </c>
      <c r="K34" s="8">
        <v>157.25726598000006</v>
      </c>
      <c r="L34" s="8">
        <v>121.65225126000001</v>
      </c>
      <c r="M34" s="8">
        <v>127.97232925000003</v>
      </c>
      <c r="N34" s="8">
        <f>SUM(K34:M34)</f>
        <v>406.8818464900001</v>
      </c>
      <c r="O34" s="8">
        <v>145.31206276</v>
      </c>
      <c r="P34" s="8">
        <v>145.53828992000007</v>
      </c>
      <c r="Q34" s="8">
        <v>173.03091795999995</v>
      </c>
      <c r="R34" s="8">
        <f>SUM(O34:Q34)</f>
        <v>463.88127064000003</v>
      </c>
      <c r="S34" s="8">
        <f>+N34+R34</f>
        <v>870.76311713000018</v>
      </c>
      <c r="T34" s="8">
        <f>+J34+S34</f>
        <v>1809.2590104800001</v>
      </c>
      <c r="U34" s="8"/>
      <c r="V34" s="8"/>
    </row>
    <row r="35" spans="1:22" ht="15" customHeight="1" x14ac:dyDescent="0.3">
      <c r="A35" s="12" t="s">
        <v>48</v>
      </c>
      <c r="B35" s="8">
        <v>242.67160205000005</v>
      </c>
      <c r="C35" s="8">
        <v>122.25835011999995</v>
      </c>
      <c r="D35" s="8">
        <v>134.76897767999998</v>
      </c>
      <c r="E35" s="8">
        <f>SUM(B35:D35)</f>
        <v>499.69892984999996</v>
      </c>
      <c r="F35" s="8">
        <v>199.79563159000003</v>
      </c>
      <c r="G35" s="8">
        <v>155.91402735999995</v>
      </c>
      <c r="H35" s="8">
        <v>163.94654223999999</v>
      </c>
      <c r="I35" s="8">
        <f>SUM(F35:H35)</f>
        <v>519.65620118999993</v>
      </c>
      <c r="J35" s="8">
        <f>+E35+I35</f>
        <v>1019.3551310399998</v>
      </c>
      <c r="K35" s="8">
        <v>181.24143833999995</v>
      </c>
      <c r="L35" s="8">
        <v>163.37935221999996</v>
      </c>
      <c r="M35" s="8">
        <v>149.22819293999996</v>
      </c>
      <c r="N35" s="8">
        <f>SUM(K35:M35)</f>
        <v>493.84898349999992</v>
      </c>
      <c r="O35" s="8">
        <v>161.72283529999993</v>
      </c>
      <c r="P35" s="8">
        <v>155.20314490000001</v>
      </c>
      <c r="Q35" s="8">
        <v>176.4300400500002</v>
      </c>
      <c r="R35" s="8">
        <f>SUM(O35:Q35)</f>
        <v>493.35602025000014</v>
      </c>
      <c r="S35" s="8">
        <f>+N35+R35</f>
        <v>987.20500375000006</v>
      </c>
      <c r="T35" s="8">
        <f>+J35+S35</f>
        <v>2006.5601347899999</v>
      </c>
      <c r="U35" s="8"/>
      <c r="V35" s="8"/>
    </row>
    <row r="36" spans="1:22" ht="15" customHeight="1" x14ac:dyDescent="0.3">
      <c r="A36" s="12" t="s">
        <v>49</v>
      </c>
      <c r="B36" s="8">
        <v>283.70706240000004</v>
      </c>
      <c r="C36" s="8">
        <v>177.23108473999994</v>
      </c>
      <c r="D36" s="8">
        <v>200.62071454000002</v>
      </c>
      <c r="E36" s="8">
        <f>SUM(B36:D36)</f>
        <v>661.55886167999995</v>
      </c>
      <c r="F36" s="8">
        <v>287.82525222999965</v>
      </c>
      <c r="G36" s="8">
        <v>256.52031216999978</v>
      </c>
      <c r="H36" s="8">
        <v>228.12282882000011</v>
      </c>
      <c r="I36" s="8">
        <f>SUM(F36:H36)</f>
        <v>772.46839321999948</v>
      </c>
      <c r="J36" s="8">
        <f>+E36+I36</f>
        <v>1434.0272548999994</v>
      </c>
      <c r="K36" s="8">
        <v>228.00150748000001</v>
      </c>
      <c r="L36" s="8">
        <v>246.75939880999982</v>
      </c>
      <c r="M36" s="8">
        <v>228.48530158000017</v>
      </c>
      <c r="N36" s="8">
        <f>SUM(K36:M36)</f>
        <v>703.24620787000003</v>
      </c>
      <c r="O36" s="8">
        <v>256.69075042999987</v>
      </c>
      <c r="P36" s="8">
        <v>295.90117764000013</v>
      </c>
      <c r="Q36" s="8">
        <v>183.08512426000001</v>
      </c>
      <c r="R36" s="8">
        <f>SUM(O36:Q36)</f>
        <v>735.67705233000004</v>
      </c>
      <c r="S36" s="8">
        <f>+N36+R36</f>
        <v>1438.9232602000002</v>
      </c>
      <c r="T36" s="8">
        <f>+J36+S36</f>
        <v>2872.9505150999994</v>
      </c>
      <c r="U36" s="8"/>
      <c r="V36" s="8"/>
    </row>
    <row r="37" spans="1:22" ht="15" customHeight="1" x14ac:dyDescent="0.3">
      <c r="A37" s="12" t="s">
        <v>50</v>
      </c>
      <c r="B37" s="8">
        <v>636.73866719999955</v>
      </c>
      <c r="C37" s="8">
        <v>494.84265940000006</v>
      </c>
      <c r="D37" s="8">
        <v>558.95849526000006</v>
      </c>
      <c r="E37" s="8">
        <f>SUM(B37:D37)</f>
        <v>1690.5398218599996</v>
      </c>
      <c r="F37" s="8">
        <v>733.09730241999966</v>
      </c>
      <c r="G37" s="8">
        <v>614.6243306299998</v>
      </c>
      <c r="H37" s="8">
        <v>573.45362625999996</v>
      </c>
      <c r="I37" s="8">
        <f>SUM(F37:H37)</f>
        <v>1921.1752593099995</v>
      </c>
      <c r="J37" s="8">
        <f>+E37+I37</f>
        <v>3611.7150811699994</v>
      </c>
      <c r="K37" s="8">
        <v>681.94205347000002</v>
      </c>
      <c r="L37" s="8">
        <v>626.67655295999975</v>
      </c>
      <c r="M37" s="8">
        <v>514.88306858999999</v>
      </c>
      <c r="N37" s="8">
        <f>SUM(K37:M37)</f>
        <v>1823.5016750199998</v>
      </c>
      <c r="O37" s="8">
        <v>590.45546898000009</v>
      </c>
      <c r="P37" s="8">
        <v>739.75835921999999</v>
      </c>
      <c r="Q37" s="8">
        <v>555.9555193800004</v>
      </c>
      <c r="R37" s="8">
        <f>SUM(O37:Q37)</f>
        <v>1886.1693475800005</v>
      </c>
      <c r="S37" s="8">
        <f>+N37+R37</f>
        <v>3709.6710226000005</v>
      </c>
      <c r="T37" s="8">
        <f>+J37+S37</f>
        <v>7321.3861037699999</v>
      </c>
      <c r="U37" s="8"/>
      <c r="V37" s="8"/>
    </row>
    <row r="38" spans="1:22" s="10" customFormat="1" ht="15" customHeight="1" x14ac:dyDescent="0.3">
      <c r="A38" s="3"/>
      <c r="B38" s="11"/>
      <c r="C38" s="11"/>
      <c r="D38" s="11"/>
      <c r="E38" s="11"/>
      <c r="F38" s="11"/>
      <c r="G38" s="11"/>
      <c r="H38" s="11"/>
      <c r="I38" s="11"/>
      <c r="J38" s="11"/>
      <c r="K38" s="11"/>
      <c r="L38" s="11"/>
      <c r="M38" s="11"/>
      <c r="N38" s="11"/>
      <c r="O38" s="11"/>
      <c r="P38" s="11"/>
      <c r="Q38" s="11"/>
      <c r="R38" s="11"/>
      <c r="S38" s="11"/>
      <c r="T38" s="11"/>
      <c r="U38" s="11"/>
      <c r="V38" s="11"/>
    </row>
    <row r="39" spans="1:22" s="10" customFormat="1" ht="15" customHeight="1" x14ac:dyDescent="0.25">
      <c r="A39" s="10" t="s">
        <v>51</v>
      </c>
      <c r="B39" s="11">
        <f>SUM(B40:B43)</f>
        <v>926.90959186000009</v>
      </c>
      <c r="C39" s="11">
        <f>SUM(C40:C43)</f>
        <v>621.5906712200001</v>
      </c>
      <c r="D39" s="11">
        <f>SUM(D40:D43)</f>
        <v>618.62832646999993</v>
      </c>
      <c r="E39" s="11">
        <f>SUM(B39:D39)</f>
        <v>2167.12858955</v>
      </c>
      <c r="F39" s="11">
        <f>SUM(F40:F43)</f>
        <v>922.88255639000022</v>
      </c>
      <c r="G39" s="11">
        <f>SUM(G40:G43)</f>
        <v>697.64522903999989</v>
      </c>
      <c r="H39" s="11">
        <f>SUM(H40:H43)</f>
        <v>716.44169101000034</v>
      </c>
      <c r="I39" s="11">
        <f>SUM(F39:H39)</f>
        <v>2336.9694764400006</v>
      </c>
      <c r="J39" s="11">
        <f>+E39+I39</f>
        <v>4504.0980659900006</v>
      </c>
      <c r="K39" s="11">
        <f>SUM(K40:K43)</f>
        <v>798.74437916999989</v>
      </c>
      <c r="L39" s="11">
        <f>SUM(L40:L43)</f>
        <v>787.78583413000035</v>
      </c>
      <c r="M39" s="11">
        <f>SUM(M40:M43)</f>
        <v>675.85996670999987</v>
      </c>
      <c r="N39" s="11">
        <f>SUM(K39:M39)</f>
        <v>2262.3901800100002</v>
      </c>
      <c r="O39" s="11">
        <f>SUM(O40:O43)</f>
        <v>798.29211573999999</v>
      </c>
      <c r="P39" s="11">
        <f>SUM(P40:P43)</f>
        <v>762.31178410999985</v>
      </c>
      <c r="Q39" s="11">
        <f>SUM(Q40:Q43)</f>
        <v>751.12931247999995</v>
      </c>
      <c r="R39" s="11">
        <f>SUM(O39:Q39)</f>
        <v>2311.7332123299998</v>
      </c>
      <c r="S39" s="11">
        <f>+N39+R39</f>
        <v>4574.1233923399996</v>
      </c>
      <c r="T39" s="11">
        <f>+J39+S39</f>
        <v>9078.221458330001</v>
      </c>
      <c r="U39" s="11"/>
      <c r="V39" s="11"/>
    </row>
    <row r="40" spans="1:22" ht="15" customHeight="1" x14ac:dyDescent="0.3">
      <c r="A40" s="12" t="s">
        <v>52</v>
      </c>
      <c r="B40" s="8">
        <v>327.27049727000008</v>
      </c>
      <c r="C40" s="8">
        <v>218.85423654000007</v>
      </c>
      <c r="D40" s="8">
        <v>234.60579435999992</v>
      </c>
      <c r="E40" s="8">
        <f>SUM(B40:D40)</f>
        <v>780.73052817000007</v>
      </c>
      <c r="F40" s="8">
        <v>297.19391988000012</v>
      </c>
      <c r="G40" s="8">
        <v>271.87492261</v>
      </c>
      <c r="H40" s="8">
        <v>272.92374920999993</v>
      </c>
      <c r="I40" s="8">
        <f>SUM(F40:H40)</f>
        <v>841.99259170000005</v>
      </c>
      <c r="J40" s="8">
        <f>+E40+I40</f>
        <v>1622.7231198700001</v>
      </c>
      <c r="K40" s="8">
        <v>309.50284831000005</v>
      </c>
      <c r="L40" s="8">
        <v>313.49086625000018</v>
      </c>
      <c r="M40" s="8">
        <v>250.56055451999995</v>
      </c>
      <c r="N40" s="8">
        <f>SUM(K40:M40)</f>
        <v>873.55426908000015</v>
      </c>
      <c r="O40" s="8">
        <v>332.2991020799999</v>
      </c>
      <c r="P40" s="8">
        <v>287.38927147999999</v>
      </c>
      <c r="Q40" s="8">
        <v>302.80522386000001</v>
      </c>
      <c r="R40" s="8">
        <f>SUM(O40:Q40)</f>
        <v>922.49359742000001</v>
      </c>
      <c r="S40" s="8">
        <f>+N40+R40</f>
        <v>1796.0478665000001</v>
      </c>
      <c r="T40" s="8">
        <f>+J40+S40</f>
        <v>3418.7709863700002</v>
      </c>
      <c r="U40" s="8"/>
      <c r="V40" s="8"/>
    </row>
    <row r="41" spans="1:22" ht="15" customHeight="1" x14ac:dyDescent="0.3">
      <c r="A41" s="12" t="s">
        <v>53</v>
      </c>
      <c r="B41" s="8">
        <v>426.86014131999985</v>
      </c>
      <c r="C41" s="8">
        <v>299.85026604000007</v>
      </c>
      <c r="D41" s="8">
        <v>278.78175513000002</v>
      </c>
      <c r="E41" s="8">
        <f>SUM(B41:D41)</f>
        <v>1005.4921624899998</v>
      </c>
      <c r="F41" s="8">
        <v>475.16086725000014</v>
      </c>
      <c r="G41" s="8">
        <v>323.19559277999997</v>
      </c>
      <c r="H41" s="8">
        <v>322.25086714000037</v>
      </c>
      <c r="I41" s="8">
        <f>SUM(F41:H41)</f>
        <v>1120.6073271700004</v>
      </c>
      <c r="J41" s="8">
        <f>+E41+I41</f>
        <v>2126.0994896600005</v>
      </c>
      <c r="K41" s="8">
        <v>357.13023212999985</v>
      </c>
      <c r="L41" s="8">
        <v>343.66287083000014</v>
      </c>
      <c r="M41" s="8">
        <v>320.28752579999997</v>
      </c>
      <c r="N41" s="8">
        <f>SUM(K41:M41)</f>
        <v>1021.0806287599999</v>
      </c>
      <c r="O41" s="8">
        <v>342.97886878000003</v>
      </c>
      <c r="P41" s="8">
        <v>348.33406523999997</v>
      </c>
      <c r="Q41" s="8">
        <v>320.91625793999992</v>
      </c>
      <c r="R41" s="8">
        <f>SUM(O41:Q41)</f>
        <v>1012.22919196</v>
      </c>
      <c r="S41" s="8">
        <f>+N41+R41</f>
        <v>2033.3098207199998</v>
      </c>
      <c r="T41" s="8">
        <f>+J41+S41</f>
        <v>4159.4093103800005</v>
      </c>
      <c r="U41" s="8"/>
      <c r="V41" s="8"/>
    </row>
    <row r="42" spans="1:22" ht="15" customHeight="1" x14ac:dyDescent="0.3">
      <c r="A42" s="12" t="s">
        <v>54</v>
      </c>
      <c r="B42" s="8">
        <v>127.6386136400001</v>
      </c>
      <c r="C42" s="8">
        <v>74.391762849999949</v>
      </c>
      <c r="D42" s="8">
        <v>79.589227729999962</v>
      </c>
      <c r="E42" s="8">
        <f>SUM(B42:D42)</f>
        <v>281.61960421999999</v>
      </c>
      <c r="F42" s="8">
        <v>112.64770654000002</v>
      </c>
      <c r="G42" s="8">
        <v>84.998095169999985</v>
      </c>
      <c r="H42" s="8">
        <v>84.907333200000025</v>
      </c>
      <c r="I42" s="8">
        <f>SUM(F42:H42)</f>
        <v>282.55313491000004</v>
      </c>
      <c r="J42" s="8">
        <f>+E42+I42</f>
        <v>564.17273913000008</v>
      </c>
      <c r="K42" s="8">
        <v>102.65445139999996</v>
      </c>
      <c r="L42" s="8">
        <v>98.591909159999958</v>
      </c>
      <c r="M42" s="8">
        <v>79.261353310000004</v>
      </c>
      <c r="N42" s="8">
        <f>SUM(K42:M42)</f>
        <v>280.50771386999992</v>
      </c>
      <c r="O42" s="8">
        <v>95.896825510000042</v>
      </c>
      <c r="P42" s="8">
        <v>103.89380040999994</v>
      </c>
      <c r="Q42" s="8">
        <v>91.506823929999982</v>
      </c>
      <c r="R42" s="8">
        <f>SUM(O42:Q42)</f>
        <v>291.29744984999996</v>
      </c>
      <c r="S42" s="8">
        <f>+N42+R42</f>
        <v>571.80516371999988</v>
      </c>
      <c r="T42" s="8">
        <f>+J42+S42</f>
        <v>1135.97790285</v>
      </c>
      <c r="U42" s="8"/>
      <c r="V42" s="8"/>
    </row>
    <row r="43" spans="1:22" ht="15" customHeight="1" x14ac:dyDescent="0.3">
      <c r="A43" s="12" t="s">
        <v>55</v>
      </c>
      <c r="B43" s="8">
        <v>45.140339629999993</v>
      </c>
      <c r="C43" s="8">
        <v>28.494405789999995</v>
      </c>
      <c r="D43" s="8">
        <v>25.651549249999999</v>
      </c>
      <c r="E43" s="8">
        <f>SUM(B43:D43)</f>
        <v>99.28629466999999</v>
      </c>
      <c r="F43" s="8">
        <v>37.880062720000005</v>
      </c>
      <c r="G43" s="8">
        <v>17.57661848</v>
      </c>
      <c r="H43" s="8">
        <v>36.359741460000009</v>
      </c>
      <c r="I43" s="8">
        <f>SUM(F43:H43)</f>
        <v>91.816422660000015</v>
      </c>
      <c r="J43" s="8">
        <f>+E43+I43</f>
        <v>191.10271733000002</v>
      </c>
      <c r="K43" s="8">
        <v>29.456847329999999</v>
      </c>
      <c r="L43" s="8">
        <v>32.040187889999999</v>
      </c>
      <c r="M43" s="8">
        <v>25.750533079999997</v>
      </c>
      <c r="N43" s="8">
        <f>SUM(K43:M43)</f>
        <v>87.247568299999998</v>
      </c>
      <c r="O43" s="8">
        <v>27.117319369999997</v>
      </c>
      <c r="P43" s="8">
        <v>22.694646980000002</v>
      </c>
      <c r="Q43" s="8">
        <v>35.901006750000001</v>
      </c>
      <c r="R43" s="8">
        <f>SUM(O43:Q43)</f>
        <v>85.712973099999999</v>
      </c>
      <c r="S43" s="8">
        <f>+N43+R43</f>
        <v>172.96054140000001</v>
      </c>
      <c r="T43" s="8">
        <f>+J43+S43</f>
        <v>364.06325873000003</v>
      </c>
      <c r="U43" s="8"/>
      <c r="V43" s="8"/>
    </row>
    <row r="44" spans="1:22" s="10" customFormat="1" ht="15" customHeight="1" x14ac:dyDescent="0.3">
      <c r="A44" s="3"/>
      <c r="B44" s="11"/>
      <c r="C44" s="11"/>
      <c r="D44" s="11"/>
      <c r="E44" s="11"/>
      <c r="F44" s="11"/>
      <c r="G44" s="11"/>
      <c r="H44" s="11"/>
      <c r="I44" s="11"/>
      <c r="J44" s="11"/>
      <c r="K44" s="11"/>
      <c r="L44" s="11"/>
      <c r="M44" s="11"/>
      <c r="N44" s="11"/>
      <c r="O44" s="11"/>
      <c r="P44" s="11"/>
      <c r="Q44" s="11"/>
      <c r="R44" s="11"/>
      <c r="S44" s="11"/>
      <c r="T44" s="11"/>
      <c r="U44" s="11"/>
      <c r="V44" s="11"/>
    </row>
    <row r="45" spans="1:22" s="10" customFormat="1" ht="15" customHeight="1" x14ac:dyDescent="0.25">
      <c r="A45" s="10" t="s">
        <v>56</v>
      </c>
      <c r="B45" s="11">
        <f>SUM(B46:B54)</f>
        <v>4424.8799111900007</v>
      </c>
      <c r="C45" s="11">
        <f>SUM(C46:C54)</f>
        <v>3128.4362443700015</v>
      </c>
      <c r="D45" s="11">
        <f>SUM(D46:D54)</f>
        <v>3505.5733499700004</v>
      </c>
      <c r="E45" s="11">
        <f t="shared" ref="E45:E54" si="14">SUM(B45:D45)</f>
        <v>11058.889505530002</v>
      </c>
      <c r="F45" s="11">
        <f>SUM(F46:F54)</f>
        <v>5271.5721728100007</v>
      </c>
      <c r="G45" s="11">
        <f>SUM(G46:G54)</f>
        <v>4865.1584119099989</v>
      </c>
      <c r="H45" s="11">
        <f>SUM(H46:H54)</f>
        <v>3769.8900181299996</v>
      </c>
      <c r="I45" s="11">
        <f t="shared" ref="I45:I54" si="15">SUM(F45:H45)</f>
        <v>13906.62060285</v>
      </c>
      <c r="J45" s="11">
        <f t="shared" ref="J45:J54" si="16">+E45+I45</f>
        <v>24965.510108380004</v>
      </c>
      <c r="K45" s="11">
        <f>SUM(K46:K54)</f>
        <v>4130.1900265300001</v>
      </c>
      <c r="L45" s="11">
        <f>SUM(L46:L54)</f>
        <v>4931.2491747100039</v>
      </c>
      <c r="M45" s="11">
        <f>SUM(M46:M54)</f>
        <v>3404.12429595</v>
      </c>
      <c r="N45" s="11">
        <f t="shared" ref="N45:N54" si="17">SUM(K45:M45)</f>
        <v>12465.563497190004</v>
      </c>
      <c r="O45" s="11">
        <f>SUM(O46:O54)</f>
        <v>3967.0862141900006</v>
      </c>
      <c r="P45" s="11">
        <f>SUM(P46:P54)</f>
        <v>5402.9916762399998</v>
      </c>
      <c r="Q45" s="11">
        <f>SUM(Q46:Q54)</f>
        <v>4144.4818965799996</v>
      </c>
      <c r="R45" s="11">
        <f t="shared" ref="R45:R54" si="18">SUM(O45:Q45)</f>
        <v>13514.559787009999</v>
      </c>
      <c r="S45" s="11">
        <f t="shared" ref="S45:S54" si="19">+N45+R45</f>
        <v>25980.123284200003</v>
      </c>
      <c r="T45" s="11">
        <f t="shared" ref="T45:T54" si="20">+J45+S45</f>
        <v>50945.633392580006</v>
      </c>
      <c r="U45" s="11"/>
      <c r="V45" s="11"/>
    </row>
    <row r="46" spans="1:22" ht="15" customHeight="1" x14ac:dyDescent="0.3">
      <c r="A46" s="12" t="s">
        <v>57</v>
      </c>
      <c r="B46" s="8">
        <v>50.123934760000004</v>
      </c>
      <c r="C46" s="8">
        <v>21.280566630000003</v>
      </c>
      <c r="D46" s="8">
        <v>28.265758090000006</v>
      </c>
      <c r="E46" s="8">
        <f t="shared" si="14"/>
        <v>99.670259480000013</v>
      </c>
      <c r="F46" s="8">
        <v>43.039207370000007</v>
      </c>
      <c r="G46" s="8">
        <v>36.747740400000005</v>
      </c>
      <c r="H46" s="8">
        <v>25.699019420000006</v>
      </c>
      <c r="I46" s="8">
        <f t="shared" si="15"/>
        <v>105.48596719000003</v>
      </c>
      <c r="J46" s="8">
        <f t="shared" si="16"/>
        <v>205.15622667000002</v>
      </c>
      <c r="K46" s="8">
        <v>29.04321925</v>
      </c>
      <c r="L46" s="8">
        <v>32.773492060000002</v>
      </c>
      <c r="M46" s="8">
        <v>32.266648050000008</v>
      </c>
      <c r="N46" s="8">
        <f t="shared" si="17"/>
        <v>94.083359360000003</v>
      </c>
      <c r="O46" s="8">
        <v>34.327878699999992</v>
      </c>
      <c r="P46" s="8">
        <v>40.195987499999994</v>
      </c>
      <c r="Q46" s="8">
        <v>30.236431059999994</v>
      </c>
      <c r="R46" s="8">
        <f t="shared" si="18"/>
        <v>104.76029725999999</v>
      </c>
      <c r="S46" s="8">
        <f t="shared" si="19"/>
        <v>198.84365661999999</v>
      </c>
      <c r="T46" s="8">
        <f t="shared" si="20"/>
        <v>403.99988329000001</v>
      </c>
      <c r="U46" s="8"/>
      <c r="V46" s="8"/>
    </row>
    <row r="47" spans="1:22" ht="15" customHeight="1" x14ac:dyDescent="0.3">
      <c r="A47" s="12" t="s">
        <v>58</v>
      </c>
      <c r="B47" s="8">
        <v>318.41873416000016</v>
      </c>
      <c r="C47" s="8">
        <v>293.45735484000005</v>
      </c>
      <c r="D47" s="8">
        <v>277.74380981000019</v>
      </c>
      <c r="E47" s="8">
        <f t="shared" si="14"/>
        <v>889.61989881000045</v>
      </c>
      <c r="F47" s="8">
        <v>393.15892505000028</v>
      </c>
      <c r="G47" s="8">
        <v>276.16880550999991</v>
      </c>
      <c r="H47" s="8">
        <v>334.54781050000014</v>
      </c>
      <c r="I47" s="8">
        <f t="shared" si="15"/>
        <v>1003.8755410600004</v>
      </c>
      <c r="J47" s="8">
        <f t="shared" si="16"/>
        <v>1893.4954398700008</v>
      </c>
      <c r="K47" s="8">
        <v>342.32428103000007</v>
      </c>
      <c r="L47" s="8">
        <v>322.52573027000017</v>
      </c>
      <c r="M47" s="8">
        <v>278.60308609999987</v>
      </c>
      <c r="N47" s="8">
        <f t="shared" si="17"/>
        <v>943.45309740000016</v>
      </c>
      <c r="O47" s="8">
        <v>296.10010864000014</v>
      </c>
      <c r="P47" s="8">
        <v>366.57073078999991</v>
      </c>
      <c r="Q47" s="8">
        <v>347.98951155999964</v>
      </c>
      <c r="R47" s="8">
        <f t="shared" si="18"/>
        <v>1010.6603509899998</v>
      </c>
      <c r="S47" s="8">
        <f t="shared" si="19"/>
        <v>1954.11344839</v>
      </c>
      <c r="T47" s="8">
        <f t="shared" si="20"/>
        <v>3847.6088882600006</v>
      </c>
      <c r="U47" s="8"/>
      <c r="V47" s="8"/>
    </row>
    <row r="48" spans="1:22" ht="15" customHeight="1" x14ac:dyDescent="0.3">
      <c r="A48" s="12" t="s">
        <v>59</v>
      </c>
      <c r="B48" s="8">
        <v>1196.0268119200007</v>
      </c>
      <c r="C48" s="8">
        <v>851.83096878000049</v>
      </c>
      <c r="D48" s="8">
        <v>1178.7763245199994</v>
      </c>
      <c r="E48" s="8">
        <f t="shared" si="14"/>
        <v>3226.6341052200005</v>
      </c>
      <c r="F48" s="8">
        <v>1302.8545728700001</v>
      </c>
      <c r="G48" s="8">
        <v>1002.5852864799995</v>
      </c>
      <c r="H48" s="8">
        <v>1167.5220992899992</v>
      </c>
      <c r="I48" s="8">
        <f t="shared" si="15"/>
        <v>3472.9619586399986</v>
      </c>
      <c r="J48" s="8">
        <f t="shared" si="16"/>
        <v>6699.596063859999</v>
      </c>
      <c r="K48" s="8">
        <v>1162.8103605900003</v>
      </c>
      <c r="L48" s="8">
        <v>1030.9706707900009</v>
      </c>
      <c r="M48" s="8">
        <v>931.52879829000028</v>
      </c>
      <c r="N48" s="8">
        <f t="shared" si="17"/>
        <v>3125.3098296700014</v>
      </c>
      <c r="O48" s="8">
        <v>1081.9784158900002</v>
      </c>
      <c r="P48" s="8">
        <v>1209.5035845699995</v>
      </c>
      <c r="Q48" s="8">
        <v>1126.0970484799996</v>
      </c>
      <c r="R48" s="8">
        <f t="shared" si="18"/>
        <v>3417.5790489399992</v>
      </c>
      <c r="S48" s="8">
        <f t="shared" si="19"/>
        <v>6542.8888786100006</v>
      </c>
      <c r="T48" s="8">
        <f t="shared" si="20"/>
        <v>13242.484942470001</v>
      </c>
      <c r="U48" s="8"/>
      <c r="V48" s="8"/>
    </row>
    <row r="49" spans="1:22" ht="15" customHeight="1" x14ac:dyDescent="0.3">
      <c r="A49" s="12" t="s">
        <v>60</v>
      </c>
      <c r="B49" s="8">
        <v>495.8710891999998</v>
      </c>
      <c r="C49" s="8">
        <v>336.72755877999975</v>
      </c>
      <c r="D49" s="8">
        <v>329.86030061000002</v>
      </c>
      <c r="E49" s="8">
        <f t="shared" si="14"/>
        <v>1162.4589485899996</v>
      </c>
      <c r="F49" s="8">
        <v>468.18232681999979</v>
      </c>
      <c r="G49" s="8">
        <v>418.13289253000016</v>
      </c>
      <c r="H49" s="8">
        <v>385.9870457400001</v>
      </c>
      <c r="I49" s="8">
        <f t="shared" si="15"/>
        <v>1272.3022650900002</v>
      </c>
      <c r="J49" s="8">
        <f t="shared" si="16"/>
        <v>2434.7612136799999</v>
      </c>
      <c r="K49" s="8">
        <v>493.50717858999997</v>
      </c>
      <c r="L49" s="8">
        <v>486.65396464999998</v>
      </c>
      <c r="M49" s="8">
        <v>379.07507716000003</v>
      </c>
      <c r="N49" s="8">
        <f t="shared" si="17"/>
        <v>1359.2362204000001</v>
      </c>
      <c r="O49" s="8">
        <v>451.52301509000006</v>
      </c>
      <c r="P49" s="8">
        <v>511.22752532000004</v>
      </c>
      <c r="Q49" s="8">
        <v>406.15454265000017</v>
      </c>
      <c r="R49" s="8">
        <f t="shared" si="18"/>
        <v>1368.9050830600004</v>
      </c>
      <c r="S49" s="8">
        <f t="shared" si="19"/>
        <v>2728.1413034600005</v>
      </c>
      <c r="T49" s="8">
        <f t="shared" si="20"/>
        <v>5162.9025171400008</v>
      </c>
      <c r="U49" s="8"/>
      <c r="V49" s="8"/>
    </row>
    <row r="50" spans="1:22" ht="18" customHeight="1" x14ac:dyDescent="0.3">
      <c r="A50" s="12" t="s">
        <v>61</v>
      </c>
      <c r="B50" s="8">
        <v>1053.80562977</v>
      </c>
      <c r="C50" s="8">
        <v>682.42979027000069</v>
      </c>
      <c r="D50" s="8">
        <v>767.16207045000044</v>
      </c>
      <c r="E50" s="8">
        <f t="shared" si="14"/>
        <v>2503.397490490001</v>
      </c>
      <c r="F50" s="8">
        <v>1384.5422182700004</v>
      </c>
      <c r="G50" s="8">
        <v>1452.7903486</v>
      </c>
      <c r="H50" s="8">
        <v>866.5227599399999</v>
      </c>
      <c r="I50" s="8">
        <f t="shared" si="15"/>
        <v>3703.8553268100004</v>
      </c>
      <c r="J50" s="8">
        <f t="shared" si="16"/>
        <v>6207.252817300001</v>
      </c>
      <c r="K50" s="8">
        <v>1005.2066050300004</v>
      </c>
      <c r="L50" s="8">
        <v>1411.9923486400003</v>
      </c>
      <c r="M50" s="8">
        <v>799.07888619000005</v>
      </c>
      <c r="N50" s="8">
        <f t="shared" si="17"/>
        <v>3216.2778398600008</v>
      </c>
      <c r="O50" s="8">
        <v>886.53561484000011</v>
      </c>
      <c r="P50" s="8">
        <v>1477.2245029799992</v>
      </c>
      <c r="Q50" s="8">
        <v>977.3552311200001</v>
      </c>
      <c r="R50" s="8">
        <f t="shared" si="18"/>
        <v>3341.1153489399994</v>
      </c>
      <c r="S50" s="8">
        <f t="shared" si="19"/>
        <v>6557.3931888000006</v>
      </c>
      <c r="T50" s="8">
        <f t="shared" si="20"/>
        <v>12764.646006100002</v>
      </c>
      <c r="U50" s="8"/>
      <c r="V50" s="8"/>
    </row>
    <row r="51" spans="1:22" ht="15" customHeight="1" x14ac:dyDescent="0.3">
      <c r="A51" s="12" t="s">
        <v>62</v>
      </c>
      <c r="B51" s="8">
        <v>380.81077779000009</v>
      </c>
      <c r="C51" s="8">
        <v>233.65820564000006</v>
      </c>
      <c r="D51" s="8">
        <v>266.53702178999993</v>
      </c>
      <c r="E51" s="8">
        <f t="shared" si="14"/>
        <v>881.00600522000013</v>
      </c>
      <c r="F51" s="8">
        <v>370.85054745999992</v>
      </c>
      <c r="G51" s="8">
        <v>342.78612494000004</v>
      </c>
      <c r="H51" s="8">
        <v>306.28925818999994</v>
      </c>
      <c r="I51" s="8">
        <f t="shared" si="15"/>
        <v>1019.9259305899999</v>
      </c>
      <c r="J51" s="8">
        <f t="shared" si="16"/>
        <v>1900.9319358100001</v>
      </c>
      <c r="K51" s="8">
        <v>306.64627067000004</v>
      </c>
      <c r="L51" s="8">
        <v>351.08193509000012</v>
      </c>
      <c r="M51" s="8">
        <v>243.84394397</v>
      </c>
      <c r="N51" s="8">
        <f t="shared" si="17"/>
        <v>901.57214973000009</v>
      </c>
      <c r="O51" s="8">
        <v>303.49378630000024</v>
      </c>
      <c r="P51" s="8">
        <v>328.44327348000013</v>
      </c>
      <c r="Q51" s="8">
        <v>339.07927847999997</v>
      </c>
      <c r="R51" s="8">
        <f t="shared" si="18"/>
        <v>971.01633826000034</v>
      </c>
      <c r="S51" s="8">
        <f t="shared" si="19"/>
        <v>1872.5884879900004</v>
      </c>
      <c r="T51" s="8">
        <f t="shared" si="20"/>
        <v>3773.5204238000006</v>
      </c>
      <c r="U51" s="8"/>
      <c r="V51" s="8"/>
    </row>
    <row r="52" spans="1:22" ht="18" customHeight="1" x14ac:dyDescent="0.3">
      <c r="A52" s="12" t="s">
        <v>63</v>
      </c>
      <c r="B52" s="8">
        <v>173.15900984000015</v>
      </c>
      <c r="C52" s="8">
        <v>159.59326517</v>
      </c>
      <c r="D52" s="8">
        <v>113.96332060999998</v>
      </c>
      <c r="E52" s="8">
        <f t="shared" si="14"/>
        <v>446.71559562000016</v>
      </c>
      <c r="F52" s="8">
        <v>243.30708492000016</v>
      </c>
      <c r="G52" s="8">
        <v>178.51483751000012</v>
      </c>
      <c r="H52" s="8">
        <v>132.70035907999986</v>
      </c>
      <c r="I52" s="8">
        <f t="shared" si="15"/>
        <v>554.5222815100002</v>
      </c>
      <c r="J52" s="8">
        <f t="shared" si="16"/>
        <v>1001.2378771300004</v>
      </c>
      <c r="K52" s="8">
        <v>108.85839476999996</v>
      </c>
      <c r="L52" s="8">
        <v>168.9525411299999</v>
      </c>
      <c r="M52" s="8">
        <v>101.55521383999999</v>
      </c>
      <c r="N52" s="8">
        <f t="shared" si="17"/>
        <v>379.36614973999986</v>
      </c>
      <c r="O52" s="8">
        <v>119.87816491999993</v>
      </c>
      <c r="P52" s="8">
        <v>193.17622915999999</v>
      </c>
      <c r="Q52" s="8">
        <v>183.33375661999986</v>
      </c>
      <c r="R52" s="8">
        <f t="shared" si="18"/>
        <v>496.38815069999981</v>
      </c>
      <c r="S52" s="8">
        <f t="shared" si="19"/>
        <v>875.75430043999972</v>
      </c>
      <c r="T52" s="8">
        <f t="shared" si="20"/>
        <v>1876.99217757</v>
      </c>
      <c r="U52" s="8"/>
      <c r="V52" s="8"/>
    </row>
    <row r="53" spans="1:22" ht="15" customHeight="1" x14ac:dyDescent="0.3">
      <c r="A53" s="12" t="s">
        <v>64</v>
      </c>
      <c r="B53" s="8">
        <v>571.43251043000009</v>
      </c>
      <c r="C53" s="8">
        <v>425.94519381000003</v>
      </c>
      <c r="D53" s="8">
        <v>406.35988042000042</v>
      </c>
      <c r="E53" s="8">
        <f t="shared" si="14"/>
        <v>1403.7375846600007</v>
      </c>
      <c r="F53" s="8">
        <v>902.61946194000029</v>
      </c>
      <c r="G53" s="8">
        <v>1008.0495355799987</v>
      </c>
      <c r="H53" s="8">
        <v>409.9422620599999</v>
      </c>
      <c r="I53" s="8">
        <f t="shared" si="15"/>
        <v>2320.6112595799991</v>
      </c>
      <c r="J53" s="8">
        <f t="shared" si="16"/>
        <v>3724.3488442399998</v>
      </c>
      <c r="K53" s="8">
        <v>543.13654184999973</v>
      </c>
      <c r="L53" s="8">
        <v>978.93589171000167</v>
      </c>
      <c r="M53" s="8">
        <v>512.21350419999999</v>
      </c>
      <c r="N53" s="8">
        <f t="shared" si="17"/>
        <v>2034.2859377600014</v>
      </c>
      <c r="O53" s="8">
        <v>636.18821281999953</v>
      </c>
      <c r="P53" s="8">
        <v>1135.7168731400006</v>
      </c>
      <c r="Q53" s="8">
        <v>574.88676428999975</v>
      </c>
      <c r="R53" s="8">
        <f t="shared" si="18"/>
        <v>2346.7918502499997</v>
      </c>
      <c r="S53" s="8">
        <f t="shared" si="19"/>
        <v>4381.0777880100013</v>
      </c>
      <c r="T53" s="8">
        <f t="shared" si="20"/>
        <v>8105.4266322500007</v>
      </c>
      <c r="U53" s="8"/>
      <c r="V53" s="8"/>
    </row>
    <row r="54" spans="1:22" ht="15" customHeight="1" x14ac:dyDescent="0.3">
      <c r="A54" s="12" t="s">
        <v>65</v>
      </c>
      <c r="B54" s="8">
        <v>185.23141331999997</v>
      </c>
      <c r="C54" s="8">
        <v>123.51334045</v>
      </c>
      <c r="D54" s="8">
        <v>136.90486367000003</v>
      </c>
      <c r="E54" s="8">
        <f t="shared" si="14"/>
        <v>445.64961744000004</v>
      </c>
      <c r="F54" s="8">
        <v>163.01782811000001</v>
      </c>
      <c r="G54" s="8">
        <v>149.38284036000002</v>
      </c>
      <c r="H54" s="8">
        <v>140.67940390999993</v>
      </c>
      <c r="I54" s="8">
        <f t="shared" si="15"/>
        <v>453.08007237999993</v>
      </c>
      <c r="J54" s="8">
        <f t="shared" si="16"/>
        <v>898.72968981999998</v>
      </c>
      <c r="K54" s="8">
        <v>138.65717475000002</v>
      </c>
      <c r="L54" s="8">
        <v>147.36260037000005</v>
      </c>
      <c r="M54" s="8">
        <v>125.95913814999997</v>
      </c>
      <c r="N54" s="8">
        <f t="shared" si="17"/>
        <v>411.97891327000002</v>
      </c>
      <c r="O54" s="8">
        <v>157.06101699000004</v>
      </c>
      <c r="P54" s="8">
        <v>140.93296929999991</v>
      </c>
      <c r="Q54" s="8">
        <v>159.34933232000012</v>
      </c>
      <c r="R54" s="8">
        <f t="shared" si="18"/>
        <v>457.3433186100001</v>
      </c>
      <c r="S54" s="8">
        <f t="shared" si="19"/>
        <v>869.32223188000012</v>
      </c>
      <c r="T54" s="8">
        <f t="shared" si="20"/>
        <v>1768.0519217000001</v>
      </c>
      <c r="U54" s="8"/>
      <c r="V54" s="8"/>
    </row>
    <row r="55" spans="1:22" s="10" customFormat="1" ht="15" customHeight="1" x14ac:dyDescent="0.3">
      <c r="A55" s="3"/>
      <c r="B55" s="11"/>
      <c r="C55" s="11"/>
      <c r="D55" s="11"/>
      <c r="E55" s="11"/>
      <c r="F55" s="11"/>
      <c r="G55" s="11"/>
      <c r="H55" s="11"/>
      <c r="I55" s="11"/>
      <c r="J55" s="11"/>
      <c r="K55" s="11"/>
      <c r="L55" s="11"/>
      <c r="M55" s="11"/>
      <c r="N55" s="11"/>
      <c r="O55" s="11"/>
      <c r="P55" s="11"/>
      <c r="Q55" s="11"/>
      <c r="R55" s="11"/>
      <c r="S55" s="11"/>
      <c r="T55" s="11"/>
      <c r="U55" s="11"/>
      <c r="V55" s="11"/>
    </row>
    <row r="56" spans="1:22" s="10" customFormat="1" ht="15" customHeight="1" x14ac:dyDescent="0.25">
      <c r="A56" s="10" t="s">
        <v>66</v>
      </c>
      <c r="B56" s="11">
        <f>SUM(B57:B62)</f>
        <v>7120.9652553400001</v>
      </c>
      <c r="C56" s="11">
        <f>SUM(C57:C62)</f>
        <v>4692.2595765999995</v>
      </c>
      <c r="D56" s="11">
        <f>SUM(D57:D62)</f>
        <v>5663.2517972099986</v>
      </c>
      <c r="E56" s="11">
        <f t="shared" ref="E56:E62" si="21">SUM(B56:D56)</f>
        <v>17476.476629149998</v>
      </c>
      <c r="F56" s="11">
        <f>SUM(F57:F62)</f>
        <v>7852.501879090004</v>
      </c>
      <c r="G56" s="11">
        <f>SUM(G57:G62)</f>
        <v>6044.1377670700022</v>
      </c>
      <c r="H56" s="11">
        <f>SUM(H57:H62)</f>
        <v>5833.5301008600045</v>
      </c>
      <c r="I56" s="11">
        <f t="shared" ref="I56:I62" si="22">SUM(F56:H56)</f>
        <v>19730.169747020009</v>
      </c>
      <c r="J56" s="11">
        <f t="shared" ref="J56:J62" si="23">+E56+I56</f>
        <v>37206.646376170007</v>
      </c>
      <c r="K56" s="11">
        <f>SUM(K57:K62)</f>
        <v>6501.6449815599981</v>
      </c>
      <c r="L56" s="11">
        <f>SUM(L57:L62)</f>
        <v>6136.65877843</v>
      </c>
      <c r="M56" s="11">
        <f>SUM(M57:M62)</f>
        <v>4896.3831477800004</v>
      </c>
      <c r="N56" s="11">
        <f t="shared" ref="N56:N62" si="24">SUM(K56:M56)</f>
        <v>17534.686907769999</v>
      </c>
      <c r="O56" s="11">
        <f>SUM(O57:O62)</f>
        <v>6076.2815959300024</v>
      </c>
      <c r="P56" s="11">
        <f>SUM(P57:P62)</f>
        <v>7189.6888563299981</v>
      </c>
      <c r="Q56" s="11">
        <f>SUM(Q57:Q62)</f>
        <v>6069.4335141700003</v>
      </c>
      <c r="R56" s="11">
        <f t="shared" ref="R56:R62" si="25">SUM(O56:Q56)</f>
        <v>19335.40396643</v>
      </c>
      <c r="S56" s="11">
        <f t="shared" ref="S56:S62" si="26">+N56+R56</f>
        <v>36870.090874200003</v>
      </c>
      <c r="T56" s="11">
        <f t="shared" ref="T56:T62" si="27">+J56+S56</f>
        <v>74076.737250370003</v>
      </c>
      <c r="U56" s="11"/>
      <c r="V56" s="11"/>
    </row>
    <row r="57" spans="1:22" ht="15" customHeight="1" x14ac:dyDescent="0.3">
      <c r="A57" s="12" t="s">
        <v>67</v>
      </c>
      <c r="B57" s="8">
        <v>2051.3150631199996</v>
      </c>
      <c r="C57" s="8">
        <v>1013.9995775099997</v>
      </c>
      <c r="D57" s="8">
        <v>1423.0899345799992</v>
      </c>
      <c r="E57" s="8">
        <f t="shared" si="21"/>
        <v>4488.4045752099983</v>
      </c>
      <c r="F57" s="8">
        <v>1573.5489971400011</v>
      </c>
      <c r="G57" s="8">
        <v>1239.9760969000004</v>
      </c>
      <c r="H57" s="8">
        <v>1333.1710372900004</v>
      </c>
      <c r="I57" s="8">
        <f t="shared" si="22"/>
        <v>4146.6961313300017</v>
      </c>
      <c r="J57" s="8">
        <f t="shared" si="23"/>
        <v>8635.1007065400008</v>
      </c>
      <c r="K57" s="8">
        <v>1804.4377690199983</v>
      </c>
      <c r="L57" s="8">
        <v>1438.9036710699995</v>
      </c>
      <c r="M57" s="8">
        <v>1047.50350396</v>
      </c>
      <c r="N57" s="8">
        <f t="shared" si="24"/>
        <v>4290.844944049998</v>
      </c>
      <c r="O57" s="8">
        <v>1220.8148390600006</v>
      </c>
      <c r="P57" s="8">
        <v>1544.5347870600003</v>
      </c>
      <c r="Q57" s="8">
        <v>1299.8070263500001</v>
      </c>
      <c r="R57" s="8">
        <f t="shared" si="25"/>
        <v>4065.1566524700011</v>
      </c>
      <c r="S57" s="8">
        <f t="shared" si="26"/>
        <v>8356.00159652</v>
      </c>
      <c r="T57" s="8">
        <f t="shared" si="27"/>
        <v>16991.102303060001</v>
      </c>
      <c r="U57" s="8"/>
      <c r="V57" s="8"/>
    </row>
    <row r="58" spans="1:22" ht="15" customHeight="1" x14ac:dyDescent="0.3">
      <c r="A58" s="12" t="s">
        <v>68</v>
      </c>
      <c r="B58" s="8">
        <v>1844.1744491600007</v>
      </c>
      <c r="C58" s="8">
        <v>1467.19783753</v>
      </c>
      <c r="D58" s="8">
        <v>1689.3212789299985</v>
      </c>
      <c r="E58" s="8">
        <f t="shared" si="21"/>
        <v>5000.6935656199994</v>
      </c>
      <c r="F58" s="8">
        <v>2219.2632952699992</v>
      </c>
      <c r="G58" s="8">
        <v>1938.2353585300002</v>
      </c>
      <c r="H58" s="8">
        <v>1894.8614204100027</v>
      </c>
      <c r="I58" s="8">
        <f t="shared" si="22"/>
        <v>6052.3600742100025</v>
      </c>
      <c r="J58" s="8">
        <f t="shared" si="23"/>
        <v>11053.053639830003</v>
      </c>
      <c r="K58" s="8">
        <v>1907.7525471099998</v>
      </c>
      <c r="L58" s="8">
        <v>1738.6169109499992</v>
      </c>
      <c r="M58" s="8">
        <v>1528.1684453299997</v>
      </c>
      <c r="N58" s="8">
        <f t="shared" si="24"/>
        <v>5174.537903389999</v>
      </c>
      <c r="O58" s="8">
        <v>2034.0091507000002</v>
      </c>
      <c r="P58" s="8">
        <v>2177.8624857100008</v>
      </c>
      <c r="Q58" s="8">
        <v>2008.6110641999994</v>
      </c>
      <c r="R58" s="8">
        <f t="shared" si="25"/>
        <v>6220.4827006100004</v>
      </c>
      <c r="S58" s="8">
        <f t="shared" si="26"/>
        <v>11395.020603999999</v>
      </c>
      <c r="T58" s="8">
        <f t="shared" si="27"/>
        <v>22448.07424383</v>
      </c>
      <c r="U58" s="8"/>
      <c r="V58" s="8"/>
    </row>
    <row r="59" spans="1:22" ht="15" customHeight="1" x14ac:dyDescent="0.3">
      <c r="A59" s="12" t="s">
        <v>69</v>
      </c>
      <c r="B59" s="8">
        <v>2285.8043154699999</v>
      </c>
      <c r="C59" s="8">
        <v>1550.6798593099998</v>
      </c>
      <c r="D59" s="8">
        <v>1869.3865086900009</v>
      </c>
      <c r="E59" s="8">
        <f t="shared" si="21"/>
        <v>5705.8706834700006</v>
      </c>
      <c r="F59" s="8">
        <v>2948.5703324800033</v>
      </c>
      <c r="G59" s="8">
        <v>2090.8672066200006</v>
      </c>
      <c r="H59" s="8">
        <v>1851.1196760400017</v>
      </c>
      <c r="I59" s="8">
        <f t="shared" si="22"/>
        <v>6890.5572151400056</v>
      </c>
      <c r="J59" s="8">
        <f t="shared" si="23"/>
        <v>12596.427898610007</v>
      </c>
      <c r="K59" s="8">
        <v>2034.6844024700004</v>
      </c>
      <c r="L59" s="8">
        <v>2187.5795711300007</v>
      </c>
      <c r="M59" s="8">
        <v>1598.3107601300001</v>
      </c>
      <c r="N59" s="8">
        <f t="shared" si="24"/>
        <v>5820.5747337300008</v>
      </c>
      <c r="O59" s="8">
        <v>1952.5705607000004</v>
      </c>
      <c r="P59" s="8">
        <v>2546.0413117799967</v>
      </c>
      <c r="Q59" s="8">
        <v>1860.2743104300002</v>
      </c>
      <c r="R59" s="8">
        <f t="shared" si="25"/>
        <v>6358.8861829099969</v>
      </c>
      <c r="S59" s="8">
        <f t="shared" si="26"/>
        <v>12179.460916639997</v>
      </c>
      <c r="T59" s="8">
        <f t="shared" si="27"/>
        <v>24775.888815250004</v>
      </c>
      <c r="U59" s="8"/>
      <c r="V59" s="8"/>
    </row>
    <row r="60" spans="1:22" ht="15" customHeight="1" x14ac:dyDescent="0.3">
      <c r="A60" s="12" t="s">
        <v>70</v>
      </c>
      <c r="B60" s="8">
        <v>78.903436739999975</v>
      </c>
      <c r="C60" s="8">
        <v>36.178327199999998</v>
      </c>
      <c r="D60" s="8">
        <v>41.642945100000027</v>
      </c>
      <c r="E60" s="8">
        <f t="shared" si="21"/>
        <v>156.72470903999999</v>
      </c>
      <c r="F60" s="8">
        <v>61.108446549999989</v>
      </c>
      <c r="G60" s="8">
        <v>44.116740259999993</v>
      </c>
      <c r="H60" s="8">
        <v>59.888111379999984</v>
      </c>
      <c r="I60" s="8">
        <f t="shared" si="22"/>
        <v>165.11329818999997</v>
      </c>
      <c r="J60" s="8">
        <f t="shared" si="23"/>
        <v>321.83800722999996</v>
      </c>
      <c r="K60" s="8">
        <v>57.365608130000034</v>
      </c>
      <c r="L60" s="8">
        <v>49.524841789999968</v>
      </c>
      <c r="M60" s="8">
        <v>38.766916590000008</v>
      </c>
      <c r="N60" s="8">
        <f t="shared" si="24"/>
        <v>145.65736651000003</v>
      </c>
      <c r="O60" s="8">
        <v>47.019715640000008</v>
      </c>
      <c r="P60" s="8">
        <v>47.715162169999999</v>
      </c>
      <c r="Q60" s="8">
        <v>47.579386030000002</v>
      </c>
      <c r="R60" s="8">
        <f t="shared" si="25"/>
        <v>142.31426384</v>
      </c>
      <c r="S60" s="8">
        <f t="shared" si="26"/>
        <v>287.97163035000005</v>
      </c>
      <c r="T60" s="8">
        <f t="shared" si="27"/>
        <v>609.80963758000007</v>
      </c>
      <c r="U60" s="8"/>
      <c r="V60" s="8"/>
    </row>
    <row r="61" spans="1:22" ht="18" customHeight="1" x14ac:dyDescent="0.3">
      <c r="A61" s="12" t="s">
        <v>71</v>
      </c>
      <c r="B61" s="8">
        <v>480.7039730499996</v>
      </c>
      <c r="C61" s="8">
        <v>379.30426458999995</v>
      </c>
      <c r="D61" s="8">
        <v>382.91934582999994</v>
      </c>
      <c r="E61" s="8">
        <f t="shared" si="21"/>
        <v>1242.9275834699995</v>
      </c>
      <c r="F61" s="8">
        <v>553.18162587000029</v>
      </c>
      <c r="G61" s="8">
        <v>456.34321069000043</v>
      </c>
      <c r="H61" s="8">
        <v>393.59207630999987</v>
      </c>
      <c r="I61" s="8">
        <f t="shared" si="22"/>
        <v>1403.1169128700005</v>
      </c>
      <c r="J61" s="8">
        <f t="shared" si="23"/>
        <v>2646.04449634</v>
      </c>
      <c r="K61" s="8">
        <v>379.23566067000013</v>
      </c>
      <c r="L61" s="8">
        <v>403.07726534000022</v>
      </c>
      <c r="M61" s="8">
        <v>433.58955338999982</v>
      </c>
      <c r="N61" s="8">
        <f t="shared" si="24"/>
        <v>1215.9024794000002</v>
      </c>
      <c r="O61" s="8">
        <v>435.71165301999991</v>
      </c>
      <c r="P61" s="8">
        <v>519.26267675999975</v>
      </c>
      <c r="Q61" s="8">
        <v>526.54943723000019</v>
      </c>
      <c r="R61" s="8">
        <f t="shared" si="25"/>
        <v>1481.5237670099998</v>
      </c>
      <c r="S61" s="8">
        <f t="shared" si="26"/>
        <v>2697.4262464100002</v>
      </c>
      <c r="T61" s="8">
        <f t="shared" si="27"/>
        <v>5343.4707427499998</v>
      </c>
      <c r="U61" s="8"/>
      <c r="V61" s="8"/>
    </row>
    <row r="62" spans="1:22" ht="18" customHeight="1" x14ac:dyDescent="0.3">
      <c r="A62" s="12" t="s">
        <v>72</v>
      </c>
      <c r="B62" s="8">
        <v>380.06401780000027</v>
      </c>
      <c r="C62" s="8">
        <v>244.89971045999991</v>
      </c>
      <c r="D62" s="8">
        <v>256.89178407999987</v>
      </c>
      <c r="E62" s="8">
        <f t="shared" si="21"/>
        <v>881.85551234000002</v>
      </c>
      <c r="F62" s="8">
        <v>496.82918177999966</v>
      </c>
      <c r="G62" s="8">
        <v>274.59915406999994</v>
      </c>
      <c r="H62" s="8">
        <v>300.89777943000001</v>
      </c>
      <c r="I62" s="8">
        <f t="shared" si="22"/>
        <v>1072.3261152799996</v>
      </c>
      <c r="J62" s="8">
        <f t="shared" si="23"/>
        <v>1954.1816276199997</v>
      </c>
      <c r="K62" s="8">
        <v>318.16899415999995</v>
      </c>
      <c r="L62" s="8">
        <v>318.95651815000014</v>
      </c>
      <c r="M62" s="8">
        <v>250.04396838000022</v>
      </c>
      <c r="N62" s="8">
        <f t="shared" si="24"/>
        <v>887.16948069000034</v>
      </c>
      <c r="O62" s="8">
        <v>386.1556768100005</v>
      </c>
      <c r="P62" s="8">
        <v>354.27243284999997</v>
      </c>
      <c r="Q62" s="8">
        <v>326.61228992999986</v>
      </c>
      <c r="R62" s="8">
        <f t="shared" si="25"/>
        <v>1067.0403995900003</v>
      </c>
      <c r="S62" s="8">
        <f t="shared" si="26"/>
        <v>1954.2098802800006</v>
      </c>
      <c r="T62" s="8">
        <f t="shared" si="27"/>
        <v>3908.3915079000003</v>
      </c>
      <c r="U62" s="8"/>
      <c r="V62" s="8"/>
    </row>
    <row r="63" spans="1:22" s="10" customFormat="1" ht="15" customHeight="1" x14ac:dyDescent="0.3">
      <c r="A63" s="3"/>
      <c r="B63" s="11"/>
      <c r="C63" s="11"/>
      <c r="D63" s="11"/>
      <c r="E63" s="11"/>
      <c r="F63" s="11"/>
      <c r="G63" s="11"/>
      <c r="H63" s="11"/>
      <c r="I63" s="11"/>
      <c r="J63" s="11"/>
      <c r="K63" s="11"/>
      <c r="L63" s="11"/>
      <c r="M63" s="11"/>
      <c r="N63" s="11"/>
      <c r="O63" s="11"/>
      <c r="P63" s="11"/>
      <c r="Q63" s="11"/>
      <c r="R63" s="11"/>
      <c r="S63" s="11"/>
      <c r="T63" s="11"/>
      <c r="U63" s="11"/>
      <c r="V63" s="11"/>
    </row>
    <row r="64" spans="1:22" s="10" customFormat="1" ht="15" customHeight="1" x14ac:dyDescent="0.25">
      <c r="A64" s="10" t="s">
        <v>73</v>
      </c>
      <c r="B64" s="11">
        <f>SUM(B65:B69)</f>
        <v>860.09396238999977</v>
      </c>
      <c r="C64" s="11">
        <f>SUM(C65:C69)</f>
        <v>457.7534629700005</v>
      </c>
      <c r="D64" s="11">
        <f>SUM(D65:D69)</f>
        <v>493.90361091999984</v>
      </c>
      <c r="E64" s="11">
        <f t="shared" ref="E64:E69" si="28">SUM(B64:D64)</f>
        <v>1811.7510362800001</v>
      </c>
      <c r="F64" s="11">
        <f>SUM(F65:F69)</f>
        <v>708.07604075999996</v>
      </c>
      <c r="G64" s="11">
        <f>SUM(G65:G69)</f>
        <v>501.24975098000004</v>
      </c>
      <c r="H64" s="11">
        <f>SUM(H65:H69)</f>
        <v>488.69417802999999</v>
      </c>
      <c r="I64" s="11">
        <f t="shared" ref="I64:I69" si="29">SUM(F64:H64)</f>
        <v>1698.01996977</v>
      </c>
      <c r="J64" s="11">
        <f t="shared" ref="J64:J69" si="30">+E64+I64</f>
        <v>3509.7710060500003</v>
      </c>
      <c r="K64" s="11">
        <f>SUM(K65:K69)</f>
        <v>558.94349496000018</v>
      </c>
      <c r="L64" s="11">
        <f>SUM(L65:L69)</f>
        <v>557.43920850999984</v>
      </c>
      <c r="M64" s="11">
        <f>SUM(M65:M69)</f>
        <v>441.48011495000026</v>
      </c>
      <c r="N64" s="11">
        <f t="shared" ref="N64:N69" si="31">SUM(K64:M64)</f>
        <v>1557.8628184200002</v>
      </c>
      <c r="O64" s="11">
        <f>SUM(O65:O69)</f>
        <v>557.38968105000004</v>
      </c>
      <c r="P64" s="11">
        <f>SUM(P65:P69)</f>
        <v>619.96667882000008</v>
      </c>
      <c r="Q64" s="11">
        <f>SUM(Q65:Q69)</f>
        <v>501.69435503999995</v>
      </c>
      <c r="R64" s="11">
        <f t="shared" ref="R64:R69" si="32">SUM(O64:Q64)</f>
        <v>1679.0507149100001</v>
      </c>
      <c r="S64" s="11">
        <f t="shared" ref="S64:S69" si="33">+N64+R64</f>
        <v>3236.9135333300001</v>
      </c>
      <c r="T64" s="11">
        <f t="shared" ref="T64:T69" si="34">+J64+S64</f>
        <v>6746.6845393800004</v>
      </c>
      <c r="U64" s="11"/>
      <c r="V64" s="11"/>
    </row>
    <row r="65" spans="1:22" ht="15" customHeight="1" x14ac:dyDescent="0.3">
      <c r="A65" s="12" t="s">
        <v>74</v>
      </c>
      <c r="B65" s="8">
        <v>49.787408089999985</v>
      </c>
      <c r="C65" s="8">
        <v>17.944166759999998</v>
      </c>
      <c r="D65" s="8">
        <v>18.825771570000008</v>
      </c>
      <c r="E65" s="8">
        <f t="shared" si="28"/>
        <v>86.557346419999988</v>
      </c>
      <c r="F65" s="8">
        <v>30.329176559999993</v>
      </c>
      <c r="G65" s="8">
        <v>20.615442360000007</v>
      </c>
      <c r="H65" s="8">
        <v>20.887587830000005</v>
      </c>
      <c r="I65" s="8">
        <f t="shared" si="29"/>
        <v>71.832206749999997</v>
      </c>
      <c r="J65" s="8">
        <f t="shared" si="30"/>
        <v>158.38955317</v>
      </c>
      <c r="K65" s="8">
        <v>27.677761119999989</v>
      </c>
      <c r="L65" s="8">
        <v>22.232792880000009</v>
      </c>
      <c r="M65" s="8">
        <v>17.802926670000005</v>
      </c>
      <c r="N65" s="8">
        <f t="shared" si="31"/>
        <v>67.713480669999996</v>
      </c>
      <c r="O65" s="8">
        <v>22.933823559999993</v>
      </c>
      <c r="P65" s="8">
        <v>21.743626740000007</v>
      </c>
      <c r="Q65" s="8">
        <v>22.721348770000006</v>
      </c>
      <c r="R65" s="8">
        <f t="shared" si="32"/>
        <v>67.39879907000001</v>
      </c>
      <c r="S65" s="8">
        <f t="shared" si="33"/>
        <v>135.11227974000002</v>
      </c>
      <c r="T65" s="8">
        <f t="shared" si="34"/>
        <v>293.50183291000002</v>
      </c>
      <c r="U65" s="8"/>
      <c r="V65" s="8"/>
    </row>
    <row r="66" spans="1:22" ht="15" customHeight="1" x14ac:dyDescent="0.3">
      <c r="A66" s="12" t="s">
        <v>75</v>
      </c>
      <c r="B66" s="8">
        <v>93.263200549999951</v>
      </c>
      <c r="C66" s="8">
        <v>51.856050489999987</v>
      </c>
      <c r="D66" s="8">
        <v>62.125277590000039</v>
      </c>
      <c r="E66" s="8">
        <f t="shared" si="28"/>
        <v>207.24452862999999</v>
      </c>
      <c r="F66" s="8">
        <v>79.426661060000001</v>
      </c>
      <c r="G66" s="8">
        <v>60.353759219999979</v>
      </c>
      <c r="H66" s="8">
        <v>51.022411730000009</v>
      </c>
      <c r="I66" s="8">
        <f t="shared" si="29"/>
        <v>190.80283201</v>
      </c>
      <c r="J66" s="8">
        <f t="shared" si="30"/>
        <v>398.04736063999997</v>
      </c>
      <c r="K66" s="8">
        <v>62.64079012000002</v>
      </c>
      <c r="L66" s="8">
        <v>60.71514389</v>
      </c>
      <c r="M66" s="8">
        <v>48.107889340000007</v>
      </c>
      <c r="N66" s="8">
        <f t="shared" si="31"/>
        <v>171.46382335000004</v>
      </c>
      <c r="O66" s="8">
        <v>59.173557150000008</v>
      </c>
      <c r="P66" s="8">
        <v>54.311022400000006</v>
      </c>
      <c r="Q66" s="8">
        <v>56.964654779999989</v>
      </c>
      <c r="R66" s="8">
        <f t="shared" si="32"/>
        <v>170.44923433</v>
      </c>
      <c r="S66" s="8">
        <f t="shared" si="33"/>
        <v>341.91305768000007</v>
      </c>
      <c r="T66" s="8">
        <f t="shared" si="34"/>
        <v>739.96041832000003</v>
      </c>
      <c r="U66" s="8"/>
      <c r="V66" s="8"/>
    </row>
    <row r="67" spans="1:22" ht="15" customHeight="1" x14ac:dyDescent="0.3">
      <c r="A67" s="12" t="s">
        <v>76</v>
      </c>
      <c r="B67" s="8">
        <v>220.62535558000022</v>
      </c>
      <c r="C67" s="8">
        <v>111.97481792000002</v>
      </c>
      <c r="D67" s="8">
        <v>137.50742594000005</v>
      </c>
      <c r="E67" s="8">
        <f t="shared" si="28"/>
        <v>470.10759944000029</v>
      </c>
      <c r="F67" s="8">
        <v>188.52454758000002</v>
      </c>
      <c r="G67" s="8">
        <v>145.19772178000002</v>
      </c>
      <c r="H67" s="8">
        <v>131.97601266000009</v>
      </c>
      <c r="I67" s="8">
        <f t="shared" si="29"/>
        <v>465.69828202000014</v>
      </c>
      <c r="J67" s="8">
        <f t="shared" si="30"/>
        <v>935.80588146000036</v>
      </c>
      <c r="K67" s="8">
        <v>137.70263686999999</v>
      </c>
      <c r="L67" s="8">
        <v>159.4853717499999</v>
      </c>
      <c r="M67" s="8">
        <v>125.00043557000002</v>
      </c>
      <c r="N67" s="8">
        <f t="shared" si="31"/>
        <v>422.18844418999993</v>
      </c>
      <c r="O67" s="8">
        <v>161.58147725000006</v>
      </c>
      <c r="P67" s="8">
        <v>159.54226914999992</v>
      </c>
      <c r="Q67" s="8">
        <v>136.22388170999994</v>
      </c>
      <c r="R67" s="8">
        <f t="shared" si="32"/>
        <v>457.3476281099999</v>
      </c>
      <c r="S67" s="8">
        <f t="shared" si="33"/>
        <v>879.53607229999989</v>
      </c>
      <c r="T67" s="8">
        <f t="shared" si="34"/>
        <v>1815.3419537600003</v>
      </c>
      <c r="U67" s="8"/>
      <c r="V67" s="8"/>
    </row>
    <row r="68" spans="1:22" ht="15" customHeight="1" x14ac:dyDescent="0.3">
      <c r="A68" s="12" t="s">
        <v>77</v>
      </c>
      <c r="B68" s="8">
        <v>451.71715129999961</v>
      </c>
      <c r="C68" s="8">
        <v>249.91684709000052</v>
      </c>
      <c r="D68" s="8">
        <v>244.58669354999972</v>
      </c>
      <c r="E68" s="8">
        <f t="shared" si="28"/>
        <v>946.22069193999982</v>
      </c>
      <c r="F68" s="8">
        <v>367.84125976999991</v>
      </c>
      <c r="G68" s="8">
        <v>241.68420277000007</v>
      </c>
      <c r="H68" s="8">
        <v>255.73379222999989</v>
      </c>
      <c r="I68" s="8">
        <f t="shared" si="29"/>
        <v>865.25925476999987</v>
      </c>
      <c r="J68" s="8">
        <f t="shared" si="30"/>
        <v>1811.4799467099997</v>
      </c>
      <c r="K68" s="8">
        <v>302.49609151000021</v>
      </c>
      <c r="L68" s="8">
        <v>283.51567513999998</v>
      </c>
      <c r="M68" s="8">
        <v>221.86193443000019</v>
      </c>
      <c r="N68" s="8">
        <f t="shared" si="31"/>
        <v>807.8737010800005</v>
      </c>
      <c r="O68" s="8">
        <v>285.78787162999993</v>
      </c>
      <c r="P68" s="8">
        <v>350.00457302000007</v>
      </c>
      <c r="Q68" s="8">
        <v>253.62293450999999</v>
      </c>
      <c r="R68" s="8">
        <f t="shared" si="32"/>
        <v>889.41537915999993</v>
      </c>
      <c r="S68" s="8">
        <f t="shared" si="33"/>
        <v>1697.2890802400004</v>
      </c>
      <c r="T68" s="8">
        <f t="shared" si="34"/>
        <v>3508.7690269499999</v>
      </c>
      <c r="U68" s="8"/>
      <c r="V68" s="8"/>
    </row>
    <row r="69" spans="1:22" ht="15" customHeight="1" x14ac:dyDescent="0.3">
      <c r="A69" s="12" t="s">
        <v>78</v>
      </c>
      <c r="B69" s="8">
        <v>44.700846870000007</v>
      </c>
      <c r="C69" s="8">
        <v>26.061580710000001</v>
      </c>
      <c r="D69" s="8">
        <v>30.858442269999994</v>
      </c>
      <c r="E69" s="8">
        <f t="shared" si="28"/>
        <v>101.62086985000001</v>
      </c>
      <c r="F69" s="8">
        <v>41.954395789999992</v>
      </c>
      <c r="G69" s="8">
        <v>33.398624849999997</v>
      </c>
      <c r="H69" s="8">
        <v>29.074373580000007</v>
      </c>
      <c r="I69" s="8">
        <f t="shared" si="29"/>
        <v>104.42739422</v>
      </c>
      <c r="J69" s="8">
        <f t="shared" si="30"/>
        <v>206.04826407000002</v>
      </c>
      <c r="K69" s="8">
        <v>28.426215339999988</v>
      </c>
      <c r="L69" s="8">
        <v>31.490224850000001</v>
      </c>
      <c r="M69" s="8">
        <v>28.706928939999997</v>
      </c>
      <c r="N69" s="8">
        <f t="shared" si="31"/>
        <v>88.623369129999986</v>
      </c>
      <c r="O69" s="8">
        <v>27.912951459999999</v>
      </c>
      <c r="P69" s="8">
        <v>34.365187510000005</v>
      </c>
      <c r="Q69" s="8">
        <v>32.161535270000009</v>
      </c>
      <c r="R69" s="8">
        <f t="shared" si="32"/>
        <v>94.439674240000016</v>
      </c>
      <c r="S69" s="8">
        <f t="shared" si="33"/>
        <v>183.06304337</v>
      </c>
      <c r="T69" s="8">
        <f t="shared" si="34"/>
        <v>389.11130744000002</v>
      </c>
      <c r="U69" s="8"/>
      <c r="V69" s="8"/>
    </row>
    <row r="70" spans="1:22" s="10" customFormat="1" ht="15" customHeight="1" x14ac:dyDescent="0.3">
      <c r="A70" s="3"/>
      <c r="B70" s="11"/>
      <c r="C70" s="11"/>
      <c r="D70" s="11"/>
      <c r="E70" s="11"/>
      <c r="F70" s="11"/>
      <c r="G70" s="11"/>
      <c r="H70" s="11"/>
      <c r="I70" s="11"/>
      <c r="J70" s="11"/>
      <c r="K70" s="11"/>
      <c r="L70" s="11"/>
      <c r="M70" s="11"/>
      <c r="N70" s="11"/>
      <c r="O70" s="11"/>
      <c r="P70" s="11"/>
      <c r="Q70" s="11"/>
      <c r="R70" s="11"/>
      <c r="S70" s="11"/>
      <c r="T70" s="11"/>
      <c r="U70" s="11"/>
      <c r="V70" s="11"/>
    </row>
    <row r="71" spans="1:22" s="10" customFormat="1" ht="15" customHeight="1" x14ac:dyDescent="0.25">
      <c r="A71" s="10" t="s">
        <v>79</v>
      </c>
      <c r="B71" s="11">
        <f>SUM(B72:B77)</f>
        <v>1194.8222779500004</v>
      </c>
      <c r="C71" s="11">
        <f>SUM(C72:C77)</f>
        <v>666.87797810000006</v>
      </c>
      <c r="D71" s="11">
        <f>SUM(D72:D77)</f>
        <v>773.52961534999963</v>
      </c>
      <c r="E71" s="11">
        <f t="shared" ref="E71:E77" si="35">SUM(B71:D71)</f>
        <v>2635.2298713999999</v>
      </c>
      <c r="F71" s="11">
        <f>SUM(F72:F77)</f>
        <v>1090.8400126599997</v>
      </c>
      <c r="G71" s="11">
        <f>SUM(G72:G77)</f>
        <v>778.70066461000022</v>
      </c>
      <c r="H71" s="11">
        <f>SUM(H72:H77)</f>
        <v>790.81066199000009</v>
      </c>
      <c r="I71" s="11">
        <f t="shared" ref="I71:I77" si="36">SUM(F71:H71)</f>
        <v>2660.3513392599998</v>
      </c>
      <c r="J71" s="11">
        <f t="shared" ref="J71:J77" si="37">+E71+I71</f>
        <v>5295.5812106599997</v>
      </c>
      <c r="K71" s="11">
        <f>SUM(K72:K77)</f>
        <v>885.08470475999968</v>
      </c>
      <c r="L71" s="11">
        <f>SUM(L72:L77)</f>
        <v>913.73397949000014</v>
      </c>
      <c r="M71" s="11">
        <f>SUM(M72:M77)</f>
        <v>792.06302130999995</v>
      </c>
      <c r="N71" s="11">
        <f t="shared" ref="N71:N77" si="38">SUM(K71:M71)</f>
        <v>2590.8817055599998</v>
      </c>
      <c r="O71" s="11">
        <f>SUM(O72:O77)</f>
        <v>902.59527766000008</v>
      </c>
      <c r="P71" s="11">
        <f>SUM(P72:P77)</f>
        <v>963.12909333999983</v>
      </c>
      <c r="Q71" s="11">
        <f>SUM(Q72:Q77)</f>
        <v>944.95952049000016</v>
      </c>
      <c r="R71" s="11">
        <f t="shared" ref="R71:R77" si="39">SUM(O71:Q71)</f>
        <v>2810.68389149</v>
      </c>
      <c r="S71" s="11">
        <f t="shared" ref="S71:S77" si="40">+N71+R71</f>
        <v>5401.5655970499993</v>
      </c>
      <c r="T71" s="11">
        <f t="shared" ref="T71:T77" si="41">+J71+S71</f>
        <v>10697.14680771</v>
      </c>
      <c r="U71" s="11"/>
      <c r="V71" s="11"/>
    </row>
    <row r="72" spans="1:22" ht="15" customHeight="1" x14ac:dyDescent="0.3">
      <c r="A72" s="12" t="s">
        <v>80</v>
      </c>
      <c r="B72" s="8">
        <v>385.17598280000033</v>
      </c>
      <c r="C72" s="8">
        <v>220.36391719000002</v>
      </c>
      <c r="D72" s="8">
        <v>241.46521084999972</v>
      </c>
      <c r="E72" s="8">
        <f t="shared" si="35"/>
        <v>847.00511084000004</v>
      </c>
      <c r="F72" s="8">
        <v>396.95110645999983</v>
      </c>
      <c r="G72" s="8">
        <v>259.68831118000026</v>
      </c>
      <c r="H72" s="8">
        <v>250.16039656000004</v>
      </c>
      <c r="I72" s="8">
        <f t="shared" si="36"/>
        <v>906.79981420000013</v>
      </c>
      <c r="J72" s="8">
        <f t="shared" si="37"/>
        <v>1753.8049250400002</v>
      </c>
      <c r="K72" s="8">
        <v>275.90372283999989</v>
      </c>
      <c r="L72" s="8">
        <v>279.78651699</v>
      </c>
      <c r="M72" s="8">
        <v>258.44225755000002</v>
      </c>
      <c r="N72" s="8">
        <f t="shared" si="38"/>
        <v>814.1324973799999</v>
      </c>
      <c r="O72" s="8">
        <v>282.93514687000004</v>
      </c>
      <c r="P72" s="8">
        <v>302.64774839000006</v>
      </c>
      <c r="Q72" s="8">
        <v>318.60204440999996</v>
      </c>
      <c r="R72" s="8">
        <f t="shared" si="39"/>
        <v>904.18493967000006</v>
      </c>
      <c r="S72" s="8">
        <f t="shared" si="40"/>
        <v>1718.3174370500001</v>
      </c>
      <c r="T72" s="8">
        <f t="shared" si="41"/>
        <v>3472.12236209</v>
      </c>
      <c r="U72" s="8"/>
      <c r="V72" s="8"/>
    </row>
    <row r="73" spans="1:22" ht="15" customHeight="1" x14ac:dyDescent="0.3">
      <c r="A73" s="12" t="s">
        <v>81</v>
      </c>
      <c r="B73" s="8">
        <v>109.21214834999996</v>
      </c>
      <c r="C73" s="8">
        <v>65.362526640000027</v>
      </c>
      <c r="D73" s="8">
        <v>72.566948530000019</v>
      </c>
      <c r="E73" s="8">
        <f t="shared" si="35"/>
        <v>247.14162352000002</v>
      </c>
      <c r="F73" s="8">
        <v>100.66173901999994</v>
      </c>
      <c r="G73" s="8">
        <v>70.191218119999959</v>
      </c>
      <c r="H73" s="8">
        <v>70.144611520000012</v>
      </c>
      <c r="I73" s="8">
        <f t="shared" si="36"/>
        <v>240.9975686599999</v>
      </c>
      <c r="J73" s="8">
        <f t="shared" si="37"/>
        <v>488.1391921799999</v>
      </c>
      <c r="K73" s="8">
        <v>82.489728440000007</v>
      </c>
      <c r="L73" s="8">
        <v>73.520634730000026</v>
      </c>
      <c r="M73" s="8">
        <v>59.736638550000023</v>
      </c>
      <c r="N73" s="8">
        <f t="shared" si="38"/>
        <v>215.74700172000007</v>
      </c>
      <c r="O73" s="8">
        <v>83.798787909999987</v>
      </c>
      <c r="P73" s="8">
        <v>93.37549786000001</v>
      </c>
      <c r="Q73" s="8">
        <v>88.838481659999999</v>
      </c>
      <c r="R73" s="8">
        <f t="shared" si="39"/>
        <v>266.01276743</v>
      </c>
      <c r="S73" s="8">
        <f t="shared" si="40"/>
        <v>481.75976915000007</v>
      </c>
      <c r="T73" s="8">
        <f t="shared" si="41"/>
        <v>969.89896133000002</v>
      </c>
      <c r="U73" s="8"/>
      <c r="V73" s="8"/>
    </row>
    <row r="74" spans="1:22" ht="15" customHeight="1" x14ac:dyDescent="0.3">
      <c r="A74" s="12" t="s">
        <v>82</v>
      </c>
      <c r="B74" s="8">
        <v>424.09081241000007</v>
      </c>
      <c r="C74" s="8">
        <v>228.80402906000009</v>
      </c>
      <c r="D74" s="8">
        <v>274.34415298999988</v>
      </c>
      <c r="E74" s="8">
        <f t="shared" si="35"/>
        <v>927.23899446000007</v>
      </c>
      <c r="F74" s="8">
        <v>329.6343857600001</v>
      </c>
      <c r="G74" s="8">
        <v>270.02635583999995</v>
      </c>
      <c r="H74" s="8">
        <v>285.01661403000008</v>
      </c>
      <c r="I74" s="8">
        <f t="shared" si="36"/>
        <v>884.67735563000019</v>
      </c>
      <c r="J74" s="8">
        <f t="shared" si="37"/>
        <v>1811.9163500900004</v>
      </c>
      <c r="K74" s="8">
        <v>337.72657533999984</v>
      </c>
      <c r="L74" s="8">
        <v>353.31927058000002</v>
      </c>
      <c r="M74" s="8">
        <v>293.61445946999982</v>
      </c>
      <c r="N74" s="8">
        <f t="shared" si="38"/>
        <v>984.66030538999973</v>
      </c>
      <c r="O74" s="8">
        <v>329.83693571000003</v>
      </c>
      <c r="P74" s="8">
        <v>341.8571374199999</v>
      </c>
      <c r="Q74" s="8">
        <v>326.24828410000021</v>
      </c>
      <c r="R74" s="8">
        <f t="shared" si="39"/>
        <v>997.94235723000008</v>
      </c>
      <c r="S74" s="8">
        <f t="shared" si="40"/>
        <v>1982.6026626199998</v>
      </c>
      <c r="T74" s="8">
        <f t="shared" si="41"/>
        <v>3794.5190127100004</v>
      </c>
      <c r="U74" s="8"/>
      <c r="V74" s="8"/>
    </row>
    <row r="75" spans="1:22" ht="15" customHeight="1" x14ac:dyDescent="0.3">
      <c r="A75" s="12" t="s">
        <v>83</v>
      </c>
      <c r="B75" s="8">
        <v>56.017061679999991</v>
      </c>
      <c r="C75" s="8">
        <v>34.543662210000001</v>
      </c>
      <c r="D75" s="8">
        <v>36.864192739999986</v>
      </c>
      <c r="E75" s="8">
        <f t="shared" si="35"/>
        <v>127.42491662999998</v>
      </c>
      <c r="F75" s="8">
        <v>57.9956727</v>
      </c>
      <c r="G75" s="8">
        <v>42.750180169999986</v>
      </c>
      <c r="H75" s="8">
        <v>40.44417705</v>
      </c>
      <c r="I75" s="8">
        <f t="shared" si="36"/>
        <v>141.19002992</v>
      </c>
      <c r="J75" s="8">
        <f t="shared" si="37"/>
        <v>268.61494655000001</v>
      </c>
      <c r="K75" s="8">
        <v>42.450098390000001</v>
      </c>
      <c r="L75" s="8">
        <v>46.565863600000007</v>
      </c>
      <c r="M75" s="8">
        <v>47.874564159999984</v>
      </c>
      <c r="N75" s="8">
        <f t="shared" si="38"/>
        <v>136.89052615</v>
      </c>
      <c r="O75" s="8">
        <v>52.720347279999991</v>
      </c>
      <c r="P75" s="8">
        <v>49.228048450000003</v>
      </c>
      <c r="Q75" s="8">
        <v>47.436440910000002</v>
      </c>
      <c r="R75" s="8">
        <f t="shared" si="39"/>
        <v>149.38483664</v>
      </c>
      <c r="S75" s="8">
        <f t="shared" si="40"/>
        <v>286.27536279000003</v>
      </c>
      <c r="T75" s="8">
        <f t="shared" si="41"/>
        <v>554.89030934000004</v>
      </c>
      <c r="U75" s="8"/>
      <c r="V75" s="8"/>
    </row>
    <row r="76" spans="1:22" ht="15" customHeight="1" x14ac:dyDescent="0.3">
      <c r="A76" s="12" t="s">
        <v>84</v>
      </c>
      <c r="B76" s="8">
        <v>101.1642164</v>
      </c>
      <c r="C76" s="8">
        <v>57.998327930000002</v>
      </c>
      <c r="D76" s="8">
        <v>77.634594780000015</v>
      </c>
      <c r="E76" s="8">
        <f t="shared" si="35"/>
        <v>236.79713911000002</v>
      </c>
      <c r="F76" s="8">
        <v>96.859129249999938</v>
      </c>
      <c r="G76" s="8">
        <v>66.343305399999977</v>
      </c>
      <c r="H76" s="8">
        <v>64.053029479999964</v>
      </c>
      <c r="I76" s="8">
        <f t="shared" si="36"/>
        <v>227.25546412999989</v>
      </c>
      <c r="J76" s="8">
        <f t="shared" si="37"/>
        <v>464.05260323999994</v>
      </c>
      <c r="K76" s="8">
        <v>65.660007730000004</v>
      </c>
      <c r="L76" s="8">
        <v>68.643260809999987</v>
      </c>
      <c r="M76" s="8">
        <v>57.595025669999998</v>
      </c>
      <c r="N76" s="8">
        <f t="shared" si="38"/>
        <v>191.89829420999996</v>
      </c>
      <c r="O76" s="8">
        <v>69.802191020000009</v>
      </c>
      <c r="P76" s="8">
        <v>79.16386571999999</v>
      </c>
      <c r="Q76" s="8">
        <v>77.521518780000022</v>
      </c>
      <c r="R76" s="8">
        <f t="shared" si="39"/>
        <v>226.48757552000001</v>
      </c>
      <c r="S76" s="8">
        <f t="shared" si="40"/>
        <v>418.38586972999997</v>
      </c>
      <c r="T76" s="8">
        <f t="shared" si="41"/>
        <v>882.43847296999991</v>
      </c>
      <c r="U76" s="8"/>
      <c r="V76" s="8"/>
    </row>
    <row r="77" spans="1:22" ht="15" customHeight="1" x14ac:dyDescent="0.3">
      <c r="A77" s="12" t="s">
        <v>85</v>
      </c>
      <c r="B77" s="8">
        <v>119.16205630999994</v>
      </c>
      <c r="C77" s="8">
        <v>59.805515069999991</v>
      </c>
      <c r="D77" s="8">
        <v>70.654515459999999</v>
      </c>
      <c r="E77" s="8">
        <f t="shared" si="35"/>
        <v>249.62208683999992</v>
      </c>
      <c r="F77" s="8">
        <v>108.73797947</v>
      </c>
      <c r="G77" s="8">
        <v>69.701293899999996</v>
      </c>
      <c r="H77" s="8">
        <v>80.991833349999979</v>
      </c>
      <c r="I77" s="8">
        <f t="shared" si="36"/>
        <v>259.43110672</v>
      </c>
      <c r="J77" s="8">
        <f t="shared" si="37"/>
        <v>509.05319355999995</v>
      </c>
      <c r="K77" s="8">
        <v>80.854572019999978</v>
      </c>
      <c r="L77" s="8">
        <v>91.898432780000036</v>
      </c>
      <c r="M77" s="8">
        <v>74.800075910000032</v>
      </c>
      <c r="N77" s="8">
        <f t="shared" si="38"/>
        <v>247.55308071000005</v>
      </c>
      <c r="O77" s="8">
        <v>83.501868870000067</v>
      </c>
      <c r="P77" s="8">
        <v>96.856795500000018</v>
      </c>
      <c r="Q77" s="8">
        <v>86.312750629999996</v>
      </c>
      <c r="R77" s="8">
        <f t="shared" si="39"/>
        <v>266.67141500000008</v>
      </c>
      <c r="S77" s="8">
        <f t="shared" si="40"/>
        <v>514.22449571000016</v>
      </c>
      <c r="T77" s="8">
        <f t="shared" si="41"/>
        <v>1023.2776892700001</v>
      </c>
      <c r="U77" s="8"/>
      <c r="V77" s="8"/>
    </row>
    <row r="78" spans="1:22" s="10" customFormat="1" ht="15" customHeight="1" x14ac:dyDescent="0.3">
      <c r="A78" s="3"/>
      <c r="B78" s="11"/>
      <c r="C78" s="11"/>
      <c r="D78" s="11"/>
      <c r="E78" s="11"/>
      <c r="F78" s="11"/>
      <c r="G78" s="11"/>
      <c r="H78" s="11"/>
      <c r="I78" s="11"/>
      <c r="J78" s="11"/>
      <c r="K78" s="11"/>
      <c r="L78" s="11"/>
      <c r="M78" s="11"/>
      <c r="N78" s="11"/>
      <c r="O78" s="11"/>
      <c r="P78" s="11"/>
      <c r="Q78" s="11"/>
      <c r="R78" s="11"/>
      <c r="S78" s="11"/>
      <c r="T78" s="11"/>
      <c r="U78" s="11"/>
      <c r="V78" s="11"/>
    </row>
    <row r="79" spans="1:22" s="10" customFormat="1" ht="15" customHeight="1" x14ac:dyDescent="0.25">
      <c r="A79" s="10" t="s">
        <v>86</v>
      </c>
      <c r="B79" s="11">
        <f>SUM(B80:B84)</f>
        <v>1232.7800786999996</v>
      </c>
      <c r="C79" s="11">
        <f>SUM(C80:C84)</f>
        <v>681.36900359999981</v>
      </c>
      <c r="D79" s="11">
        <f>SUM(D80:D84)</f>
        <v>800.09783324000057</v>
      </c>
      <c r="E79" s="11">
        <f t="shared" ref="E79:E84" si="42">SUM(B79:D79)</f>
        <v>2714.2469155399999</v>
      </c>
      <c r="F79" s="11">
        <f>SUM(F80:F84)</f>
        <v>1242.2511032299999</v>
      </c>
      <c r="G79" s="11">
        <f>SUM(G80:G84)</f>
        <v>871.40860595000004</v>
      </c>
      <c r="H79" s="11">
        <f>SUM(H80:H84)</f>
        <v>852.23177119999957</v>
      </c>
      <c r="I79" s="11">
        <f t="shared" ref="I79:I84" si="43">SUM(F79:H79)</f>
        <v>2965.8914803799994</v>
      </c>
      <c r="J79" s="11">
        <f t="shared" ref="J79:J84" si="44">+E79+I79</f>
        <v>5680.1383959199993</v>
      </c>
      <c r="K79" s="11">
        <f>SUM(K80:K84)</f>
        <v>927.33032770000045</v>
      </c>
      <c r="L79" s="11">
        <f>SUM(L80:L84)</f>
        <v>846.18974992000017</v>
      </c>
      <c r="M79" s="11">
        <f>SUM(M80:M84)</f>
        <v>756.71599511999977</v>
      </c>
      <c r="N79" s="11">
        <f t="shared" ref="N79:N84" si="45">SUM(K79:M79)</f>
        <v>2530.2360727400005</v>
      </c>
      <c r="O79" s="11">
        <f>SUM(O80:O84)</f>
        <v>895.01206797000032</v>
      </c>
      <c r="P79" s="11">
        <f>SUM(P80:P84)</f>
        <v>899.60420585999998</v>
      </c>
      <c r="Q79" s="11">
        <f>SUM(Q80:Q84)</f>
        <v>1090.0063167799999</v>
      </c>
      <c r="R79" s="11">
        <f t="shared" ref="R79:R84" si="46">SUM(O79:Q79)</f>
        <v>2884.6225906100003</v>
      </c>
      <c r="S79" s="11">
        <f t="shared" ref="S79:S84" si="47">+N79+R79</f>
        <v>5414.8586633500008</v>
      </c>
      <c r="T79" s="11">
        <f t="shared" ref="T79:T84" si="48">+J79+S79</f>
        <v>11094.997059270001</v>
      </c>
      <c r="U79" s="11"/>
      <c r="V79" s="11"/>
    </row>
    <row r="80" spans="1:22" ht="15" customHeight="1" x14ac:dyDescent="0.3">
      <c r="A80" s="12" t="s">
        <v>87</v>
      </c>
      <c r="B80" s="8">
        <v>148.78837149</v>
      </c>
      <c r="C80" s="8">
        <v>88.019897760000006</v>
      </c>
      <c r="D80" s="8">
        <v>107.29674595000002</v>
      </c>
      <c r="E80" s="8">
        <f t="shared" si="42"/>
        <v>344.10501520000003</v>
      </c>
      <c r="F80" s="8">
        <v>117.74114435999996</v>
      </c>
      <c r="G80" s="8">
        <v>101.75480715000003</v>
      </c>
      <c r="H80" s="8">
        <v>111.12258236999999</v>
      </c>
      <c r="I80" s="8">
        <f t="shared" si="43"/>
        <v>330.61853387999997</v>
      </c>
      <c r="J80" s="8">
        <f t="shared" si="44"/>
        <v>674.72354908</v>
      </c>
      <c r="K80" s="8">
        <v>104.68947643000001</v>
      </c>
      <c r="L80" s="8">
        <v>90.476511370000026</v>
      </c>
      <c r="M80" s="8">
        <v>86.914961460000015</v>
      </c>
      <c r="N80" s="8">
        <f t="shared" si="45"/>
        <v>282.08094926000007</v>
      </c>
      <c r="O80" s="8">
        <v>92.073039349999988</v>
      </c>
      <c r="P80" s="8">
        <v>98.522422519999964</v>
      </c>
      <c r="Q80" s="8">
        <v>138.33016446000008</v>
      </c>
      <c r="R80" s="8">
        <f t="shared" si="46"/>
        <v>328.92562633</v>
      </c>
      <c r="S80" s="8">
        <f t="shared" si="47"/>
        <v>611.00657559000001</v>
      </c>
      <c r="T80" s="8">
        <f t="shared" si="48"/>
        <v>1285.7301246699999</v>
      </c>
      <c r="U80" s="8"/>
      <c r="V80" s="8"/>
    </row>
    <row r="81" spans="1:22" ht="15" customHeight="1" x14ac:dyDescent="0.3">
      <c r="A81" s="12" t="s">
        <v>88</v>
      </c>
      <c r="B81" s="8">
        <v>86.575723229999994</v>
      </c>
      <c r="C81" s="8">
        <v>44.944005360000006</v>
      </c>
      <c r="D81" s="8">
        <v>47.58432092000001</v>
      </c>
      <c r="E81" s="8">
        <f t="shared" si="42"/>
        <v>179.10404951000001</v>
      </c>
      <c r="F81" s="8">
        <v>59.083500180000001</v>
      </c>
      <c r="G81" s="8">
        <v>44.696022870000007</v>
      </c>
      <c r="H81" s="8">
        <v>58.461300489999992</v>
      </c>
      <c r="I81" s="8">
        <f t="shared" si="43"/>
        <v>162.24082354000001</v>
      </c>
      <c r="J81" s="8">
        <f t="shared" si="44"/>
        <v>341.34487305000005</v>
      </c>
      <c r="K81" s="8">
        <v>64.388172369999978</v>
      </c>
      <c r="L81" s="8">
        <v>55.288940870000005</v>
      </c>
      <c r="M81" s="8">
        <v>59.893403319999997</v>
      </c>
      <c r="N81" s="8">
        <f t="shared" si="45"/>
        <v>179.57051655999999</v>
      </c>
      <c r="O81" s="8">
        <v>77.612635299999994</v>
      </c>
      <c r="P81" s="8">
        <v>67.146009169999985</v>
      </c>
      <c r="Q81" s="8">
        <v>59.942119130000009</v>
      </c>
      <c r="R81" s="8">
        <f t="shared" si="46"/>
        <v>204.70076359999999</v>
      </c>
      <c r="S81" s="8">
        <f t="shared" si="47"/>
        <v>384.27128015999995</v>
      </c>
      <c r="T81" s="8">
        <f t="shared" si="48"/>
        <v>725.61615320999999</v>
      </c>
      <c r="U81" s="8"/>
      <c r="V81" s="8"/>
    </row>
    <row r="82" spans="1:22" ht="15" customHeight="1" x14ac:dyDescent="0.3">
      <c r="A82" s="12" t="s">
        <v>89</v>
      </c>
      <c r="B82" s="8">
        <v>136.94510557000007</v>
      </c>
      <c r="C82" s="8">
        <v>81.934562489999976</v>
      </c>
      <c r="D82" s="8">
        <v>90.910428159999995</v>
      </c>
      <c r="E82" s="8">
        <f t="shared" si="42"/>
        <v>309.79009622000001</v>
      </c>
      <c r="F82" s="8">
        <v>120.07994806000004</v>
      </c>
      <c r="G82" s="8">
        <v>107.47114552000001</v>
      </c>
      <c r="H82" s="8">
        <v>96.851171889999989</v>
      </c>
      <c r="I82" s="8">
        <f t="shared" si="43"/>
        <v>324.40226547000003</v>
      </c>
      <c r="J82" s="8">
        <f t="shared" si="44"/>
        <v>634.1923616900001</v>
      </c>
      <c r="K82" s="8">
        <v>96.759532560000011</v>
      </c>
      <c r="L82" s="8">
        <v>101.92877102000003</v>
      </c>
      <c r="M82" s="8">
        <v>87.501519939999966</v>
      </c>
      <c r="N82" s="8">
        <f t="shared" si="45"/>
        <v>286.18982352</v>
      </c>
      <c r="O82" s="8">
        <v>88.233351479999996</v>
      </c>
      <c r="P82" s="8">
        <v>106.25394757999996</v>
      </c>
      <c r="Q82" s="8">
        <v>100.13358591000004</v>
      </c>
      <c r="R82" s="8">
        <f t="shared" si="46"/>
        <v>294.62088496999996</v>
      </c>
      <c r="S82" s="8">
        <f t="shared" si="47"/>
        <v>580.81070849000002</v>
      </c>
      <c r="T82" s="8">
        <f t="shared" si="48"/>
        <v>1215.0030701800001</v>
      </c>
      <c r="U82" s="8"/>
      <c r="V82" s="8"/>
    </row>
    <row r="83" spans="1:22" ht="15" customHeight="1" x14ac:dyDescent="0.3">
      <c r="A83" s="12" t="s">
        <v>90</v>
      </c>
      <c r="B83" s="8">
        <v>129.70728320999999</v>
      </c>
      <c r="C83" s="8">
        <v>63.851236879999988</v>
      </c>
      <c r="D83" s="8">
        <v>81.507635179999994</v>
      </c>
      <c r="E83" s="8">
        <f t="shared" si="42"/>
        <v>275.06615526999997</v>
      </c>
      <c r="F83" s="8">
        <v>136.43237528</v>
      </c>
      <c r="G83" s="8">
        <v>87.102893649999984</v>
      </c>
      <c r="H83" s="8">
        <v>88.504749769999989</v>
      </c>
      <c r="I83" s="8">
        <f t="shared" si="43"/>
        <v>312.04001869999996</v>
      </c>
      <c r="J83" s="8">
        <f t="shared" si="44"/>
        <v>587.10617396999987</v>
      </c>
      <c r="K83" s="8">
        <v>97.979944069999988</v>
      </c>
      <c r="L83" s="8">
        <v>84.592946990000016</v>
      </c>
      <c r="M83" s="8">
        <v>76.645703830000002</v>
      </c>
      <c r="N83" s="8">
        <f t="shared" si="45"/>
        <v>259.21859489000002</v>
      </c>
      <c r="O83" s="8">
        <v>92.887367499999996</v>
      </c>
      <c r="P83" s="8">
        <v>98.736510799999976</v>
      </c>
      <c r="Q83" s="8">
        <v>99.924156710000005</v>
      </c>
      <c r="R83" s="8">
        <f t="shared" si="46"/>
        <v>291.54803500999998</v>
      </c>
      <c r="S83" s="8">
        <f t="shared" si="47"/>
        <v>550.7666299</v>
      </c>
      <c r="T83" s="8">
        <f t="shared" si="48"/>
        <v>1137.8728038699999</v>
      </c>
      <c r="U83" s="8"/>
      <c r="V83" s="8"/>
    </row>
    <row r="84" spans="1:22" ht="18" customHeight="1" x14ac:dyDescent="0.3">
      <c r="A84" s="12" t="s">
        <v>91</v>
      </c>
      <c r="B84" s="8">
        <v>730.76359519999971</v>
      </c>
      <c r="C84" s="8">
        <v>402.61930110999987</v>
      </c>
      <c r="D84" s="8">
        <v>472.79870303000052</v>
      </c>
      <c r="E84" s="8">
        <f t="shared" si="42"/>
        <v>1606.18159934</v>
      </c>
      <c r="F84" s="8">
        <v>808.91413534999992</v>
      </c>
      <c r="G84" s="8">
        <v>530.38373675999992</v>
      </c>
      <c r="H84" s="8">
        <v>497.29196667999963</v>
      </c>
      <c r="I84" s="8">
        <f t="shared" si="43"/>
        <v>1836.5898387899995</v>
      </c>
      <c r="J84" s="8">
        <f t="shared" si="44"/>
        <v>3442.7714381299993</v>
      </c>
      <c r="K84" s="8">
        <v>563.51320227000053</v>
      </c>
      <c r="L84" s="8">
        <v>513.90257967000014</v>
      </c>
      <c r="M84" s="8">
        <v>445.76040656999982</v>
      </c>
      <c r="N84" s="8">
        <f t="shared" si="45"/>
        <v>1523.1761885100004</v>
      </c>
      <c r="O84" s="8">
        <v>544.20567434000043</v>
      </c>
      <c r="P84" s="8">
        <v>528.94531579000011</v>
      </c>
      <c r="Q84" s="8">
        <v>691.67629056999976</v>
      </c>
      <c r="R84" s="8">
        <f t="shared" si="46"/>
        <v>1764.8272807000003</v>
      </c>
      <c r="S84" s="8">
        <f t="shared" si="47"/>
        <v>3288.0034692100007</v>
      </c>
      <c r="T84" s="8">
        <f t="shared" si="48"/>
        <v>6730.77490734</v>
      </c>
      <c r="U84" s="8"/>
      <c r="V84" s="8"/>
    </row>
    <row r="85" spans="1:22" s="10" customFormat="1" ht="15" customHeight="1" x14ac:dyDescent="0.3">
      <c r="A85" s="3"/>
      <c r="B85" s="11"/>
      <c r="C85" s="11"/>
      <c r="D85" s="11"/>
      <c r="E85" s="11"/>
      <c r="F85" s="11"/>
      <c r="G85" s="11"/>
      <c r="H85" s="11"/>
      <c r="I85" s="11"/>
      <c r="J85" s="11"/>
      <c r="K85" s="11"/>
      <c r="L85" s="11"/>
      <c r="M85" s="11"/>
      <c r="N85" s="11"/>
      <c r="O85" s="11"/>
      <c r="P85" s="11"/>
      <c r="Q85" s="11"/>
      <c r="R85" s="11"/>
      <c r="S85" s="11"/>
      <c r="T85" s="11"/>
      <c r="U85" s="11"/>
      <c r="V85" s="11"/>
    </row>
    <row r="86" spans="1:22" s="10" customFormat="1" ht="15" customHeight="1" x14ac:dyDescent="0.25">
      <c r="A86" s="10" t="s">
        <v>92</v>
      </c>
      <c r="B86" s="11">
        <f>SUM(B87:B88)</f>
        <v>960.90436051999973</v>
      </c>
      <c r="C86" s="11">
        <f>SUM(C87:C88)</f>
        <v>767.80533504000005</v>
      </c>
      <c r="D86" s="11">
        <f>SUM(D87:D88)</f>
        <v>747.12245162000045</v>
      </c>
      <c r="E86" s="11">
        <f>SUM(B86:D86)</f>
        <v>2475.83214718</v>
      </c>
      <c r="F86" s="11">
        <f>SUM(F87:F88)</f>
        <v>1117.9343878500001</v>
      </c>
      <c r="G86" s="11">
        <f>SUM(G87:G88)</f>
        <v>834.48484097000005</v>
      </c>
      <c r="H86" s="11">
        <f>SUM(H87:H88)</f>
        <v>874.24628243999973</v>
      </c>
      <c r="I86" s="11">
        <f>SUM(F86:H86)</f>
        <v>2826.6655112600001</v>
      </c>
      <c r="J86" s="11">
        <f>+E86+I86</f>
        <v>5302.4976584400001</v>
      </c>
      <c r="K86" s="11">
        <f>SUM(K87:K88)</f>
        <v>837.52303255999993</v>
      </c>
      <c r="L86" s="11">
        <f>SUM(L87:L88)</f>
        <v>797.88849903999983</v>
      </c>
      <c r="M86" s="11">
        <f>SUM(M87:M88)</f>
        <v>719.75533014999962</v>
      </c>
      <c r="N86" s="11">
        <f>SUM(K86:M86)</f>
        <v>2355.1668617499995</v>
      </c>
      <c r="O86" s="11">
        <f>SUM(O87:O88)</f>
        <v>852.76583997000046</v>
      </c>
      <c r="P86" s="11">
        <f>SUM(P87:P88)</f>
        <v>942.59418882999978</v>
      </c>
      <c r="Q86" s="11">
        <f>SUM(Q87:Q88)</f>
        <v>787.10144921000006</v>
      </c>
      <c r="R86" s="11">
        <f>SUM(O86:Q86)</f>
        <v>2582.4614780100001</v>
      </c>
      <c r="S86" s="11">
        <f>+N86+R86</f>
        <v>4937.62833976</v>
      </c>
      <c r="T86" s="11">
        <f>+J86+S86</f>
        <v>10240.125998200001</v>
      </c>
      <c r="U86" s="11"/>
      <c r="V86" s="11"/>
    </row>
    <row r="87" spans="1:22" ht="15" customHeight="1" x14ac:dyDescent="0.3">
      <c r="A87" s="12" t="s">
        <v>93</v>
      </c>
      <c r="B87" s="8">
        <v>719.06554195999956</v>
      </c>
      <c r="C87" s="8">
        <v>488.86803500999991</v>
      </c>
      <c r="D87" s="8">
        <v>535.54117110000016</v>
      </c>
      <c r="E87" s="8">
        <f>SUM(B87:D87)</f>
        <v>1743.4747480699996</v>
      </c>
      <c r="F87" s="8">
        <v>827.54668210000023</v>
      </c>
      <c r="G87" s="8">
        <v>639.45028018999983</v>
      </c>
      <c r="H87" s="8">
        <v>695.12768590999985</v>
      </c>
      <c r="I87" s="8">
        <f>SUM(F87:H87)</f>
        <v>2162.1246481999997</v>
      </c>
      <c r="J87" s="8">
        <f>+E87+I87</f>
        <v>3905.5993962699995</v>
      </c>
      <c r="K87" s="8">
        <v>645.10316159000013</v>
      </c>
      <c r="L87" s="8">
        <v>602.73295795999991</v>
      </c>
      <c r="M87" s="8">
        <v>540.49714957999959</v>
      </c>
      <c r="N87" s="8">
        <f>SUM(K87:M87)</f>
        <v>1788.3332691299997</v>
      </c>
      <c r="O87" s="8">
        <v>634.46953366000037</v>
      </c>
      <c r="P87" s="8">
        <v>709.82409878999988</v>
      </c>
      <c r="Q87" s="8">
        <v>559.15701264000018</v>
      </c>
      <c r="R87" s="8">
        <f>SUM(O87:Q87)</f>
        <v>1903.4506450900003</v>
      </c>
      <c r="S87" s="8">
        <f>+N87+R87</f>
        <v>3691.78391422</v>
      </c>
      <c r="T87" s="8">
        <f>+J87+S87</f>
        <v>7597.3833104899995</v>
      </c>
      <c r="U87" s="8"/>
      <c r="V87" s="8"/>
    </row>
    <row r="88" spans="1:22" ht="15" customHeight="1" x14ac:dyDescent="0.3">
      <c r="A88" s="12" t="s">
        <v>94</v>
      </c>
      <c r="B88" s="8">
        <v>241.83881856000013</v>
      </c>
      <c r="C88" s="8">
        <v>278.93730003000007</v>
      </c>
      <c r="D88" s="8">
        <v>211.58128052000026</v>
      </c>
      <c r="E88" s="8">
        <f>SUM(B88:D88)</f>
        <v>732.35739911000053</v>
      </c>
      <c r="F88" s="8">
        <v>290.38770574999995</v>
      </c>
      <c r="G88" s="8">
        <v>195.03456078000016</v>
      </c>
      <c r="H88" s="8">
        <v>179.11859652999993</v>
      </c>
      <c r="I88" s="8">
        <f>SUM(F88:H88)</f>
        <v>664.54086305999999</v>
      </c>
      <c r="J88" s="8">
        <f>+E88+I88</f>
        <v>1396.8982621700006</v>
      </c>
      <c r="K88" s="8">
        <v>192.41987096999981</v>
      </c>
      <c r="L88" s="8">
        <v>195.15554107999992</v>
      </c>
      <c r="M88" s="8">
        <v>179.25818057000006</v>
      </c>
      <c r="N88" s="8">
        <f>SUM(K88:M88)</f>
        <v>566.83359261999976</v>
      </c>
      <c r="O88" s="8">
        <v>218.29630631000009</v>
      </c>
      <c r="P88" s="8">
        <v>232.77009003999993</v>
      </c>
      <c r="Q88" s="8">
        <v>227.94443656999994</v>
      </c>
      <c r="R88" s="8">
        <f>SUM(O88:Q88)</f>
        <v>679.01083291999998</v>
      </c>
      <c r="S88" s="8">
        <f>+N88+R88</f>
        <v>1245.8444255399997</v>
      </c>
      <c r="T88" s="8">
        <f>+J88+S88</f>
        <v>2642.7426877100006</v>
      </c>
      <c r="U88" s="8"/>
      <c r="V88" s="8"/>
    </row>
    <row r="89" spans="1:22" s="10" customFormat="1" ht="15" customHeight="1" x14ac:dyDescent="0.3">
      <c r="A89" s="3"/>
      <c r="B89" s="11"/>
      <c r="C89" s="11"/>
      <c r="D89" s="11"/>
      <c r="E89" s="11"/>
      <c r="F89" s="11"/>
      <c r="G89" s="11"/>
      <c r="H89" s="11"/>
      <c r="I89" s="11"/>
      <c r="J89" s="11"/>
      <c r="K89" s="11"/>
      <c r="L89" s="11"/>
      <c r="M89" s="11"/>
      <c r="N89" s="11"/>
      <c r="O89" s="11"/>
      <c r="P89" s="11"/>
      <c r="Q89" s="11"/>
      <c r="R89" s="11"/>
      <c r="S89" s="11"/>
      <c r="T89" s="11"/>
      <c r="U89" s="11"/>
      <c r="V89" s="11"/>
    </row>
    <row r="90" spans="1:22" s="10" customFormat="1" ht="15" customHeight="1" x14ac:dyDescent="0.25">
      <c r="A90" s="10" t="s">
        <v>95</v>
      </c>
      <c r="B90" s="11">
        <f>SUM(B91:B94)</f>
        <v>5388.0649559199992</v>
      </c>
      <c r="C90" s="11">
        <f>SUM(C91:C94)</f>
        <v>3403.6868578499993</v>
      </c>
      <c r="D90" s="11">
        <f>SUM(D91:D94)</f>
        <v>3990.3720158600017</v>
      </c>
      <c r="E90" s="11">
        <f>SUM(B90:D90)</f>
        <v>12782.12382963</v>
      </c>
      <c r="F90" s="11">
        <f>SUM(F91:F94)</f>
        <v>7350.4421201000005</v>
      </c>
      <c r="G90" s="11">
        <f>SUM(G91:G94)</f>
        <v>5115.4272106599983</v>
      </c>
      <c r="H90" s="11">
        <f>SUM(H91:H94)</f>
        <v>3988.2567422100001</v>
      </c>
      <c r="I90" s="11">
        <f>SUM(F90:H90)</f>
        <v>16454.126072970001</v>
      </c>
      <c r="J90" s="11">
        <f>+E90+I90</f>
        <v>29236.2499026</v>
      </c>
      <c r="K90" s="11">
        <f>SUM(K91:K94)</f>
        <v>4711.9277307299999</v>
      </c>
      <c r="L90" s="11">
        <f>SUM(L91:L94)</f>
        <v>5874.81077353</v>
      </c>
      <c r="M90" s="11">
        <f>SUM(M91:M94)</f>
        <v>4240.22495686</v>
      </c>
      <c r="N90" s="11">
        <f>SUM(K90:M90)</f>
        <v>14826.96346112</v>
      </c>
      <c r="O90" s="11">
        <f>SUM(O91:O94)</f>
        <v>4849.2597861399991</v>
      </c>
      <c r="P90" s="11">
        <f>SUM(P91:P94)</f>
        <v>6298.9986422499987</v>
      </c>
      <c r="Q90" s="11">
        <f>SUM(Q91:Q94)</f>
        <v>4220.9986398400015</v>
      </c>
      <c r="R90" s="11">
        <f>SUM(O90:Q90)</f>
        <v>15369.257068229999</v>
      </c>
      <c r="S90" s="11">
        <f>+N90+R90</f>
        <v>30196.220529350001</v>
      </c>
      <c r="T90" s="11">
        <f>+J90+S90</f>
        <v>59432.470431950002</v>
      </c>
      <c r="U90" s="11"/>
      <c r="V90" s="11"/>
    </row>
    <row r="91" spans="1:22" ht="15" customHeight="1" x14ac:dyDescent="0.3">
      <c r="A91" s="12" t="s">
        <v>96</v>
      </c>
      <c r="B91" s="8">
        <v>204.43335664999998</v>
      </c>
      <c r="C91" s="8">
        <v>148.62753526000006</v>
      </c>
      <c r="D91" s="8">
        <v>184.18952564999989</v>
      </c>
      <c r="E91" s="8">
        <f>SUM(B91:D91)</f>
        <v>537.25041755999996</v>
      </c>
      <c r="F91" s="8">
        <v>258.13227912000019</v>
      </c>
      <c r="G91" s="8">
        <v>173.41027416</v>
      </c>
      <c r="H91" s="8">
        <v>279.79206107999988</v>
      </c>
      <c r="I91" s="8">
        <f>SUM(F91:H91)</f>
        <v>711.33461436000016</v>
      </c>
      <c r="J91" s="8">
        <f>+E91+I91</f>
        <v>1248.5850319200001</v>
      </c>
      <c r="K91" s="8">
        <v>174.58634384000001</v>
      </c>
      <c r="L91" s="8">
        <v>232.9854724600003</v>
      </c>
      <c r="M91" s="8">
        <v>216.59510708000016</v>
      </c>
      <c r="N91" s="8">
        <f>SUM(K91:M91)</f>
        <v>624.16692338000053</v>
      </c>
      <c r="O91" s="8">
        <v>221.7798720899998</v>
      </c>
      <c r="P91" s="8">
        <v>210.98631301999998</v>
      </c>
      <c r="Q91" s="8">
        <v>198.44794034000009</v>
      </c>
      <c r="R91" s="8">
        <f>SUM(O91:Q91)</f>
        <v>631.21412544999987</v>
      </c>
      <c r="S91" s="8">
        <f>+N91+R91</f>
        <v>1255.3810488300005</v>
      </c>
      <c r="T91" s="8">
        <f>+J91+S91</f>
        <v>2503.9660807500004</v>
      </c>
      <c r="U91" s="8"/>
      <c r="V91" s="8"/>
    </row>
    <row r="92" spans="1:22" ht="15" customHeight="1" x14ac:dyDescent="0.3">
      <c r="A92" s="12" t="s">
        <v>97</v>
      </c>
      <c r="B92" s="8">
        <v>1494.111826249999</v>
      </c>
      <c r="C92" s="8">
        <v>868.97185756999977</v>
      </c>
      <c r="D92" s="8">
        <v>1111.5631999100008</v>
      </c>
      <c r="E92" s="8">
        <f>SUM(B92:D92)</f>
        <v>3474.6468837299999</v>
      </c>
      <c r="F92" s="8">
        <v>1729.2461103700009</v>
      </c>
      <c r="G92" s="8">
        <v>1168.0275732199996</v>
      </c>
      <c r="H92" s="8">
        <v>1104.6846282500005</v>
      </c>
      <c r="I92" s="8">
        <f>SUM(F92:H92)</f>
        <v>4001.958311840001</v>
      </c>
      <c r="J92" s="8">
        <f>+E92+I92</f>
        <v>7476.6051955700004</v>
      </c>
      <c r="K92" s="8">
        <v>1207.6732724500002</v>
      </c>
      <c r="L92" s="8">
        <v>1246.3317859100011</v>
      </c>
      <c r="M92" s="8">
        <v>1098.0232106500007</v>
      </c>
      <c r="N92" s="8">
        <f>SUM(K92:M92)</f>
        <v>3552.0282690100021</v>
      </c>
      <c r="O92" s="8">
        <v>1165.2281936899988</v>
      </c>
      <c r="P92" s="8">
        <v>1567.0617015499984</v>
      </c>
      <c r="Q92" s="8">
        <v>926.96392635000075</v>
      </c>
      <c r="R92" s="8">
        <f>SUM(O92:Q92)</f>
        <v>3659.2538215899981</v>
      </c>
      <c r="S92" s="8">
        <f>+N92+R92</f>
        <v>7211.2820905999997</v>
      </c>
      <c r="T92" s="8">
        <f>+J92+S92</f>
        <v>14687.88728617</v>
      </c>
      <c r="U92" s="8"/>
      <c r="V92" s="8"/>
    </row>
    <row r="93" spans="1:22" ht="15" customHeight="1" x14ac:dyDescent="0.3">
      <c r="A93" s="12" t="s">
        <v>98</v>
      </c>
      <c r="B93" s="8">
        <v>1363.3622818699998</v>
      </c>
      <c r="C93" s="8">
        <v>854.10763669000005</v>
      </c>
      <c r="D93" s="8">
        <v>1152.0213955400004</v>
      </c>
      <c r="E93" s="8">
        <f>SUM(B93:D93)</f>
        <v>3369.4913141000002</v>
      </c>
      <c r="F93" s="8">
        <v>2248.1793638899985</v>
      </c>
      <c r="G93" s="8">
        <v>1216.3722338999994</v>
      </c>
      <c r="H93" s="8">
        <v>1112.6598265999999</v>
      </c>
      <c r="I93" s="8">
        <f>SUM(F93:H93)</f>
        <v>4577.2114243899978</v>
      </c>
      <c r="J93" s="8">
        <f>+E93+I93</f>
        <v>7946.7027384899975</v>
      </c>
      <c r="K93" s="8">
        <v>1133.7285312000006</v>
      </c>
      <c r="L93" s="8">
        <v>1404.57575318</v>
      </c>
      <c r="M93" s="8">
        <v>1054.6967345199996</v>
      </c>
      <c r="N93" s="8">
        <f>SUM(K93:M93)</f>
        <v>3593.0010189</v>
      </c>
      <c r="O93" s="8">
        <v>1571.1847585999997</v>
      </c>
      <c r="P93" s="8">
        <v>1440.1887685899999</v>
      </c>
      <c r="Q93" s="8">
        <v>1088.3736138499999</v>
      </c>
      <c r="R93" s="8">
        <f>SUM(O93:Q93)</f>
        <v>4099.7471410399994</v>
      </c>
      <c r="S93" s="8">
        <f>+N93+R93</f>
        <v>7692.7481599399998</v>
      </c>
      <c r="T93" s="8">
        <f>+J93+S93</f>
        <v>15639.450898429997</v>
      </c>
      <c r="U93" s="8"/>
      <c r="V93" s="8"/>
    </row>
    <row r="94" spans="1:22" ht="18" customHeight="1" x14ac:dyDescent="0.3">
      <c r="A94" s="12" t="s">
        <v>99</v>
      </c>
      <c r="B94" s="8">
        <v>2326.1574911499997</v>
      </c>
      <c r="C94" s="8">
        <v>1531.9798283299995</v>
      </c>
      <c r="D94" s="8">
        <v>1542.5978947600004</v>
      </c>
      <c r="E94" s="8">
        <f>SUM(B94:D94)</f>
        <v>5400.7352142399996</v>
      </c>
      <c r="F94" s="8">
        <v>3114.8843667200003</v>
      </c>
      <c r="G94" s="8">
        <v>2557.6171293799998</v>
      </c>
      <c r="H94" s="8">
        <v>1491.1202262799998</v>
      </c>
      <c r="I94" s="8">
        <f>SUM(F94:H94)</f>
        <v>7163.6217223799995</v>
      </c>
      <c r="J94" s="8">
        <f>+E94+I94</f>
        <v>12564.356936619999</v>
      </c>
      <c r="K94" s="8">
        <v>2195.9395832399991</v>
      </c>
      <c r="L94" s="8">
        <v>2990.9177619799984</v>
      </c>
      <c r="M94" s="8">
        <v>1870.9099046099998</v>
      </c>
      <c r="N94" s="8">
        <f>SUM(K94:M94)</f>
        <v>7057.767249829998</v>
      </c>
      <c r="O94" s="8">
        <v>1891.0669617600004</v>
      </c>
      <c r="P94" s="8">
        <v>3080.7618590900001</v>
      </c>
      <c r="Q94" s="8">
        <v>2007.2131593000004</v>
      </c>
      <c r="R94" s="8">
        <f>SUM(O94:Q94)</f>
        <v>6979.0419801500011</v>
      </c>
      <c r="S94" s="8">
        <f>+N94+R94</f>
        <v>14036.809229979999</v>
      </c>
      <c r="T94" s="8">
        <f>+J94+S94</f>
        <v>26601.1661666</v>
      </c>
      <c r="U94" s="8"/>
      <c r="V94" s="8"/>
    </row>
    <row r="95" spans="1:22" ht="15" customHeight="1" x14ac:dyDescent="0.3">
      <c r="A95" s="12"/>
      <c r="B95" s="8"/>
      <c r="C95" s="8"/>
      <c r="D95" s="8"/>
      <c r="E95" s="8"/>
      <c r="F95" s="8"/>
      <c r="G95" s="8"/>
      <c r="H95" s="8"/>
      <c r="I95" s="8"/>
      <c r="J95" s="8"/>
      <c r="K95" s="8"/>
      <c r="L95" s="8"/>
      <c r="M95" s="8"/>
      <c r="N95" s="8"/>
      <c r="O95" s="8"/>
      <c r="P95" s="8"/>
      <c r="Q95" s="8"/>
      <c r="R95" s="8"/>
      <c r="S95" s="8"/>
      <c r="T95" s="8"/>
      <c r="U95" s="8"/>
      <c r="V95" s="8"/>
    </row>
    <row r="96" spans="1:22" s="10" customFormat="1" ht="15" customHeight="1" x14ac:dyDescent="0.25">
      <c r="A96" s="13" t="s">
        <v>100</v>
      </c>
      <c r="B96" s="11">
        <f>SUM(B97:B102)</f>
        <v>808.89122246999989</v>
      </c>
      <c r="C96" s="11">
        <f>SUM(C97:C102)</f>
        <v>491.20637453000001</v>
      </c>
      <c r="D96" s="11">
        <f>SUM(D97:D102)</f>
        <v>577.17873082999984</v>
      </c>
      <c r="E96" s="11">
        <f t="shared" ref="E96:E102" si="49">SUM(B96:D96)</f>
        <v>1877.2763278299999</v>
      </c>
      <c r="F96" s="11">
        <f>SUM(F97:F102)</f>
        <v>801.03723333999994</v>
      </c>
      <c r="G96" s="11">
        <f>SUM(G97:G102)</f>
        <v>607.18915159999995</v>
      </c>
      <c r="H96" s="11">
        <f>SUM(H97:H102)</f>
        <v>616.27501422000023</v>
      </c>
      <c r="I96" s="11">
        <f t="shared" ref="I96:I102" si="50">SUM(F96:H96)</f>
        <v>2024.5013991600001</v>
      </c>
      <c r="J96" s="11">
        <f t="shared" ref="J96:J102" si="51">+E96+I96</f>
        <v>3901.7777269899998</v>
      </c>
      <c r="K96" s="11">
        <f>SUM(K97:K102)</f>
        <v>632.52675228999988</v>
      </c>
      <c r="L96" s="11">
        <f>SUM(L97:L102)</f>
        <v>676.09522800999991</v>
      </c>
      <c r="M96" s="11">
        <f>SUM(M97:M102)</f>
        <v>610.6654364699998</v>
      </c>
      <c r="N96" s="11">
        <f t="shared" ref="N96:N102" si="52">SUM(K96:M96)</f>
        <v>1919.2874167699997</v>
      </c>
      <c r="O96" s="11">
        <f>SUM(O97:O102)</f>
        <v>697.70065568999996</v>
      </c>
      <c r="P96" s="11">
        <f>SUM(P97:P102)</f>
        <v>702.04057466000006</v>
      </c>
      <c r="Q96" s="11">
        <f>SUM(Q97:Q102)</f>
        <v>637.34080241000015</v>
      </c>
      <c r="R96" s="11">
        <f t="shared" ref="R96:R102" si="53">SUM(O96:Q96)</f>
        <v>2037.0820327600002</v>
      </c>
      <c r="S96" s="11">
        <f t="shared" ref="S96:S102" si="54">+N96+R96</f>
        <v>3956.3694495299997</v>
      </c>
      <c r="T96" s="11">
        <f t="shared" ref="T96:T102" si="55">+J96+S96</f>
        <v>7858.1471765199994</v>
      </c>
      <c r="U96" s="11"/>
      <c r="V96" s="11"/>
    </row>
    <row r="97" spans="1:22" ht="15" customHeight="1" x14ac:dyDescent="0.3">
      <c r="A97" s="12" t="s">
        <v>101</v>
      </c>
      <c r="B97" s="8">
        <v>66.88487778999999</v>
      </c>
      <c r="C97" s="8">
        <v>38.735397670000012</v>
      </c>
      <c r="D97" s="8">
        <v>48.992563139999994</v>
      </c>
      <c r="E97" s="8">
        <f t="shared" si="49"/>
        <v>154.6128386</v>
      </c>
      <c r="F97" s="8">
        <v>53.908399869999997</v>
      </c>
      <c r="G97" s="8">
        <v>53.794428849999989</v>
      </c>
      <c r="H97" s="8">
        <v>44.675662870000004</v>
      </c>
      <c r="I97" s="8">
        <f t="shared" si="50"/>
        <v>152.37849158999998</v>
      </c>
      <c r="J97" s="8">
        <f t="shared" si="51"/>
        <v>306.99133018999999</v>
      </c>
      <c r="K97" s="8">
        <v>45.470401239999994</v>
      </c>
      <c r="L97" s="8">
        <v>48.592099279999992</v>
      </c>
      <c r="M97" s="8">
        <v>45.448156289999993</v>
      </c>
      <c r="N97" s="8">
        <f t="shared" si="52"/>
        <v>139.51065680999997</v>
      </c>
      <c r="O97" s="8">
        <v>56.815002029999995</v>
      </c>
      <c r="P97" s="8">
        <v>52.320202719999997</v>
      </c>
      <c r="Q97" s="8">
        <v>43.405277639999994</v>
      </c>
      <c r="R97" s="8">
        <f t="shared" si="53"/>
        <v>152.54048238999997</v>
      </c>
      <c r="S97" s="8">
        <f t="shared" si="54"/>
        <v>292.05113919999997</v>
      </c>
      <c r="T97" s="8">
        <f t="shared" si="55"/>
        <v>599.04246938999995</v>
      </c>
      <c r="U97" s="8"/>
      <c r="V97" s="8"/>
    </row>
    <row r="98" spans="1:22" ht="15" customHeight="1" x14ac:dyDescent="0.3">
      <c r="A98" s="12" t="s">
        <v>102</v>
      </c>
      <c r="B98" s="8">
        <v>143.88434023999997</v>
      </c>
      <c r="C98" s="8">
        <v>100.02074566</v>
      </c>
      <c r="D98" s="8">
        <v>111.34474587999993</v>
      </c>
      <c r="E98" s="8">
        <f t="shared" si="49"/>
        <v>355.24983177999991</v>
      </c>
      <c r="F98" s="8">
        <v>196.45291194999996</v>
      </c>
      <c r="G98" s="8">
        <v>129.30660598999995</v>
      </c>
      <c r="H98" s="8">
        <v>110.20033238000003</v>
      </c>
      <c r="I98" s="8">
        <f t="shared" si="50"/>
        <v>435.95985031999993</v>
      </c>
      <c r="J98" s="8">
        <f t="shared" si="51"/>
        <v>791.20968209999978</v>
      </c>
      <c r="K98" s="8">
        <v>122.31168051999997</v>
      </c>
      <c r="L98" s="8">
        <v>155.52796008999991</v>
      </c>
      <c r="M98" s="8">
        <v>107.63485671999999</v>
      </c>
      <c r="N98" s="8">
        <f t="shared" si="52"/>
        <v>385.47449732999985</v>
      </c>
      <c r="O98" s="8">
        <v>139.54113951000002</v>
      </c>
      <c r="P98" s="8">
        <v>151.80968884000004</v>
      </c>
      <c r="Q98" s="8">
        <v>129.65259564000007</v>
      </c>
      <c r="R98" s="8">
        <f t="shared" si="53"/>
        <v>421.0034239900001</v>
      </c>
      <c r="S98" s="8">
        <f t="shared" si="54"/>
        <v>806.47792131999995</v>
      </c>
      <c r="T98" s="8">
        <f t="shared" si="55"/>
        <v>1597.6876034199997</v>
      </c>
      <c r="U98" s="8"/>
      <c r="V98" s="8"/>
    </row>
    <row r="99" spans="1:22" ht="15" customHeight="1" x14ac:dyDescent="0.3">
      <c r="A99" s="12" t="s">
        <v>103</v>
      </c>
      <c r="B99" s="8">
        <v>86.140627969999997</v>
      </c>
      <c r="C99" s="8">
        <v>44.215472739999989</v>
      </c>
      <c r="D99" s="8">
        <v>61.120572479999979</v>
      </c>
      <c r="E99" s="8">
        <f t="shared" si="49"/>
        <v>191.47667318999999</v>
      </c>
      <c r="F99" s="8">
        <v>60.259680200000012</v>
      </c>
      <c r="G99" s="8">
        <v>49.855962249999997</v>
      </c>
      <c r="H99" s="8">
        <v>57.066507289999997</v>
      </c>
      <c r="I99" s="8">
        <f t="shared" si="50"/>
        <v>167.18214974</v>
      </c>
      <c r="J99" s="8">
        <f t="shared" si="51"/>
        <v>358.65882292999999</v>
      </c>
      <c r="K99" s="8">
        <v>54.321242279999993</v>
      </c>
      <c r="L99" s="8">
        <v>67.294754670000003</v>
      </c>
      <c r="M99" s="8">
        <v>53.905194919999992</v>
      </c>
      <c r="N99" s="8">
        <f t="shared" si="52"/>
        <v>175.52119187</v>
      </c>
      <c r="O99" s="8">
        <v>54.956651899999997</v>
      </c>
      <c r="P99" s="8">
        <v>64.87142102</v>
      </c>
      <c r="Q99" s="8">
        <v>56.847207449999971</v>
      </c>
      <c r="R99" s="8">
        <f t="shared" si="53"/>
        <v>176.67528036999997</v>
      </c>
      <c r="S99" s="8">
        <f t="shared" si="54"/>
        <v>352.19647223999993</v>
      </c>
      <c r="T99" s="8">
        <f t="shared" si="55"/>
        <v>710.85529516999986</v>
      </c>
      <c r="U99" s="8"/>
      <c r="V99" s="8"/>
    </row>
    <row r="100" spans="1:22" ht="15" customHeight="1" x14ac:dyDescent="0.3">
      <c r="A100" s="12" t="s">
        <v>104</v>
      </c>
      <c r="B100" s="8">
        <v>116.65098424999999</v>
      </c>
      <c r="C100" s="8">
        <v>58.620938419999995</v>
      </c>
      <c r="D100" s="8">
        <v>76.914336259999956</v>
      </c>
      <c r="E100" s="8">
        <f t="shared" si="49"/>
        <v>252.18625892999995</v>
      </c>
      <c r="F100" s="8">
        <v>100.74151587</v>
      </c>
      <c r="G100" s="8">
        <v>73.899094199999979</v>
      </c>
      <c r="H100" s="8">
        <v>84.912957120000002</v>
      </c>
      <c r="I100" s="8">
        <f t="shared" si="50"/>
        <v>259.55356718999997</v>
      </c>
      <c r="J100" s="8">
        <f t="shared" si="51"/>
        <v>511.73982611999992</v>
      </c>
      <c r="K100" s="8">
        <v>89.934318849999983</v>
      </c>
      <c r="L100" s="8">
        <v>79.851170739999986</v>
      </c>
      <c r="M100" s="8">
        <v>82.841565019999962</v>
      </c>
      <c r="N100" s="8">
        <f t="shared" si="52"/>
        <v>252.62705460999993</v>
      </c>
      <c r="O100" s="8">
        <v>98.585713739999974</v>
      </c>
      <c r="P100" s="8">
        <v>95.888790460000067</v>
      </c>
      <c r="Q100" s="8">
        <v>93.070216930000043</v>
      </c>
      <c r="R100" s="8">
        <f t="shared" si="53"/>
        <v>287.54472113000008</v>
      </c>
      <c r="S100" s="8">
        <f t="shared" si="54"/>
        <v>540.17177574000004</v>
      </c>
      <c r="T100" s="8">
        <f t="shared" si="55"/>
        <v>1051.91160186</v>
      </c>
      <c r="U100" s="8"/>
      <c r="V100" s="8"/>
    </row>
    <row r="101" spans="1:22" ht="15" customHeight="1" x14ac:dyDescent="0.3">
      <c r="A101" s="12" t="s">
        <v>105</v>
      </c>
      <c r="B101" s="8">
        <v>70.773909999999987</v>
      </c>
      <c r="C101" s="8">
        <v>38.04733117</v>
      </c>
      <c r="D101" s="8">
        <v>43.381484180000008</v>
      </c>
      <c r="E101" s="8">
        <f t="shared" si="49"/>
        <v>152.20272534999998</v>
      </c>
      <c r="F101" s="8">
        <v>77.127916900000002</v>
      </c>
      <c r="G101" s="8">
        <v>52.32226719999997</v>
      </c>
      <c r="H101" s="8">
        <v>43.856558279999987</v>
      </c>
      <c r="I101" s="8">
        <f t="shared" si="50"/>
        <v>173.30674237999995</v>
      </c>
      <c r="J101" s="8">
        <f t="shared" si="51"/>
        <v>325.50946772999993</v>
      </c>
      <c r="K101" s="8">
        <v>49.976335729999981</v>
      </c>
      <c r="L101" s="8">
        <v>64.032675979999993</v>
      </c>
      <c r="M101" s="8">
        <v>46.511029999999977</v>
      </c>
      <c r="N101" s="8">
        <f t="shared" si="52"/>
        <v>160.52004170999996</v>
      </c>
      <c r="O101" s="8">
        <v>55.83830360999999</v>
      </c>
      <c r="P101" s="8">
        <v>68.336647259999992</v>
      </c>
      <c r="Q101" s="8">
        <v>42.363766599999977</v>
      </c>
      <c r="R101" s="8">
        <f t="shared" si="53"/>
        <v>166.53871746999994</v>
      </c>
      <c r="S101" s="8">
        <f t="shared" si="54"/>
        <v>327.05875917999992</v>
      </c>
      <c r="T101" s="8">
        <f t="shared" si="55"/>
        <v>652.56822690999979</v>
      </c>
      <c r="U101" s="8"/>
      <c r="V101" s="8"/>
    </row>
    <row r="102" spans="1:22" ht="18" customHeight="1" x14ac:dyDescent="0.3">
      <c r="A102" s="12" t="s">
        <v>106</v>
      </c>
      <c r="B102" s="8">
        <v>324.55648221999991</v>
      </c>
      <c r="C102" s="8">
        <v>211.56648887</v>
      </c>
      <c r="D102" s="8">
        <v>235.42502888999988</v>
      </c>
      <c r="E102" s="8">
        <f t="shared" si="49"/>
        <v>771.54799997999987</v>
      </c>
      <c r="F102" s="8">
        <v>312.54680854999998</v>
      </c>
      <c r="G102" s="8">
        <v>248.01079311000001</v>
      </c>
      <c r="H102" s="8">
        <v>275.56299628000011</v>
      </c>
      <c r="I102" s="8">
        <f t="shared" si="50"/>
        <v>836.12059794000015</v>
      </c>
      <c r="J102" s="8">
        <f t="shared" si="51"/>
        <v>1607.6685979200001</v>
      </c>
      <c r="K102" s="8">
        <v>270.51277367</v>
      </c>
      <c r="L102" s="8">
        <v>260.79656725000007</v>
      </c>
      <c r="M102" s="8">
        <v>274.32463351999985</v>
      </c>
      <c r="N102" s="8">
        <f t="shared" si="52"/>
        <v>805.63397443999997</v>
      </c>
      <c r="O102" s="8">
        <v>291.96384490000003</v>
      </c>
      <c r="P102" s="8">
        <v>268.81382435999996</v>
      </c>
      <c r="Q102" s="8">
        <v>272.00173814999999</v>
      </c>
      <c r="R102" s="8">
        <f t="shared" si="53"/>
        <v>832.77940740999998</v>
      </c>
      <c r="S102" s="8">
        <f t="shared" si="54"/>
        <v>1638.41338185</v>
      </c>
      <c r="T102" s="8">
        <f t="shared" si="55"/>
        <v>3246.0819797700001</v>
      </c>
      <c r="U102" s="8"/>
      <c r="V102" s="8"/>
    </row>
    <row r="103" spans="1:22" s="10" customFormat="1" ht="15" customHeight="1" x14ac:dyDescent="0.3">
      <c r="A103" s="12"/>
      <c r="B103" s="11"/>
      <c r="C103" s="11"/>
      <c r="D103" s="11"/>
      <c r="E103" s="11"/>
      <c r="F103" s="11"/>
      <c r="G103" s="11"/>
      <c r="H103" s="11"/>
      <c r="I103" s="11"/>
      <c r="J103" s="11"/>
      <c r="K103" s="11"/>
      <c r="L103" s="11"/>
      <c r="M103" s="11"/>
      <c r="N103" s="11"/>
      <c r="O103" s="11"/>
      <c r="P103" s="11"/>
      <c r="Q103" s="11"/>
      <c r="R103" s="11"/>
      <c r="S103" s="11"/>
      <c r="T103" s="11"/>
      <c r="U103" s="11"/>
      <c r="V103" s="11"/>
    </row>
    <row r="104" spans="1:22" s="10" customFormat="1" ht="15" customHeight="1" x14ac:dyDescent="0.25">
      <c r="A104" s="13" t="s">
        <v>107</v>
      </c>
      <c r="B104" s="11">
        <f>SUM(B105:B109)</f>
        <v>650.02864881999994</v>
      </c>
      <c r="C104" s="11">
        <f>SUM(C105:C109)</f>
        <v>402.93317956000021</v>
      </c>
      <c r="D104" s="11">
        <f>SUM(D105:D109)</f>
        <v>503.98163547000007</v>
      </c>
      <c r="E104" s="11">
        <f>SUM(B104:D104)</f>
        <v>1556.9434638500002</v>
      </c>
      <c r="F104" s="11">
        <f>SUM(F105:F109)</f>
        <v>660.32053920999988</v>
      </c>
      <c r="G104" s="11">
        <f>SUM(G105:G109)</f>
        <v>472.87743185999977</v>
      </c>
      <c r="H104" s="11">
        <f>SUM(H105:H109)</f>
        <v>474.68560367999976</v>
      </c>
      <c r="I104" s="11">
        <f>SUM(F104:H104)</f>
        <v>1607.8835747499995</v>
      </c>
      <c r="J104" s="11">
        <f>+E104+I104</f>
        <v>3164.8270385999995</v>
      </c>
      <c r="K104" s="11">
        <f>SUM(K105:K109)</f>
        <v>526.89331320600013</v>
      </c>
      <c r="L104" s="11">
        <f>SUM(L105:L109)</f>
        <v>525.2675419499999</v>
      </c>
      <c r="M104" s="11">
        <f>SUM(M105:M109)</f>
        <v>501.25459295000019</v>
      </c>
      <c r="N104" s="11">
        <f>SUM(K104:M104)</f>
        <v>1553.4154481060002</v>
      </c>
      <c r="O104" s="11">
        <f>SUM(O105:O109)</f>
        <v>552.79247101000033</v>
      </c>
      <c r="P104" s="11">
        <f>SUM(P105:P109)</f>
        <v>555.46420107999995</v>
      </c>
      <c r="Q104" s="11">
        <f>SUM(Q105:Q109)</f>
        <v>543.51178085000026</v>
      </c>
      <c r="R104" s="11">
        <f>SUM(O104:Q104)</f>
        <v>1651.7684529400008</v>
      </c>
      <c r="S104" s="11">
        <f>+N104+R104</f>
        <v>3205.1839010460008</v>
      </c>
      <c r="T104" s="11">
        <f>+J104+S104</f>
        <v>6370.0109396460002</v>
      </c>
      <c r="U104" s="11"/>
      <c r="V104" s="11"/>
    </row>
    <row r="105" spans="1:22" ht="15" customHeight="1" x14ac:dyDescent="0.3">
      <c r="A105" s="12" t="s">
        <v>108</v>
      </c>
      <c r="B105" s="8">
        <v>160.90606572999994</v>
      </c>
      <c r="C105" s="8">
        <v>112.98502825000004</v>
      </c>
      <c r="D105" s="8">
        <v>128.22560152000003</v>
      </c>
      <c r="E105" s="8">
        <f>SUM(B105:D105)</f>
        <v>402.11669549999999</v>
      </c>
      <c r="F105" s="8">
        <v>206.46759447000008</v>
      </c>
      <c r="G105" s="8">
        <v>137.59424749999997</v>
      </c>
      <c r="H105" s="8">
        <v>132.22250857999992</v>
      </c>
      <c r="I105" s="8">
        <f>SUM(F105:H105)</f>
        <v>476.28435055</v>
      </c>
      <c r="J105" s="8">
        <f>+E105+I105</f>
        <v>878.40104604999999</v>
      </c>
      <c r="K105" s="8">
        <v>134.25147818000002</v>
      </c>
      <c r="L105" s="8">
        <v>145.96650545</v>
      </c>
      <c r="M105" s="8">
        <v>145.82608808000003</v>
      </c>
      <c r="N105" s="8">
        <f>SUM(K105:M105)</f>
        <v>426.04407171000008</v>
      </c>
      <c r="O105" s="8">
        <v>178.59334038000028</v>
      </c>
      <c r="P105" s="8">
        <v>138.91378783999997</v>
      </c>
      <c r="Q105" s="8">
        <v>132.66450179999995</v>
      </c>
      <c r="R105" s="8">
        <f>SUM(O105:Q105)</f>
        <v>450.17163002000018</v>
      </c>
      <c r="S105" s="8">
        <f>+N105+R105</f>
        <v>876.21570173000032</v>
      </c>
      <c r="T105" s="8">
        <f>+J105+S105</f>
        <v>1754.6167477800004</v>
      </c>
      <c r="U105" s="8"/>
      <c r="V105" s="8"/>
    </row>
    <row r="106" spans="1:22" ht="15" customHeight="1" x14ac:dyDescent="0.3">
      <c r="A106" s="12" t="s">
        <v>109</v>
      </c>
      <c r="B106" s="8">
        <v>177.66248195000003</v>
      </c>
      <c r="C106" s="8">
        <v>87.708061290000032</v>
      </c>
      <c r="D106" s="8">
        <v>151.52510145000005</v>
      </c>
      <c r="E106" s="8">
        <f>SUM(B106:D106)</f>
        <v>416.89564469000015</v>
      </c>
      <c r="F106" s="8">
        <v>138.57033877999996</v>
      </c>
      <c r="G106" s="8">
        <v>106.03558066000001</v>
      </c>
      <c r="H106" s="8">
        <v>97.897478719999995</v>
      </c>
      <c r="I106" s="8">
        <f>SUM(F106:H106)</f>
        <v>342.50339815999996</v>
      </c>
      <c r="J106" s="8">
        <f>+E106+I106</f>
        <v>759.39904285000011</v>
      </c>
      <c r="K106" s="8">
        <v>126.02172873000005</v>
      </c>
      <c r="L106" s="8">
        <v>119.19938810000002</v>
      </c>
      <c r="M106" s="8">
        <v>99.969270210000005</v>
      </c>
      <c r="N106" s="8">
        <f>SUM(K106:M106)</f>
        <v>345.19038704000008</v>
      </c>
      <c r="O106" s="8">
        <v>128.32549256000001</v>
      </c>
      <c r="P106" s="8">
        <v>124.08097557999999</v>
      </c>
      <c r="Q106" s="8">
        <v>132.76233022</v>
      </c>
      <c r="R106" s="8">
        <f>SUM(O106:Q106)</f>
        <v>385.16879835999998</v>
      </c>
      <c r="S106" s="8">
        <f>+N106+R106</f>
        <v>730.35918540000011</v>
      </c>
      <c r="T106" s="8">
        <f>+J106+S106</f>
        <v>1489.7582282500002</v>
      </c>
      <c r="U106" s="8"/>
      <c r="V106" s="8"/>
    </row>
    <row r="107" spans="1:22" ht="15" customHeight="1" x14ac:dyDescent="0.3">
      <c r="A107" s="12" t="s">
        <v>110</v>
      </c>
      <c r="B107" s="8">
        <v>54.756783070000004</v>
      </c>
      <c r="C107" s="8">
        <v>40.332303730000007</v>
      </c>
      <c r="D107" s="8">
        <v>38.597905359999999</v>
      </c>
      <c r="E107" s="8">
        <f>SUM(B107:D107)</f>
        <v>133.68699216000002</v>
      </c>
      <c r="F107" s="8">
        <v>46.443597210000007</v>
      </c>
      <c r="G107" s="8">
        <v>35.166842960000004</v>
      </c>
      <c r="H107" s="8">
        <v>34.134662260000006</v>
      </c>
      <c r="I107" s="8">
        <f>SUM(F107:H107)</f>
        <v>115.74510243</v>
      </c>
      <c r="J107" s="8">
        <f>+E107+I107</f>
        <v>249.43209459000002</v>
      </c>
      <c r="K107" s="8">
        <v>45.615465640000004</v>
      </c>
      <c r="L107" s="8">
        <v>42.300742800000002</v>
      </c>
      <c r="M107" s="8">
        <v>48.486987080000006</v>
      </c>
      <c r="N107" s="8">
        <f>SUM(K107:M107)</f>
        <v>136.40319552</v>
      </c>
      <c r="O107" s="8">
        <v>37.249442600000002</v>
      </c>
      <c r="P107" s="8">
        <v>40.44846771000001</v>
      </c>
      <c r="Q107" s="8">
        <v>60.729568300000011</v>
      </c>
      <c r="R107" s="8">
        <f>SUM(O107:Q107)</f>
        <v>138.42747861000004</v>
      </c>
      <c r="S107" s="8">
        <f>+N107+R107</f>
        <v>274.83067413000003</v>
      </c>
      <c r="T107" s="8">
        <f>+J107+S107</f>
        <v>524.26276872000005</v>
      </c>
      <c r="U107" s="8"/>
      <c r="V107" s="8"/>
    </row>
    <row r="108" spans="1:22" ht="18" customHeight="1" x14ac:dyDescent="0.3">
      <c r="A108" s="12" t="s">
        <v>111</v>
      </c>
      <c r="B108" s="8"/>
      <c r="C108" s="8"/>
      <c r="D108" s="8"/>
      <c r="E108" s="8"/>
      <c r="F108" s="8"/>
      <c r="G108" s="8"/>
      <c r="H108" s="8"/>
      <c r="I108" s="8"/>
      <c r="J108" s="8"/>
      <c r="K108" s="8"/>
      <c r="L108" s="8"/>
      <c r="M108" s="8"/>
      <c r="N108" s="8"/>
      <c r="O108" s="8"/>
      <c r="P108" s="8"/>
      <c r="Q108" s="8"/>
      <c r="R108" s="8"/>
      <c r="S108" s="8"/>
      <c r="T108" s="8"/>
      <c r="U108" s="8"/>
      <c r="V108" s="8"/>
    </row>
    <row r="109" spans="1:22" ht="15" customHeight="1" x14ac:dyDescent="0.3">
      <c r="A109" s="12" t="s">
        <v>112</v>
      </c>
      <c r="B109" s="8">
        <v>256.70331807000002</v>
      </c>
      <c r="C109" s="8">
        <v>161.9077862900001</v>
      </c>
      <c r="D109" s="8">
        <v>185.63302714000002</v>
      </c>
      <c r="E109" s="8">
        <f>SUM(B109:D109)</f>
        <v>604.24413150000009</v>
      </c>
      <c r="F109" s="8">
        <v>268.83900874999978</v>
      </c>
      <c r="G109" s="8">
        <v>194.08076073999976</v>
      </c>
      <c r="H109" s="8">
        <v>210.43095411999983</v>
      </c>
      <c r="I109" s="8">
        <f>SUM(F109:H109)</f>
        <v>673.35072360999936</v>
      </c>
      <c r="J109" s="8">
        <f>+E109+I109</f>
        <v>1277.5948551099996</v>
      </c>
      <c r="K109" s="8">
        <v>221.00464065600005</v>
      </c>
      <c r="L109" s="8">
        <v>217.80090559999991</v>
      </c>
      <c r="M109" s="8">
        <v>206.97224758000013</v>
      </c>
      <c r="N109" s="8">
        <f>SUM(K109:M109)</f>
        <v>645.77779383600011</v>
      </c>
      <c r="O109" s="8">
        <v>208.62419546999996</v>
      </c>
      <c r="P109" s="8">
        <v>252.02096994999997</v>
      </c>
      <c r="Q109" s="8">
        <v>217.35538053000025</v>
      </c>
      <c r="R109" s="8">
        <f>SUM(O109:Q109)</f>
        <v>678.00054595000017</v>
      </c>
      <c r="S109" s="8">
        <f>+N109+R109</f>
        <v>1323.7783397860003</v>
      </c>
      <c r="T109" s="8">
        <f>+J109+S109</f>
        <v>2601.3731948959999</v>
      </c>
      <c r="U109" s="8"/>
      <c r="V109" s="8"/>
    </row>
    <row r="110" spans="1:22" s="10" customFormat="1" ht="15" customHeight="1" x14ac:dyDescent="0.3">
      <c r="A110" s="12"/>
      <c r="B110" s="11"/>
      <c r="C110" s="11"/>
      <c r="D110" s="11"/>
      <c r="E110" s="11"/>
      <c r="F110" s="11"/>
      <c r="G110" s="11"/>
      <c r="H110" s="11"/>
      <c r="I110" s="11"/>
      <c r="J110" s="11"/>
      <c r="K110" s="11"/>
      <c r="L110" s="11"/>
      <c r="M110" s="11"/>
      <c r="N110" s="11"/>
      <c r="O110" s="11"/>
      <c r="P110" s="11"/>
      <c r="Q110" s="11"/>
      <c r="R110" s="11"/>
      <c r="S110" s="11"/>
      <c r="T110" s="11"/>
      <c r="U110" s="11"/>
      <c r="V110" s="11"/>
    </row>
    <row r="111" spans="1:22" s="10" customFormat="1" ht="15" customHeight="1" x14ac:dyDescent="0.25">
      <c r="A111" s="13" t="s">
        <v>113</v>
      </c>
      <c r="B111" s="11">
        <f>SUM(B112:B116)</f>
        <v>1214.4095324940006</v>
      </c>
      <c r="C111" s="11">
        <f>SUM(C112:C116)</f>
        <v>794.42576755999994</v>
      </c>
      <c r="D111" s="11">
        <f>SUM(D112:D116)</f>
        <v>869.75382871999977</v>
      </c>
      <c r="E111" s="11">
        <f t="shared" ref="E111:E116" si="56">SUM(B111:D111)</f>
        <v>2878.5891287740005</v>
      </c>
      <c r="F111" s="11">
        <f>SUM(F112:F116)</f>
        <v>1227.9410525099997</v>
      </c>
      <c r="G111" s="11">
        <f>SUM(G112:G116)</f>
        <v>956.32593770999983</v>
      </c>
      <c r="H111" s="11">
        <f>SUM(H112:H116)</f>
        <v>884.46780291999983</v>
      </c>
      <c r="I111" s="11">
        <f t="shared" ref="I111:I116" si="57">SUM(F111:H111)</f>
        <v>3068.7347931399995</v>
      </c>
      <c r="J111" s="11">
        <f t="shared" ref="J111:J116" si="58">+E111+I111</f>
        <v>5947.3239219139996</v>
      </c>
      <c r="K111" s="11">
        <f>SUM(K112:K116)</f>
        <v>878.29526815999975</v>
      </c>
      <c r="L111" s="11">
        <f>SUM(L112:L116)</f>
        <v>999.46567260999996</v>
      </c>
      <c r="M111" s="11">
        <f>SUM(M112:M116)</f>
        <v>806.95212172999959</v>
      </c>
      <c r="N111" s="11">
        <f t="shared" ref="N111:N116" si="59">SUM(K111:M111)</f>
        <v>2684.7130624999991</v>
      </c>
      <c r="O111" s="11">
        <f>SUM(O112:O116)</f>
        <v>884.90826279999908</v>
      </c>
      <c r="P111" s="11">
        <f>SUM(P112:P116)</f>
        <v>1089.0011421700001</v>
      </c>
      <c r="Q111" s="11">
        <f>SUM(Q112:Q116)</f>
        <v>1031.4619724399993</v>
      </c>
      <c r="R111" s="11">
        <f t="shared" ref="R111:R116" si="60">SUM(O111:Q111)</f>
        <v>3005.3713774099988</v>
      </c>
      <c r="S111" s="11">
        <f t="shared" ref="S111:S116" si="61">+N111+R111</f>
        <v>5690.0844399099979</v>
      </c>
      <c r="T111" s="11">
        <f t="shared" ref="T111:T116" si="62">+J111+S111</f>
        <v>11637.408361823997</v>
      </c>
      <c r="U111" s="11"/>
      <c r="V111" s="11"/>
    </row>
    <row r="112" spans="1:22" ht="15" customHeight="1" x14ac:dyDescent="0.3">
      <c r="A112" s="12" t="s">
        <v>114</v>
      </c>
      <c r="B112" s="8">
        <v>262.43575604000006</v>
      </c>
      <c r="C112" s="8">
        <v>131.09011670000001</v>
      </c>
      <c r="D112" s="8">
        <v>151.86071248999988</v>
      </c>
      <c r="E112" s="8">
        <f t="shared" si="56"/>
        <v>545.38658522999992</v>
      </c>
      <c r="F112" s="8">
        <v>265.75175351999985</v>
      </c>
      <c r="G112" s="8">
        <v>194.15756185999999</v>
      </c>
      <c r="H112" s="8">
        <v>200.62865792000005</v>
      </c>
      <c r="I112" s="8">
        <f t="shared" si="57"/>
        <v>660.53797329999986</v>
      </c>
      <c r="J112" s="8">
        <f t="shared" si="58"/>
        <v>1205.9245585299998</v>
      </c>
      <c r="K112" s="8">
        <v>186.16488365000009</v>
      </c>
      <c r="L112" s="8">
        <v>169.57341771999995</v>
      </c>
      <c r="M112" s="8">
        <v>155.82532205999996</v>
      </c>
      <c r="N112" s="8">
        <f t="shared" si="59"/>
        <v>511.56362343000001</v>
      </c>
      <c r="O112" s="8">
        <v>187.33068878999993</v>
      </c>
      <c r="P112" s="8">
        <v>207.3846447899999</v>
      </c>
      <c r="Q112" s="8">
        <v>202.35775588999988</v>
      </c>
      <c r="R112" s="8">
        <f t="shared" si="60"/>
        <v>597.07308946999967</v>
      </c>
      <c r="S112" s="8">
        <f t="shared" si="61"/>
        <v>1108.6367128999996</v>
      </c>
      <c r="T112" s="8">
        <f t="shared" si="62"/>
        <v>2314.5612714299996</v>
      </c>
      <c r="U112" s="8"/>
      <c r="V112" s="8"/>
    </row>
    <row r="113" spans="1:22" ht="15" customHeight="1" x14ac:dyDescent="0.3">
      <c r="A113" s="12" t="s">
        <v>115</v>
      </c>
      <c r="B113" s="8">
        <v>150.71815725999997</v>
      </c>
      <c r="C113" s="8">
        <v>118.08723735</v>
      </c>
      <c r="D113" s="8">
        <v>126.26325313000002</v>
      </c>
      <c r="E113" s="8">
        <f t="shared" si="56"/>
        <v>395.06864773999996</v>
      </c>
      <c r="F113" s="8">
        <v>154.55202973000002</v>
      </c>
      <c r="G113" s="8">
        <v>132.25010996999998</v>
      </c>
      <c r="H113" s="8">
        <v>129.99813559999996</v>
      </c>
      <c r="I113" s="8">
        <f t="shared" si="57"/>
        <v>416.80027529999995</v>
      </c>
      <c r="J113" s="8">
        <f t="shared" si="58"/>
        <v>811.86892303999991</v>
      </c>
      <c r="K113" s="8">
        <v>110.04422443000007</v>
      </c>
      <c r="L113" s="8">
        <v>147.31006436999988</v>
      </c>
      <c r="M113" s="8">
        <v>110.99962007999999</v>
      </c>
      <c r="N113" s="8">
        <f t="shared" si="59"/>
        <v>368.35390887999995</v>
      </c>
      <c r="O113" s="8">
        <v>122.57755626999993</v>
      </c>
      <c r="P113" s="8">
        <v>134.45445208999996</v>
      </c>
      <c r="Q113" s="8">
        <v>166.64083321999996</v>
      </c>
      <c r="R113" s="8">
        <f t="shared" si="60"/>
        <v>423.67284157999984</v>
      </c>
      <c r="S113" s="8">
        <f t="shared" si="61"/>
        <v>792.02675045999979</v>
      </c>
      <c r="T113" s="8">
        <f t="shared" si="62"/>
        <v>1603.8956734999997</v>
      </c>
      <c r="U113" s="8"/>
      <c r="V113" s="8"/>
    </row>
    <row r="114" spans="1:22" ht="15" customHeight="1" x14ac:dyDescent="0.3">
      <c r="A114" s="12" t="s">
        <v>116</v>
      </c>
      <c r="B114" s="8">
        <v>146.054588814</v>
      </c>
      <c r="C114" s="8">
        <v>86.558137050000042</v>
      </c>
      <c r="D114" s="8">
        <v>87.150836069999983</v>
      </c>
      <c r="E114" s="8">
        <f t="shared" si="56"/>
        <v>319.76356193399999</v>
      </c>
      <c r="F114" s="8">
        <v>130.44735288999996</v>
      </c>
      <c r="G114" s="8">
        <v>92.220806809999971</v>
      </c>
      <c r="H114" s="8">
        <v>94.430126419999993</v>
      </c>
      <c r="I114" s="8">
        <f t="shared" si="57"/>
        <v>317.0982861199999</v>
      </c>
      <c r="J114" s="8">
        <f t="shared" si="58"/>
        <v>636.86184805399989</v>
      </c>
      <c r="K114" s="8">
        <v>101.25191530000008</v>
      </c>
      <c r="L114" s="8">
        <v>83.899317989999986</v>
      </c>
      <c r="M114" s="8">
        <v>96.995315430000019</v>
      </c>
      <c r="N114" s="8">
        <f t="shared" si="59"/>
        <v>282.14654872000006</v>
      </c>
      <c r="O114" s="8">
        <v>100.18485231000001</v>
      </c>
      <c r="P114" s="8">
        <v>132.7473684899999</v>
      </c>
      <c r="Q114" s="8">
        <v>115.18184593000004</v>
      </c>
      <c r="R114" s="8">
        <f t="shared" si="60"/>
        <v>348.11406672999999</v>
      </c>
      <c r="S114" s="8">
        <f t="shared" si="61"/>
        <v>630.26061545000005</v>
      </c>
      <c r="T114" s="8">
        <f t="shared" si="62"/>
        <v>1267.1224635039998</v>
      </c>
      <c r="U114" s="8"/>
      <c r="V114" s="8"/>
    </row>
    <row r="115" spans="1:22" ht="18" customHeight="1" x14ac:dyDescent="0.3">
      <c r="A115" s="12" t="s">
        <v>117</v>
      </c>
      <c r="B115" s="8">
        <v>70.292481099999975</v>
      </c>
      <c r="C115" s="8">
        <v>52.547631079999995</v>
      </c>
      <c r="D115" s="8">
        <v>50.880175529999995</v>
      </c>
      <c r="E115" s="8">
        <f t="shared" si="56"/>
        <v>173.72028770999998</v>
      </c>
      <c r="F115" s="8">
        <v>80.541319480000013</v>
      </c>
      <c r="G115" s="8">
        <v>64.011607799999993</v>
      </c>
      <c r="H115" s="8">
        <v>42.858098560000002</v>
      </c>
      <c r="I115" s="8">
        <f t="shared" si="57"/>
        <v>187.41102584000001</v>
      </c>
      <c r="J115" s="8">
        <f t="shared" si="58"/>
        <v>361.13131354999996</v>
      </c>
      <c r="K115" s="8">
        <v>58.305697020000018</v>
      </c>
      <c r="L115" s="8">
        <v>47.041220409999994</v>
      </c>
      <c r="M115" s="8">
        <v>45.584745349999999</v>
      </c>
      <c r="N115" s="8">
        <f t="shared" si="59"/>
        <v>150.93166278000001</v>
      </c>
      <c r="O115" s="8">
        <v>56.981631140000033</v>
      </c>
      <c r="P115" s="8">
        <v>53.762485229999989</v>
      </c>
      <c r="Q115" s="8">
        <v>55.881554359999981</v>
      </c>
      <c r="R115" s="8">
        <f t="shared" si="60"/>
        <v>166.62567073000002</v>
      </c>
      <c r="S115" s="8">
        <f t="shared" si="61"/>
        <v>317.55733351000003</v>
      </c>
      <c r="T115" s="8">
        <f t="shared" si="62"/>
        <v>678.68864705999999</v>
      </c>
      <c r="U115" s="8"/>
      <c r="V115" s="8"/>
    </row>
    <row r="116" spans="1:22" ht="18" customHeight="1" x14ac:dyDescent="0.3">
      <c r="A116" s="12" t="s">
        <v>118</v>
      </c>
      <c r="B116" s="8">
        <v>584.90854928000067</v>
      </c>
      <c r="C116" s="8">
        <v>406.14264537999986</v>
      </c>
      <c r="D116" s="8">
        <v>453.59885149999997</v>
      </c>
      <c r="E116" s="8">
        <f t="shared" si="56"/>
        <v>1444.6500461600006</v>
      </c>
      <c r="F116" s="8">
        <v>596.64859688999991</v>
      </c>
      <c r="G116" s="8">
        <v>473.68585127</v>
      </c>
      <c r="H116" s="8">
        <v>416.55278441999985</v>
      </c>
      <c r="I116" s="8">
        <f t="shared" si="57"/>
        <v>1486.8872325799998</v>
      </c>
      <c r="J116" s="8">
        <f t="shared" si="58"/>
        <v>2931.5372787400001</v>
      </c>
      <c r="K116" s="8">
        <v>422.52854775999953</v>
      </c>
      <c r="L116" s="8">
        <v>551.64165212000023</v>
      </c>
      <c r="M116" s="8">
        <v>397.54711880999969</v>
      </c>
      <c r="N116" s="8">
        <f t="shared" si="59"/>
        <v>1371.7173186899995</v>
      </c>
      <c r="O116" s="8">
        <v>417.83353428999919</v>
      </c>
      <c r="P116" s="8">
        <v>560.65219157000024</v>
      </c>
      <c r="Q116" s="8">
        <v>491.39998303999937</v>
      </c>
      <c r="R116" s="8">
        <f t="shared" si="60"/>
        <v>1469.8857088999989</v>
      </c>
      <c r="S116" s="8">
        <f t="shared" si="61"/>
        <v>2841.6030275899984</v>
      </c>
      <c r="T116" s="8">
        <f t="shared" si="62"/>
        <v>5773.1403063299986</v>
      </c>
      <c r="U116" s="8"/>
      <c r="V116" s="8"/>
    </row>
    <row r="117" spans="1:22" s="10" customFormat="1" ht="15" customHeight="1" x14ac:dyDescent="0.3">
      <c r="A117" s="12"/>
      <c r="B117" s="11"/>
      <c r="C117" s="11"/>
      <c r="D117" s="11"/>
      <c r="E117" s="11"/>
      <c r="F117" s="11"/>
      <c r="G117" s="11"/>
      <c r="H117" s="11"/>
      <c r="I117" s="11"/>
      <c r="J117" s="11"/>
      <c r="K117" s="11"/>
      <c r="L117" s="11"/>
      <c r="M117" s="11"/>
      <c r="N117" s="11"/>
      <c r="O117" s="11"/>
      <c r="P117" s="11"/>
      <c r="Q117" s="11"/>
      <c r="R117" s="11"/>
      <c r="S117" s="11"/>
      <c r="T117" s="11"/>
      <c r="U117" s="11"/>
      <c r="V117" s="11"/>
    </row>
    <row r="118" spans="1:22" s="10" customFormat="1" ht="15" customHeight="1" x14ac:dyDescent="0.25">
      <c r="A118" s="13" t="s">
        <v>119</v>
      </c>
      <c r="B118" s="11">
        <f>SUM(B119:B123)</f>
        <v>3338.9310859799998</v>
      </c>
      <c r="C118" s="11">
        <f>SUM(C119:C123)</f>
        <v>2026.8125296799999</v>
      </c>
      <c r="D118" s="11">
        <f>SUM(D119:D123)</f>
        <v>2380.9488387799997</v>
      </c>
      <c r="E118" s="11">
        <f t="shared" ref="E118:E123" si="63">SUM(B118:D118)</f>
        <v>7746.692454439999</v>
      </c>
      <c r="F118" s="11">
        <f>SUM(F119:F123)</f>
        <v>4124.3978475699978</v>
      </c>
      <c r="G118" s="11">
        <f>SUM(G119:G123)</f>
        <v>3109.81901526</v>
      </c>
      <c r="H118" s="11">
        <f>SUM(H119:H123)</f>
        <v>2411.6814686900007</v>
      </c>
      <c r="I118" s="11">
        <f t="shared" ref="I118:I123" si="64">SUM(F118:H118)</f>
        <v>9645.8983315199985</v>
      </c>
      <c r="J118" s="11">
        <f t="shared" ref="J118:J123" si="65">+E118+I118</f>
        <v>17392.590785959997</v>
      </c>
      <c r="K118" s="11">
        <f>SUM(K119:K123)</f>
        <v>3155.413911650001</v>
      </c>
      <c r="L118" s="11">
        <f>SUM(L119:L123)</f>
        <v>3155.7391634599999</v>
      </c>
      <c r="M118" s="11">
        <f>SUM(M119:M123)</f>
        <v>2558.6557715199992</v>
      </c>
      <c r="N118" s="11">
        <f t="shared" ref="N118:N123" si="66">SUM(K118:M118)</f>
        <v>8869.8088466299996</v>
      </c>
      <c r="O118" s="11">
        <f>SUM(O119:O123)</f>
        <v>2734.3974399699996</v>
      </c>
      <c r="P118" s="11">
        <f>SUM(P119:P123)</f>
        <v>3436.2131970500009</v>
      </c>
      <c r="Q118" s="11">
        <f>SUM(Q119:Q123)</f>
        <v>2762.8029830299993</v>
      </c>
      <c r="R118" s="11">
        <f t="shared" ref="R118:R123" si="67">SUM(O118:Q118)</f>
        <v>8933.4136200499997</v>
      </c>
      <c r="S118" s="11">
        <f t="shared" ref="S118:S123" si="68">+N118+R118</f>
        <v>17803.222466679999</v>
      </c>
      <c r="T118" s="11">
        <f t="shared" ref="T118:T123" si="69">+J118+S118</f>
        <v>35195.81325264</v>
      </c>
      <c r="U118" s="11"/>
      <c r="V118" s="11"/>
    </row>
    <row r="119" spans="1:22" ht="15" customHeight="1" x14ac:dyDescent="0.3">
      <c r="A119" s="12" t="s">
        <v>120</v>
      </c>
      <c r="B119" s="8">
        <v>313.86945320000018</v>
      </c>
      <c r="C119" s="8">
        <v>281.40648856000007</v>
      </c>
      <c r="D119" s="8">
        <v>270.91893334000014</v>
      </c>
      <c r="E119" s="8">
        <f t="shared" si="63"/>
        <v>866.19487510000044</v>
      </c>
      <c r="F119" s="8">
        <v>390.71848407999971</v>
      </c>
      <c r="G119" s="8">
        <v>298.0872045000001</v>
      </c>
      <c r="H119" s="8">
        <v>287.68157909999996</v>
      </c>
      <c r="I119" s="8">
        <f t="shared" si="64"/>
        <v>976.48726767999983</v>
      </c>
      <c r="J119" s="8">
        <f t="shared" si="65"/>
        <v>1842.6821427800003</v>
      </c>
      <c r="K119" s="8">
        <v>288.41393923000004</v>
      </c>
      <c r="L119" s="8">
        <v>324.87697059000016</v>
      </c>
      <c r="M119" s="8">
        <v>277.85672599999998</v>
      </c>
      <c r="N119" s="8">
        <f t="shared" si="66"/>
        <v>891.14763582000023</v>
      </c>
      <c r="O119" s="8">
        <v>316.74572687000006</v>
      </c>
      <c r="P119" s="8">
        <v>358.61075184000015</v>
      </c>
      <c r="Q119" s="8">
        <v>264.51498484999996</v>
      </c>
      <c r="R119" s="8">
        <f t="shared" si="67"/>
        <v>939.87146356000017</v>
      </c>
      <c r="S119" s="8">
        <f t="shared" si="68"/>
        <v>1831.0190993800004</v>
      </c>
      <c r="T119" s="8">
        <f t="shared" si="69"/>
        <v>3673.7012421600007</v>
      </c>
      <c r="U119" s="8"/>
      <c r="V119" s="8"/>
    </row>
    <row r="120" spans="1:22" ht="15" customHeight="1" x14ac:dyDescent="0.3">
      <c r="A120" s="12" t="s">
        <v>121</v>
      </c>
      <c r="B120" s="8">
        <v>114.28087428999999</v>
      </c>
      <c r="C120" s="8">
        <v>92.570516169999991</v>
      </c>
      <c r="D120" s="8">
        <v>81.076126599999995</v>
      </c>
      <c r="E120" s="8">
        <f t="shared" si="63"/>
        <v>287.92751705999996</v>
      </c>
      <c r="F120" s="8">
        <v>138.81456510000001</v>
      </c>
      <c r="G120" s="8">
        <v>93.285035280000045</v>
      </c>
      <c r="H120" s="8">
        <v>101.34901693999997</v>
      </c>
      <c r="I120" s="8">
        <f t="shared" si="64"/>
        <v>333.44861732000004</v>
      </c>
      <c r="J120" s="8">
        <f t="shared" si="65"/>
        <v>621.37613437999994</v>
      </c>
      <c r="K120" s="8">
        <v>97.896346420001024</v>
      </c>
      <c r="L120" s="8">
        <v>118.65165448999997</v>
      </c>
      <c r="M120" s="8">
        <v>96.437748349999964</v>
      </c>
      <c r="N120" s="8">
        <f t="shared" si="66"/>
        <v>312.98574926000094</v>
      </c>
      <c r="O120" s="8">
        <v>129.85214796999989</v>
      </c>
      <c r="P120" s="8">
        <v>125.88306449999995</v>
      </c>
      <c r="Q120" s="8">
        <v>85.592225480000039</v>
      </c>
      <c r="R120" s="8">
        <f t="shared" si="67"/>
        <v>341.32743794999988</v>
      </c>
      <c r="S120" s="8">
        <f t="shared" si="68"/>
        <v>654.31318721000082</v>
      </c>
      <c r="T120" s="8">
        <f t="shared" si="69"/>
        <v>1275.6893215900009</v>
      </c>
      <c r="U120" s="8"/>
      <c r="V120" s="8"/>
    </row>
    <row r="121" spans="1:22" ht="15" customHeight="1" x14ac:dyDescent="0.3">
      <c r="A121" s="12" t="s">
        <v>122</v>
      </c>
      <c r="B121" s="8">
        <v>84.230698060000023</v>
      </c>
      <c r="C121" s="8">
        <v>44.240384479999996</v>
      </c>
      <c r="D121" s="8">
        <v>63.619702349999997</v>
      </c>
      <c r="E121" s="8">
        <f t="shared" si="63"/>
        <v>192.09078489000001</v>
      </c>
      <c r="F121" s="8">
        <v>69.990732509999972</v>
      </c>
      <c r="G121" s="8">
        <v>61.761864509999995</v>
      </c>
      <c r="H121" s="8">
        <v>57.993780749999992</v>
      </c>
      <c r="I121" s="8">
        <f t="shared" si="64"/>
        <v>189.74637776999995</v>
      </c>
      <c r="J121" s="8">
        <f t="shared" si="65"/>
        <v>381.83716265999999</v>
      </c>
      <c r="K121" s="8">
        <v>58.399952780000007</v>
      </c>
      <c r="L121" s="8">
        <v>56.522015569999986</v>
      </c>
      <c r="M121" s="8">
        <v>51.687008480000003</v>
      </c>
      <c r="N121" s="8">
        <f t="shared" si="66"/>
        <v>166.60897682999999</v>
      </c>
      <c r="O121" s="8">
        <v>61.883476899999991</v>
      </c>
      <c r="P121" s="8">
        <v>64.272311020000018</v>
      </c>
      <c r="Q121" s="8">
        <v>73.020043279999996</v>
      </c>
      <c r="R121" s="8">
        <f t="shared" si="67"/>
        <v>199.1758312</v>
      </c>
      <c r="S121" s="8">
        <f t="shared" si="68"/>
        <v>365.78480803000002</v>
      </c>
      <c r="T121" s="8">
        <f t="shared" si="69"/>
        <v>747.62197069000001</v>
      </c>
      <c r="U121" s="8"/>
      <c r="V121" s="8"/>
    </row>
    <row r="122" spans="1:22" ht="15" customHeight="1" x14ac:dyDescent="0.3">
      <c r="A122" s="12" t="s">
        <v>123</v>
      </c>
      <c r="B122" s="8">
        <v>1162.9870919099997</v>
      </c>
      <c r="C122" s="8">
        <v>779.59912295000049</v>
      </c>
      <c r="D122" s="8">
        <v>935.52161679000005</v>
      </c>
      <c r="E122" s="8">
        <f t="shared" si="63"/>
        <v>2878.1078316500002</v>
      </c>
      <c r="F122" s="8">
        <v>1280.3940482099983</v>
      </c>
      <c r="G122" s="8">
        <v>1004.2464242199997</v>
      </c>
      <c r="H122" s="8">
        <v>954.63993406000054</v>
      </c>
      <c r="I122" s="8">
        <f t="shared" si="64"/>
        <v>3239.2804064899988</v>
      </c>
      <c r="J122" s="8">
        <f t="shared" si="65"/>
        <v>6117.388238139999</v>
      </c>
      <c r="K122" s="8">
        <v>950.34963842000002</v>
      </c>
      <c r="L122" s="8">
        <v>1103.0862464600002</v>
      </c>
      <c r="M122" s="8">
        <v>885.19426353000017</v>
      </c>
      <c r="N122" s="8">
        <f t="shared" si="66"/>
        <v>2938.6301484100004</v>
      </c>
      <c r="O122" s="8">
        <v>1131.8273522399995</v>
      </c>
      <c r="P122" s="8">
        <v>1267.4805821800003</v>
      </c>
      <c r="Q122" s="8">
        <v>1101.9543428600002</v>
      </c>
      <c r="R122" s="8">
        <f t="shared" si="67"/>
        <v>3501.2622772799996</v>
      </c>
      <c r="S122" s="8">
        <f t="shared" si="68"/>
        <v>6439.89242569</v>
      </c>
      <c r="T122" s="8">
        <f t="shared" si="69"/>
        <v>12557.280663829999</v>
      </c>
      <c r="U122" s="8"/>
      <c r="V122" s="8"/>
    </row>
    <row r="123" spans="1:22" ht="18" customHeight="1" x14ac:dyDescent="0.3">
      <c r="A123" s="12" t="s">
        <v>124</v>
      </c>
      <c r="B123" s="8">
        <v>1663.5629685199999</v>
      </c>
      <c r="C123" s="8">
        <v>828.99601751999944</v>
      </c>
      <c r="D123" s="8">
        <v>1029.8124596999996</v>
      </c>
      <c r="E123" s="8">
        <f t="shared" si="63"/>
        <v>3522.3714457399992</v>
      </c>
      <c r="F123" s="8">
        <v>2244.4800176699996</v>
      </c>
      <c r="G123" s="8">
        <v>1652.4384867500005</v>
      </c>
      <c r="H123" s="8">
        <v>1010.01715784</v>
      </c>
      <c r="I123" s="8">
        <f t="shared" si="64"/>
        <v>4906.9356622600008</v>
      </c>
      <c r="J123" s="8">
        <f t="shared" si="65"/>
        <v>8429.3071080000009</v>
      </c>
      <c r="K123" s="8">
        <v>1760.3540347999999</v>
      </c>
      <c r="L123" s="8">
        <v>1552.6022763499993</v>
      </c>
      <c r="M123" s="8">
        <v>1247.4800251599991</v>
      </c>
      <c r="N123" s="8">
        <f t="shared" si="66"/>
        <v>4560.4363363099983</v>
      </c>
      <c r="O123" s="8">
        <v>1094.0887359900003</v>
      </c>
      <c r="P123" s="8">
        <v>1619.9664875100004</v>
      </c>
      <c r="Q123" s="8">
        <v>1237.7213865599992</v>
      </c>
      <c r="R123" s="8">
        <f t="shared" si="67"/>
        <v>3951.7766100599997</v>
      </c>
      <c r="S123" s="8">
        <f t="shared" si="68"/>
        <v>8512.2129463699985</v>
      </c>
      <c r="T123" s="8">
        <f t="shared" si="69"/>
        <v>16941.520054369998</v>
      </c>
      <c r="U123" s="8"/>
      <c r="V123" s="8"/>
    </row>
    <row r="124" spans="1:22" s="10" customFormat="1" ht="15" customHeight="1" x14ac:dyDescent="0.3">
      <c r="A124" s="12"/>
      <c r="B124" s="11"/>
      <c r="C124" s="11"/>
      <c r="D124" s="11"/>
      <c r="E124" s="11"/>
      <c r="F124" s="11"/>
      <c r="G124" s="11"/>
      <c r="H124" s="11"/>
      <c r="I124" s="11"/>
      <c r="J124" s="11"/>
      <c r="K124" s="11"/>
      <c r="L124" s="11"/>
      <c r="M124" s="11"/>
      <c r="N124" s="11"/>
      <c r="O124" s="11"/>
      <c r="P124" s="11"/>
      <c r="Q124" s="11"/>
      <c r="R124" s="11"/>
      <c r="S124" s="11"/>
      <c r="T124" s="11"/>
      <c r="U124" s="11"/>
      <c r="V124" s="11"/>
    </row>
    <row r="125" spans="1:22" s="10" customFormat="1" ht="15" customHeight="1" x14ac:dyDescent="0.25">
      <c r="A125" s="13" t="s">
        <v>125</v>
      </c>
      <c r="B125" s="11">
        <f>SUM(B126:B129)</f>
        <v>788.42489373000024</v>
      </c>
      <c r="C125" s="11">
        <f>SUM(C126:C129)</f>
        <v>486.30110050999991</v>
      </c>
      <c r="D125" s="11">
        <f>SUM(D126:D129)</f>
        <v>521.35862150000003</v>
      </c>
      <c r="E125" s="11">
        <f>SUM(B125:D125)</f>
        <v>1796.0846157400001</v>
      </c>
      <c r="F125" s="11">
        <f>SUM(F126:F129)</f>
        <v>785.56266124000012</v>
      </c>
      <c r="G125" s="11">
        <f>SUM(G126:G129)</f>
        <v>604.95508681000024</v>
      </c>
      <c r="H125" s="11">
        <f>SUM(H126:H129)</f>
        <v>540.5329717599999</v>
      </c>
      <c r="I125" s="11">
        <f>SUM(F125:H125)</f>
        <v>1931.0507198100004</v>
      </c>
      <c r="J125" s="11">
        <f>+E125+I125</f>
        <v>3727.1353355500005</v>
      </c>
      <c r="K125" s="11">
        <f>SUM(K126:K129)</f>
        <v>571.54488905999972</v>
      </c>
      <c r="L125" s="11">
        <f>SUM(L126:L129)</f>
        <v>668.96509406000018</v>
      </c>
      <c r="M125" s="11">
        <f>SUM(M126:M129)</f>
        <v>511.91543304999993</v>
      </c>
      <c r="N125" s="11">
        <f>SUM(K125:M125)</f>
        <v>1752.4254161700001</v>
      </c>
      <c r="O125" s="11">
        <f>SUM(O126:O129)</f>
        <v>580.15524759999971</v>
      </c>
      <c r="P125" s="11">
        <f>SUM(P126:P129)</f>
        <v>627.55725498000004</v>
      </c>
      <c r="Q125" s="11">
        <f>SUM(Q126:Q129)</f>
        <v>646.48728104999952</v>
      </c>
      <c r="R125" s="11">
        <f>SUM(O125:Q125)</f>
        <v>1854.1997836299993</v>
      </c>
      <c r="S125" s="11">
        <f>+N125+R125</f>
        <v>3606.6251997999993</v>
      </c>
      <c r="T125" s="11">
        <f>+J125+S125</f>
        <v>7333.7605353500003</v>
      </c>
      <c r="U125" s="11"/>
      <c r="V125" s="11"/>
    </row>
    <row r="126" spans="1:22" ht="15" customHeight="1" x14ac:dyDescent="0.3">
      <c r="A126" s="12" t="s">
        <v>126</v>
      </c>
      <c r="B126" s="8">
        <v>148.97937006000004</v>
      </c>
      <c r="C126" s="8">
        <v>110.47529209000002</v>
      </c>
      <c r="D126" s="8">
        <v>108.83196094000003</v>
      </c>
      <c r="E126" s="8">
        <f>SUM(B126:D126)</f>
        <v>368.28662309000009</v>
      </c>
      <c r="F126" s="8">
        <v>158.00126084000007</v>
      </c>
      <c r="G126" s="8">
        <v>121.67876317000001</v>
      </c>
      <c r="H126" s="8">
        <v>122.84496078000001</v>
      </c>
      <c r="I126" s="8">
        <f>SUM(F126:H126)</f>
        <v>402.52498479000008</v>
      </c>
      <c r="J126" s="8">
        <f>+E126+I126</f>
        <v>770.81160788000011</v>
      </c>
      <c r="K126" s="8">
        <v>128.88450765999997</v>
      </c>
      <c r="L126" s="8">
        <v>126.73980679000002</v>
      </c>
      <c r="M126" s="8">
        <v>109.22453356000001</v>
      </c>
      <c r="N126" s="8">
        <f>SUM(K126:M126)</f>
        <v>364.84884800999998</v>
      </c>
      <c r="O126" s="8">
        <v>135.61894821999996</v>
      </c>
      <c r="P126" s="8">
        <v>126.68521574999998</v>
      </c>
      <c r="Q126" s="8">
        <v>139.74188062999997</v>
      </c>
      <c r="R126" s="8">
        <f>SUM(O126:Q126)</f>
        <v>402.0460445999999</v>
      </c>
      <c r="S126" s="8">
        <f>+N126+R126</f>
        <v>766.89489260999994</v>
      </c>
      <c r="T126" s="8">
        <f>+J126+S126</f>
        <v>1537.7065004900001</v>
      </c>
      <c r="U126" s="8"/>
      <c r="V126" s="8"/>
    </row>
    <row r="127" spans="1:22" ht="15" customHeight="1" x14ac:dyDescent="0.3">
      <c r="A127" s="12" t="s">
        <v>127</v>
      </c>
      <c r="B127" s="8">
        <v>270.22491996000008</v>
      </c>
      <c r="C127" s="8">
        <v>170.85183614999997</v>
      </c>
      <c r="D127" s="8">
        <v>196.67608106999995</v>
      </c>
      <c r="E127" s="8">
        <f>SUM(B127:D127)</f>
        <v>637.75283717999991</v>
      </c>
      <c r="F127" s="8">
        <v>336.29398198000001</v>
      </c>
      <c r="G127" s="8">
        <v>263.80356203000019</v>
      </c>
      <c r="H127" s="8">
        <v>203.81022100999988</v>
      </c>
      <c r="I127" s="8">
        <f>SUM(F127:H127)</f>
        <v>803.90776502000006</v>
      </c>
      <c r="J127" s="8">
        <f>+E127+I127</f>
        <v>1441.6606022000001</v>
      </c>
      <c r="K127" s="8">
        <v>208.79691319999975</v>
      </c>
      <c r="L127" s="8">
        <v>325.54427720000007</v>
      </c>
      <c r="M127" s="8">
        <v>194.96131137999987</v>
      </c>
      <c r="N127" s="8">
        <f>SUM(K127:M127)</f>
        <v>729.30250177999972</v>
      </c>
      <c r="O127" s="8">
        <v>209.37453641999971</v>
      </c>
      <c r="P127" s="8">
        <v>256.77097801999997</v>
      </c>
      <c r="Q127" s="8">
        <v>242.38175515999978</v>
      </c>
      <c r="R127" s="8">
        <f>SUM(O127:Q127)</f>
        <v>708.5272695999995</v>
      </c>
      <c r="S127" s="8">
        <f>+N127+R127</f>
        <v>1437.8297713799993</v>
      </c>
      <c r="T127" s="8">
        <f>+J127+S127</f>
        <v>2879.4903735799994</v>
      </c>
      <c r="U127" s="8"/>
      <c r="V127" s="8"/>
    </row>
    <row r="128" spans="1:22" ht="15" customHeight="1" x14ac:dyDescent="0.3">
      <c r="A128" s="12" t="s">
        <v>128</v>
      </c>
      <c r="B128" s="8">
        <v>211.51774982000006</v>
      </c>
      <c r="C128" s="8">
        <v>111.06658677999994</v>
      </c>
      <c r="D128" s="8">
        <v>134.91935815999994</v>
      </c>
      <c r="E128" s="8">
        <f>SUM(B128:D128)</f>
        <v>457.50369475999997</v>
      </c>
      <c r="F128" s="8">
        <v>181.83327192000002</v>
      </c>
      <c r="G128" s="8">
        <v>141.76393303999998</v>
      </c>
      <c r="H128" s="8">
        <v>132.74832167999995</v>
      </c>
      <c r="I128" s="8">
        <f>SUM(F128:H128)</f>
        <v>456.34552663999995</v>
      </c>
      <c r="J128" s="8">
        <f>+E128+I128</f>
        <v>913.84922139999992</v>
      </c>
      <c r="K128" s="8">
        <v>142.43114344999998</v>
      </c>
      <c r="L128" s="8">
        <v>123.15025533000002</v>
      </c>
      <c r="M128" s="8">
        <v>128.96176888000008</v>
      </c>
      <c r="N128" s="8">
        <f>SUM(K128:M128)</f>
        <v>394.54316766000005</v>
      </c>
      <c r="O128" s="8">
        <v>157.45220660000001</v>
      </c>
      <c r="P128" s="8">
        <v>156.47102180000013</v>
      </c>
      <c r="Q128" s="8">
        <v>159.30957565999989</v>
      </c>
      <c r="R128" s="8">
        <f>SUM(O128:Q128)</f>
        <v>473.23280406000003</v>
      </c>
      <c r="S128" s="8">
        <f>+N128+R128</f>
        <v>867.77597172000014</v>
      </c>
      <c r="T128" s="8">
        <f>+J128+S128</f>
        <v>1781.6251931199999</v>
      </c>
      <c r="U128" s="8"/>
      <c r="V128" s="8"/>
    </row>
    <row r="129" spans="1:22" ht="15" customHeight="1" x14ac:dyDescent="0.3">
      <c r="A129" s="12" t="s">
        <v>129</v>
      </c>
      <c r="B129" s="8">
        <v>157.70285389000003</v>
      </c>
      <c r="C129" s="8">
        <v>93.907385489999982</v>
      </c>
      <c r="D129" s="8">
        <v>80.931221330000042</v>
      </c>
      <c r="E129" s="8">
        <f>SUM(B129:D129)</f>
        <v>332.54146071000002</v>
      </c>
      <c r="F129" s="8">
        <v>109.43414649999998</v>
      </c>
      <c r="G129" s="8">
        <v>77.708828570000009</v>
      </c>
      <c r="H129" s="8">
        <v>81.12946829000002</v>
      </c>
      <c r="I129" s="8">
        <f>SUM(F129:H129)</f>
        <v>268.27244336000001</v>
      </c>
      <c r="J129" s="8">
        <f>+E129+I129</f>
        <v>600.81390407000004</v>
      </c>
      <c r="K129" s="8">
        <v>91.432324750000021</v>
      </c>
      <c r="L129" s="8">
        <v>93.530754739999978</v>
      </c>
      <c r="M129" s="8">
        <v>78.767819230000001</v>
      </c>
      <c r="N129" s="8">
        <f>SUM(K129:M129)</f>
        <v>263.73089871999997</v>
      </c>
      <c r="O129" s="8">
        <v>77.709556359999979</v>
      </c>
      <c r="P129" s="8">
        <v>87.630039409999995</v>
      </c>
      <c r="Q129" s="8">
        <v>105.05406959999998</v>
      </c>
      <c r="R129" s="8">
        <f>SUM(O129:Q129)</f>
        <v>270.39366536999995</v>
      </c>
      <c r="S129" s="8">
        <f>+N129+R129</f>
        <v>534.12456408999992</v>
      </c>
      <c r="T129" s="8">
        <f>+J129+S129</f>
        <v>1134.93846816</v>
      </c>
      <c r="U129" s="8"/>
      <c r="V129" s="8"/>
    </row>
    <row r="130" spans="1:22" s="10" customFormat="1" ht="15" customHeight="1" x14ac:dyDescent="0.3">
      <c r="A130" s="12"/>
      <c r="B130" s="11"/>
      <c r="C130" s="11"/>
      <c r="D130" s="11"/>
      <c r="E130" s="11"/>
      <c r="F130" s="11"/>
      <c r="G130" s="11"/>
      <c r="H130" s="11"/>
      <c r="I130" s="11"/>
      <c r="J130" s="11"/>
      <c r="K130" s="11"/>
      <c r="L130" s="11"/>
      <c r="M130" s="11"/>
      <c r="N130" s="11"/>
      <c r="O130" s="11"/>
      <c r="P130" s="11"/>
      <c r="Q130" s="11"/>
      <c r="R130" s="11"/>
      <c r="S130" s="11"/>
      <c r="T130" s="11"/>
      <c r="U130" s="11"/>
      <c r="V130" s="11"/>
    </row>
    <row r="131" spans="1:22" s="10" customFormat="1" ht="15" customHeight="1" x14ac:dyDescent="0.25">
      <c r="A131" s="13" t="s">
        <v>130</v>
      </c>
      <c r="B131" s="11">
        <f>SUM(B132:B135)</f>
        <v>660.0840042100001</v>
      </c>
      <c r="C131" s="11">
        <f>SUM(C132:C135)</f>
        <v>374.42135894999996</v>
      </c>
      <c r="D131" s="11">
        <f>SUM(D132:D135)</f>
        <v>427.75300198999997</v>
      </c>
      <c r="E131" s="11">
        <f>SUM(B131:D131)</f>
        <v>1462.2583651500001</v>
      </c>
      <c r="F131" s="11">
        <f>SUM(F132:F135)</f>
        <v>612.41704023</v>
      </c>
      <c r="G131" s="11">
        <f>SUM(G132:G135)</f>
        <v>504.20278420999989</v>
      </c>
      <c r="H131" s="11">
        <f>SUM(H132:H135)</f>
        <v>451.34131260000004</v>
      </c>
      <c r="I131" s="11">
        <f>SUM(F131:H131)</f>
        <v>1567.9611370399998</v>
      </c>
      <c r="J131" s="11">
        <f>+E131+I131</f>
        <v>3030.2195021899997</v>
      </c>
      <c r="K131" s="11">
        <f>SUM(K132:K135)</f>
        <v>489.60752155999984</v>
      </c>
      <c r="L131" s="11">
        <f>SUM(L132:L135)</f>
        <v>483.62843117999995</v>
      </c>
      <c r="M131" s="11">
        <f>SUM(M132:M135)</f>
        <v>460.96983147999998</v>
      </c>
      <c r="N131" s="11">
        <f>SUM(K131:M131)</f>
        <v>1434.2057842199997</v>
      </c>
      <c r="O131" s="11">
        <f>SUM(O132:O135)</f>
        <v>479.24787515000014</v>
      </c>
      <c r="P131" s="11">
        <f>SUM(P132:P135)</f>
        <v>540.46421239999995</v>
      </c>
      <c r="Q131" s="11">
        <f>SUM(Q132:Q135)</f>
        <v>454.52881563999995</v>
      </c>
      <c r="R131" s="11">
        <f>SUM(O131:Q131)</f>
        <v>1474.2409031900002</v>
      </c>
      <c r="S131" s="11">
        <f>+N131+R131</f>
        <v>2908.4466874099999</v>
      </c>
      <c r="T131" s="11">
        <f>+J131+S131</f>
        <v>5938.6661895999996</v>
      </c>
      <c r="U131" s="11"/>
      <c r="V131" s="11"/>
    </row>
    <row r="132" spans="1:22" ht="15" customHeight="1" x14ac:dyDescent="0.3">
      <c r="A132" s="12" t="s">
        <v>131</v>
      </c>
      <c r="B132" s="8">
        <v>269.34651739000003</v>
      </c>
      <c r="C132" s="8">
        <v>161.05976672999998</v>
      </c>
      <c r="D132" s="8">
        <v>190.00617854000001</v>
      </c>
      <c r="E132" s="8">
        <f>SUM(B132:D132)</f>
        <v>620.41246266000007</v>
      </c>
      <c r="F132" s="8">
        <v>262.50340859000005</v>
      </c>
      <c r="G132" s="8">
        <v>203.81970468999995</v>
      </c>
      <c r="H132" s="8">
        <v>221.92712397999998</v>
      </c>
      <c r="I132" s="8">
        <f>SUM(F132:H132)</f>
        <v>688.25023725999995</v>
      </c>
      <c r="J132" s="8">
        <f>+E132+I132</f>
        <v>1308.66269992</v>
      </c>
      <c r="K132" s="8">
        <v>206.17327429999989</v>
      </c>
      <c r="L132" s="8">
        <v>201.13734084000004</v>
      </c>
      <c r="M132" s="8">
        <v>206.43274074000007</v>
      </c>
      <c r="N132" s="8">
        <f>SUM(K132:M132)</f>
        <v>613.74335587999997</v>
      </c>
      <c r="O132" s="8">
        <v>204.78493920000014</v>
      </c>
      <c r="P132" s="8">
        <v>224.71947194000006</v>
      </c>
      <c r="Q132" s="8">
        <v>175.11843106000001</v>
      </c>
      <c r="R132" s="8">
        <f>SUM(O132:Q132)</f>
        <v>604.62284220000026</v>
      </c>
      <c r="S132" s="8">
        <f>+N132+R132</f>
        <v>1218.3661980800002</v>
      </c>
      <c r="T132" s="8">
        <f>+J132+S132</f>
        <v>2527.0288980000005</v>
      </c>
      <c r="U132" s="8"/>
      <c r="V132" s="8"/>
    </row>
    <row r="133" spans="1:22" ht="15" customHeight="1" x14ac:dyDescent="0.3">
      <c r="A133" s="12" t="s">
        <v>132</v>
      </c>
      <c r="B133" s="8">
        <v>153.30368598000001</v>
      </c>
      <c r="C133" s="8">
        <v>76.291412170000015</v>
      </c>
      <c r="D133" s="8">
        <v>87.63957499</v>
      </c>
      <c r="E133" s="8">
        <f>SUM(B133:D133)</f>
        <v>317.23467314000004</v>
      </c>
      <c r="F133" s="8">
        <v>129.24358655</v>
      </c>
      <c r="G133" s="8">
        <v>88.038220240000044</v>
      </c>
      <c r="H133" s="8">
        <v>84.244446979999992</v>
      </c>
      <c r="I133" s="8">
        <f>SUM(F133:H133)</f>
        <v>301.52625377000004</v>
      </c>
      <c r="J133" s="8">
        <f>+E133+I133</f>
        <v>618.76092691000008</v>
      </c>
      <c r="K133" s="8">
        <v>95.971103880000015</v>
      </c>
      <c r="L133" s="8">
        <v>97.914136759999934</v>
      </c>
      <c r="M133" s="8">
        <v>84.904693600000016</v>
      </c>
      <c r="N133" s="8">
        <f>SUM(K133:M133)</f>
        <v>278.78993423999998</v>
      </c>
      <c r="O133" s="8">
        <v>98.894453069999997</v>
      </c>
      <c r="P133" s="8">
        <v>100.29659102999996</v>
      </c>
      <c r="Q133" s="8">
        <v>88.006045459999967</v>
      </c>
      <c r="R133" s="8">
        <f>SUM(O133:Q133)</f>
        <v>287.19708955999988</v>
      </c>
      <c r="S133" s="8">
        <f>+N133+R133</f>
        <v>565.98702379999986</v>
      </c>
      <c r="T133" s="8">
        <f>+J133+S133</f>
        <v>1184.7479507099999</v>
      </c>
      <c r="U133" s="8"/>
      <c r="V133" s="8"/>
    </row>
    <row r="134" spans="1:22" ht="15" customHeight="1" x14ac:dyDescent="0.3">
      <c r="A134" s="12" t="s">
        <v>133</v>
      </c>
      <c r="B134" s="8">
        <v>140.35526504999999</v>
      </c>
      <c r="C134" s="8">
        <v>75.656475990000004</v>
      </c>
      <c r="D134" s="8">
        <v>85.764976599999997</v>
      </c>
      <c r="E134" s="8">
        <f>SUM(B134:D134)</f>
        <v>301.77671764000002</v>
      </c>
      <c r="F134" s="8">
        <v>115.33068633999997</v>
      </c>
      <c r="G134" s="8">
        <v>126.73134822</v>
      </c>
      <c r="H134" s="8">
        <v>93.430626790000062</v>
      </c>
      <c r="I134" s="8">
        <f>SUM(F134:H134)</f>
        <v>335.49266135000005</v>
      </c>
      <c r="J134" s="8">
        <f>+E134+I134</f>
        <v>637.26937899000006</v>
      </c>
      <c r="K134" s="8">
        <v>113.14211129000002</v>
      </c>
      <c r="L134" s="8">
        <v>100.86215579999998</v>
      </c>
      <c r="M134" s="8">
        <v>102.47027136999998</v>
      </c>
      <c r="N134" s="8">
        <f>SUM(K134:M134)</f>
        <v>316.47453845999996</v>
      </c>
      <c r="O134" s="8">
        <v>99.866385410000021</v>
      </c>
      <c r="P134" s="8">
        <v>113.11967294</v>
      </c>
      <c r="Q134" s="8">
        <v>92.474215909999998</v>
      </c>
      <c r="R134" s="8">
        <f>SUM(O134:Q134)</f>
        <v>305.46027426000001</v>
      </c>
      <c r="S134" s="8">
        <f>+N134+R134</f>
        <v>621.93481271999997</v>
      </c>
      <c r="T134" s="8">
        <f>+J134+S134</f>
        <v>1259.20419171</v>
      </c>
      <c r="U134" s="8"/>
      <c r="V134" s="8"/>
    </row>
    <row r="135" spans="1:22" ht="15" customHeight="1" x14ac:dyDescent="0.3">
      <c r="A135" s="12" t="s">
        <v>134</v>
      </c>
      <c r="B135" s="8">
        <v>97.078535790000018</v>
      </c>
      <c r="C135" s="8">
        <v>61.413704059999986</v>
      </c>
      <c r="D135" s="8">
        <v>64.342271859999983</v>
      </c>
      <c r="E135" s="8">
        <f>SUM(B135:D135)</f>
        <v>222.83451170999999</v>
      </c>
      <c r="F135" s="8">
        <v>105.33935874999999</v>
      </c>
      <c r="G135" s="8">
        <v>85.613511059999979</v>
      </c>
      <c r="H135" s="8">
        <v>51.73911485</v>
      </c>
      <c r="I135" s="8">
        <f>SUM(F135:H135)</f>
        <v>242.69198465999997</v>
      </c>
      <c r="J135" s="8">
        <f>+E135+I135</f>
        <v>465.52649636999996</v>
      </c>
      <c r="K135" s="8">
        <v>74.321032089999974</v>
      </c>
      <c r="L135" s="8">
        <v>83.714797779999984</v>
      </c>
      <c r="M135" s="8">
        <v>67.162125769999946</v>
      </c>
      <c r="N135" s="8">
        <f>SUM(K135:M135)</f>
        <v>225.19795563999992</v>
      </c>
      <c r="O135" s="8">
        <v>75.702097469999998</v>
      </c>
      <c r="P135" s="8">
        <v>102.32847648999994</v>
      </c>
      <c r="Q135" s="8">
        <v>98.930123210000005</v>
      </c>
      <c r="R135" s="8">
        <f>SUM(O135:Q135)</f>
        <v>276.96069716999995</v>
      </c>
      <c r="S135" s="8">
        <f>+N135+R135</f>
        <v>502.15865280999986</v>
      </c>
      <c r="T135" s="8">
        <f>+J135+S135</f>
        <v>967.68514917999983</v>
      </c>
      <c r="U135" s="8"/>
      <c r="V135" s="8"/>
    </row>
    <row r="136" spans="1:22" s="10" customFormat="1" ht="15" customHeight="1" x14ac:dyDescent="0.3">
      <c r="A136" s="12"/>
      <c r="B136" s="11"/>
      <c r="C136" s="11"/>
      <c r="D136" s="11"/>
      <c r="E136" s="11"/>
      <c r="F136" s="11"/>
      <c r="G136" s="11"/>
      <c r="H136" s="11"/>
      <c r="I136" s="11"/>
      <c r="J136" s="11"/>
      <c r="K136" s="11"/>
      <c r="L136" s="11"/>
      <c r="M136" s="11"/>
      <c r="N136" s="11"/>
      <c r="O136" s="11"/>
      <c r="P136" s="11"/>
      <c r="Q136" s="11"/>
      <c r="R136" s="11"/>
      <c r="S136" s="11"/>
      <c r="T136" s="11"/>
      <c r="U136" s="11"/>
      <c r="V136" s="11"/>
    </row>
    <row r="137" spans="1:22" s="10" customFormat="1" ht="15" customHeight="1" x14ac:dyDescent="0.25">
      <c r="A137" s="14" t="s">
        <v>135</v>
      </c>
      <c r="B137" s="11">
        <f>SUM(B138:B143)</f>
        <v>352.69460508000003</v>
      </c>
      <c r="C137" s="11">
        <f>SUM(C138:C143)</f>
        <v>320.00824351</v>
      </c>
      <c r="D137" s="11">
        <f>SUM(D138:D143)</f>
        <v>252.35317419999996</v>
      </c>
      <c r="E137" s="11">
        <f t="shared" ref="E137:E142" si="70">SUM(B137:D137)</f>
        <v>925.05602279000004</v>
      </c>
      <c r="F137" s="11">
        <f>SUM(F138:F143)</f>
        <v>349.22417375999993</v>
      </c>
      <c r="G137" s="11">
        <f>SUM(G138:G143)</f>
        <v>259.94428883999996</v>
      </c>
      <c r="H137" s="11">
        <f>SUM(H138:H143)</f>
        <v>263.87790339999998</v>
      </c>
      <c r="I137" s="11">
        <f t="shared" ref="I137:I142" si="71">SUM(F137:H137)</f>
        <v>873.04636599999981</v>
      </c>
      <c r="J137" s="11">
        <f t="shared" ref="J137:J142" si="72">+E137+I137</f>
        <v>1798.1023887899998</v>
      </c>
      <c r="K137" s="11">
        <f>SUM(K138:K143)</f>
        <v>380.35360062999996</v>
      </c>
      <c r="L137" s="11">
        <f>SUM(L138:L143)</f>
        <v>292.92057408000011</v>
      </c>
      <c r="M137" s="11">
        <f>SUM(M138:M143)</f>
        <v>325.64737564000006</v>
      </c>
      <c r="N137" s="11">
        <f t="shared" ref="N137:N142" si="73">SUM(K137:M137)</f>
        <v>998.92155035000019</v>
      </c>
      <c r="O137" s="11">
        <f>SUM(O138:O143)</f>
        <v>349.76685052999994</v>
      </c>
      <c r="P137" s="11">
        <f>SUM(P138:P143)</f>
        <v>305.9322841</v>
      </c>
      <c r="Q137" s="11">
        <f>SUM(Q138:Q143)</f>
        <v>339.06063171999989</v>
      </c>
      <c r="R137" s="11">
        <f t="shared" ref="R137:R142" si="74">SUM(O137:Q137)</f>
        <v>994.75976634999984</v>
      </c>
      <c r="S137" s="11">
        <f t="shared" ref="S137:S142" si="75">+N137+R137</f>
        <v>1993.6813167</v>
      </c>
      <c r="T137" s="11">
        <f t="shared" ref="T137:T142" si="76">+J137+S137</f>
        <v>3791.7837054900001</v>
      </c>
      <c r="U137" s="11"/>
      <c r="V137" s="11"/>
    </row>
    <row r="138" spans="1:22" ht="15" customHeight="1" x14ac:dyDescent="0.3">
      <c r="A138" s="12" t="s">
        <v>136</v>
      </c>
      <c r="B138" s="8">
        <v>27.394857439999999</v>
      </c>
      <c r="C138" s="8">
        <v>26.978835560000004</v>
      </c>
      <c r="D138" s="8">
        <v>13.58790275</v>
      </c>
      <c r="E138" s="8">
        <f t="shared" si="70"/>
        <v>67.961595750000001</v>
      </c>
      <c r="F138" s="8">
        <v>24.22231034</v>
      </c>
      <c r="G138" s="8">
        <v>27.462904710000004</v>
      </c>
      <c r="H138" s="8">
        <v>16.261378220000005</v>
      </c>
      <c r="I138" s="8">
        <f t="shared" si="71"/>
        <v>67.946593270000008</v>
      </c>
      <c r="J138" s="8">
        <f t="shared" si="72"/>
        <v>135.90818902000001</v>
      </c>
      <c r="K138" s="8">
        <v>42.513659199999992</v>
      </c>
      <c r="L138" s="8">
        <v>14.250578279999997</v>
      </c>
      <c r="M138" s="8">
        <v>16.991456299999996</v>
      </c>
      <c r="N138" s="8">
        <f t="shared" si="73"/>
        <v>73.755693779999987</v>
      </c>
      <c r="O138" s="8">
        <v>28.04883749</v>
      </c>
      <c r="P138" s="8">
        <v>30.018116160000005</v>
      </c>
      <c r="Q138" s="8">
        <v>17.565498039999998</v>
      </c>
      <c r="R138" s="8">
        <f t="shared" si="74"/>
        <v>75.632451689999996</v>
      </c>
      <c r="S138" s="8">
        <f t="shared" si="75"/>
        <v>149.38814546999998</v>
      </c>
      <c r="T138" s="8">
        <f t="shared" si="76"/>
        <v>285.29633448999999</v>
      </c>
      <c r="U138" s="8"/>
      <c r="V138" s="8"/>
    </row>
    <row r="139" spans="1:22" ht="15" customHeight="1" x14ac:dyDescent="0.3">
      <c r="A139" s="12" t="s">
        <v>137</v>
      </c>
      <c r="B139" s="8">
        <v>54.428865530000003</v>
      </c>
      <c r="C139" s="8">
        <v>50.160832610000007</v>
      </c>
      <c r="D139" s="8">
        <v>74.478870810000004</v>
      </c>
      <c r="E139" s="8">
        <f t="shared" si="70"/>
        <v>179.06856895000001</v>
      </c>
      <c r="F139" s="8">
        <v>61.369656419999998</v>
      </c>
      <c r="G139" s="8">
        <v>46.919886710000007</v>
      </c>
      <c r="H139" s="8">
        <v>72.233287709999999</v>
      </c>
      <c r="I139" s="8">
        <f t="shared" si="71"/>
        <v>180.52283083999998</v>
      </c>
      <c r="J139" s="8">
        <f t="shared" si="72"/>
        <v>359.59139978999997</v>
      </c>
      <c r="K139" s="8">
        <v>46.886661070000009</v>
      </c>
      <c r="L139" s="8">
        <v>46.000113230000004</v>
      </c>
      <c r="M139" s="8">
        <v>119.31071001000001</v>
      </c>
      <c r="N139" s="8">
        <f t="shared" si="73"/>
        <v>212.19748431000002</v>
      </c>
      <c r="O139" s="8">
        <v>88.064832749999994</v>
      </c>
      <c r="P139" s="8">
        <v>49.731349789999996</v>
      </c>
      <c r="Q139" s="8">
        <v>69.74968192</v>
      </c>
      <c r="R139" s="8">
        <f t="shared" si="74"/>
        <v>207.54586445999999</v>
      </c>
      <c r="S139" s="8">
        <f t="shared" si="75"/>
        <v>419.74334877000001</v>
      </c>
      <c r="T139" s="8">
        <f t="shared" si="76"/>
        <v>779.33474855999998</v>
      </c>
      <c r="U139" s="8"/>
      <c r="V139" s="8"/>
    </row>
    <row r="140" spans="1:22" ht="15" customHeight="1" x14ac:dyDescent="0.3">
      <c r="A140" s="12" t="s">
        <v>138</v>
      </c>
      <c r="B140" s="8">
        <v>247.22903707</v>
      </c>
      <c r="C140" s="8">
        <v>183.48781293000002</v>
      </c>
      <c r="D140" s="8">
        <v>135.05616723999995</v>
      </c>
      <c r="E140" s="8">
        <f t="shared" si="70"/>
        <v>565.77301723999994</v>
      </c>
      <c r="F140" s="8">
        <v>206.58209595999998</v>
      </c>
      <c r="G140" s="8">
        <v>139.64842148999995</v>
      </c>
      <c r="H140" s="8">
        <v>146.97216211999998</v>
      </c>
      <c r="I140" s="8">
        <f t="shared" si="71"/>
        <v>493.20267956999987</v>
      </c>
      <c r="J140" s="8">
        <f t="shared" si="72"/>
        <v>1058.9756968099998</v>
      </c>
      <c r="K140" s="8">
        <v>215.60044695999997</v>
      </c>
      <c r="L140" s="8">
        <v>179.60762021000011</v>
      </c>
      <c r="M140" s="8">
        <v>151.11490969000005</v>
      </c>
      <c r="N140" s="8">
        <f t="shared" si="73"/>
        <v>546.32297686000015</v>
      </c>
      <c r="O140" s="8">
        <v>198.13144602</v>
      </c>
      <c r="P140" s="8">
        <v>170.72827501999998</v>
      </c>
      <c r="Q140" s="8">
        <v>193.06364232999994</v>
      </c>
      <c r="R140" s="8">
        <f t="shared" si="74"/>
        <v>561.92336336999983</v>
      </c>
      <c r="S140" s="8">
        <f t="shared" si="75"/>
        <v>1108.24634023</v>
      </c>
      <c r="T140" s="8">
        <f t="shared" si="76"/>
        <v>2167.22203704</v>
      </c>
      <c r="U140" s="8"/>
      <c r="V140" s="8"/>
    </row>
    <row r="141" spans="1:22" ht="15" customHeight="1" x14ac:dyDescent="0.3">
      <c r="A141" s="12" t="s">
        <v>139</v>
      </c>
      <c r="B141" s="8">
        <v>4.06606705</v>
      </c>
      <c r="C141" s="8">
        <v>41.658719210000001</v>
      </c>
      <c r="D141" s="8">
        <v>12.95983504</v>
      </c>
      <c r="E141" s="8">
        <f t="shared" si="70"/>
        <v>58.684621300000003</v>
      </c>
      <c r="F141" s="8">
        <v>22.201582869999996</v>
      </c>
      <c r="G141" s="8">
        <v>19.863023870000003</v>
      </c>
      <c r="H141" s="8">
        <v>11.667057470000003</v>
      </c>
      <c r="I141" s="8">
        <f t="shared" si="71"/>
        <v>53.731664210000005</v>
      </c>
      <c r="J141" s="8">
        <f t="shared" si="72"/>
        <v>112.41628551000001</v>
      </c>
      <c r="K141" s="8">
        <v>50.44601342</v>
      </c>
      <c r="L141" s="8">
        <v>25.093559380000002</v>
      </c>
      <c r="M141" s="8">
        <v>16.308937390000001</v>
      </c>
      <c r="N141" s="8">
        <f t="shared" si="73"/>
        <v>91.848510189999999</v>
      </c>
      <c r="O141" s="8">
        <v>16.725907899999999</v>
      </c>
      <c r="P141" s="8">
        <v>33.329689879999997</v>
      </c>
      <c r="Q141" s="8">
        <v>24.423616819999996</v>
      </c>
      <c r="R141" s="8">
        <f t="shared" si="74"/>
        <v>74.479214599999992</v>
      </c>
      <c r="S141" s="8">
        <f t="shared" si="75"/>
        <v>166.32772478999999</v>
      </c>
      <c r="T141" s="8">
        <f t="shared" si="76"/>
        <v>278.74401030000001</v>
      </c>
      <c r="U141" s="8"/>
      <c r="V141" s="8"/>
    </row>
    <row r="142" spans="1:22" ht="15" customHeight="1" x14ac:dyDescent="0.3">
      <c r="A142" s="12" t="s">
        <v>140</v>
      </c>
      <c r="B142" s="8">
        <v>19.575777989999999</v>
      </c>
      <c r="C142" s="8">
        <v>17.722043199999998</v>
      </c>
      <c r="D142" s="8">
        <v>16.270398360000002</v>
      </c>
      <c r="E142" s="8">
        <f t="shared" si="70"/>
        <v>53.568219549999995</v>
      </c>
      <c r="F142" s="8">
        <v>34.848528170000009</v>
      </c>
      <c r="G142" s="8">
        <v>26.050052060000002</v>
      </c>
      <c r="H142" s="8">
        <v>16.744017880000001</v>
      </c>
      <c r="I142" s="8">
        <f t="shared" si="71"/>
        <v>77.642598110000009</v>
      </c>
      <c r="J142" s="8">
        <f t="shared" si="72"/>
        <v>131.21081766</v>
      </c>
      <c r="K142" s="8">
        <v>24.906819980000002</v>
      </c>
      <c r="L142" s="8">
        <v>27.968702979999996</v>
      </c>
      <c r="M142" s="8">
        <v>21.921362249999998</v>
      </c>
      <c r="N142" s="8">
        <f t="shared" si="73"/>
        <v>74.796885209999999</v>
      </c>
      <c r="O142" s="8">
        <v>18.795826369999997</v>
      </c>
      <c r="P142" s="8">
        <v>22.124853250000001</v>
      </c>
      <c r="Q142" s="8">
        <v>34.258192610000002</v>
      </c>
      <c r="R142" s="8">
        <f t="shared" si="74"/>
        <v>75.178872229999996</v>
      </c>
      <c r="S142" s="8">
        <f t="shared" si="75"/>
        <v>149.97575744</v>
      </c>
      <c r="T142" s="8">
        <f t="shared" si="76"/>
        <v>281.18657510000003</v>
      </c>
      <c r="U142" s="8"/>
      <c r="V142" s="8"/>
    </row>
    <row r="143" spans="1:22" ht="18" customHeight="1" x14ac:dyDescent="0.3">
      <c r="A143" s="12" t="s">
        <v>141</v>
      </c>
      <c r="B143" s="8"/>
      <c r="C143" s="8"/>
      <c r="D143" s="8"/>
      <c r="E143" s="8"/>
      <c r="F143" s="8"/>
      <c r="G143" s="8"/>
      <c r="H143" s="8"/>
      <c r="I143" s="8"/>
      <c r="J143" s="8"/>
      <c r="K143" s="8"/>
      <c r="L143" s="8"/>
      <c r="M143" s="8"/>
      <c r="N143" s="8"/>
      <c r="O143" s="8"/>
      <c r="P143" s="8"/>
      <c r="Q143" s="8"/>
      <c r="R143" s="8"/>
      <c r="S143" s="8"/>
      <c r="T143" s="8"/>
      <c r="U143" s="8"/>
      <c r="V143" s="8"/>
    </row>
    <row r="144" spans="1:22" ht="15" customHeight="1" x14ac:dyDescent="0.3">
      <c r="B144" s="8"/>
      <c r="C144" s="8"/>
      <c r="D144" s="8"/>
      <c r="E144" s="8"/>
      <c r="F144" s="8"/>
      <c r="G144" s="8"/>
      <c r="H144" s="8"/>
      <c r="I144" s="8"/>
      <c r="J144" s="8"/>
      <c r="K144" s="8"/>
      <c r="L144" s="8"/>
      <c r="M144" s="8"/>
      <c r="N144" s="8"/>
      <c r="O144" s="8"/>
      <c r="P144" s="8"/>
      <c r="Q144" s="8"/>
      <c r="R144" s="8"/>
      <c r="S144" s="8"/>
      <c r="T144" s="8"/>
      <c r="U144" s="8"/>
      <c r="V144" s="8"/>
    </row>
    <row r="145" spans="1:36" s="10" customFormat="1" ht="15" customHeight="1" x14ac:dyDescent="0.25">
      <c r="A145" s="10" t="s">
        <v>142</v>
      </c>
      <c r="B145" s="11">
        <f>+B7+B25+B33+B39+B45+B56+B64+B71+B79+B86+B90+B96+B104+B111+B118+B125+B131+B137</f>
        <v>178236.10981489398</v>
      </c>
      <c r="C145" s="11">
        <f>+C7+C25+C33+C39+C45+C56+C64+C71+C79+C86+C90+C96+C104+C111+C118+C125+C131+C137</f>
        <v>140956.87431504996</v>
      </c>
      <c r="D145" s="11">
        <f>+D7+D25+D33+D39+D45+D56+D64+D71+D79+D86+D90+D96+D104+D111+D118+D125+D131+D137</f>
        <v>133665.84670358998</v>
      </c>
      <c r="E145" s="11">
        <f>SUM(B145:D145)</f>
        <v>452858.8308335339</v>
      </c>
      <c r="F145" s="11">
        <f>+F7+F25+F33+F39+F45+F56+F64+F71+F79+F86+F90+F96+F104+F111+F118+F125+F131+F137</f>
        <v>213990.16319083993</v>
      </c>
      <c r="G145" s="11">
        <f>+G7+G25+G33+G39+G45+G56+G64+G71+G79+G86+G90+G96+G104+G111+G118+G125+G131+G137</f>
        <v>179373.42738131</v>
      </c>
      <c r="H145" s="11">
        <f>+H7+H25+H33+H39+H45+H56+H64+H71+H79+H86+H90+H96+H104+H111+H118+H125+H131+H137</f>
        <v>155130.99883295005</v>
      </c>
      <c r="I145" s="11">
        <f>SUM(F145:H145)</f>
        <v>548494.58940509998</v>
      </c>
      <c r="J145" s="11">
        <f>+E145+I145</f>
        <v>1001353.4202386339</v>
      </c>
      <c r="K145" s="11">
        <f>+K7+K25+K33+K39+K45+K56+K64+K71+K79+K86+K90+K96+K104+K111+K118+K125+K131+K137</f>
        <v>165608.29996459605</v>
      </c>
      <c r="L145" s="11">
        <f>+L7+L25+L33+L39+L45+L56+L64+L71+L79+L86+L90+L96+L104+L111+L118+L125+L131+L137</f>
        <v>179270.98550591999</v>
      </c>
      <c r="M145" s="11">
        <f>+M7+M25+M33+M39+M45+M56+M64+M71+M79+M86+M90+M96+M104+M111+M118+M125+M131+M137</f>
        <v>148175.84536302998</v>
      </c>
      <c r="N145" s="11">
        <f>SUM(K145:M145)</f>
        <v>493055.13083354605</v>
      </c>
      <c r="O145" s="11">
        <f>+O7+O25+O33+O39+O45+O56+O64+O71+O79+O86+O90+O96+O104+O111+O118+O125+O131+O137</f>
        <v>157804.30401455998</v>
      </c>
      <c r="P145" s="11">
        <f>+P7+P25+P33+P39+P45+P56+P64+P71+P79+P86+P90+P96+P104+P111+P118+P125+P131+P137</f>
        <v>208661.99032191999</v>
      </c>
      <c r="Q145" s="11">
        <f>+Q7+Q25+Q33+Q39+Q45+Q56+Q64+Q71+Q79+Q86+Q90+Q96+Q104+Q111+Q118+Q125+Q131+Q137</f>
        <v>159187.65131431725</v>
      </c>
      <c r="R145" s="11">
        <f>SUM(O145:Q145)</f>
        <v>525653.94565079722</v>
      </c>
      <c r="S145" s="11">
        <f>+N145+R145</f>
        <v>1018709.0764843433</v>
      </c>
      <c r="T145" s="11">
        <f>+J145+S145</f>
        <v>2020062.4967229771</v>
      </c>
      <c r="U145" s="11"/>
      <c r="V145" s="11"/>
    </row>
    <row r="146" spans="1:36" ht="15" customHeight="1" x14ac:dyDescent="0.3">
      <c r="B146" s="8"/>
      <c r="C146" s="8"/>
      <c r="D146" s="8"/>
      <c r="E146" s="8"/>
      <c r="F146" s="8"/>
      <c r="G146" s="8"/>
      <c r="H146" s="8"/>
      <c r="I146" s="8"/>
      <c r="J146" s="8"/>
      <c r="K146" s="8"/>
      <c r="L146" s="8"/>
      <c r="M146" s="8"/>
      <c r="N146" s="8"/>
      <c r="O146" s="8"/>
      <c r="P146" s="8"/>
      <c r="Q146" s="8"/>
      <c r="R146" s="8"/>
      <c r="S146" s="8"/>
      <c r="T146" s="8"/>
      <c r="U146" s="8"/>
      <c r="V146" s="8"/>
    </row>
    <row r="147" spans="1:36" s="10" customFormat="1" ht="15" customHeight="1" x14ac:dyDescent="0.25">
      <c r="A147" s="10" t="s">
        <v>143</v>
      </c>
      <c r="B147" s="11">
        <v>3862.3737111400001</v>
      </c>
      <c r="C147" s="11">
        <v>9052.436631139999</v>
      </c>
      <c r="D147" s="11">
        <v>4608.3982477600002</v>
      </c>
      <c r="E147" s="11">
        <f>SUM(B147:D147)</f>
        <v>17523.208590039998</v>
      </c>
      <c r="F147" s="11">
        <v>4901.4780702999997</v>
      </c>
      <c r="G147" s="11">
        <v>5730.7428431999997</v>
      </c>
      <c r="H147" s="11">
        <v>4342.8172583199994</v>
      </c>
      <c r="I147" s="11">
        <f>SUM(F147:H147)</f>
        <v>14975.038171819999</v>
      </c>
      <c r="J147" s="11">
        <f>+E147+I147</f>
        <v>32498.246761859999</v>
      </c>
      <c r="K147" s="11">
        <v>6606.4657809400005</v>
      </c>
      <c r="L147" s="11">
        <v>6960.0129683199993</v>
      </c>
      <c r="M147" s="11">
        <v>6535.3871996000007</v>
      </c>
      <c r="N147" s="11">
        <f>SUM(K147:M147)</f>
        <v>20101.865948860002</v>
      </c>
      <c r="O147" s="11">
        <v>5046.6296887899998</v>
      </c>
      <c r="P147" s="11">
        <v>2943.2107188</v>
      </c>
      <c r="Q147" s="11">
        <v>5426.0427846399998</v>
      </c>
      <c r="R147" s="11">
        <f>SUM(O147:Q147)</f>
        <v>13415.88319223</v>
      </c>
      <c r="S147" s="11">
        <f>+N147+R147</f>
        <v>33517.749141090004</v>
      </c>
      <c r="T147" s="11">
        <f>+J147+S147</f>
        <v>66015.995902950002</v>
      </c>
      <c r="U147" s="11"/>
      <c r="V147" s="11"/>
      <c r="W147" s="15"/>
      <c r="X147" s="15"/>
      <c r="Y147" s="15"/>
      <c r="Z147" s="15"/>
      <c r="AA147" s="15"/>
      <c r="AB147" s="15"/>
      <c r="AC147" s="15"/>
      <c r="AD147" s="15"/>
      <c r="AE147" s="15"/>
      <c r="AF147" s="15"/>
      <c r="AG147" s="15"/>
      <c r="AH147" s="15"/>
      <c r="AI147" s="15"/>
      <c r="AJ147" s="15"/>
    </row>
    <row r="148" spans="1:36" s="10" customFormat="1" ht="15" customHeight="1" x14ac:dyDescent="0.2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spans="1:36" s="10" customFormat="1" ht="15" customHeight="1" x14ac:dyDescent="0.25">
      <c r="A149" s="10" t="s">
        <v>144</v>
      </c>
      <c r="B149" s="15">
        <v>15.980593189999993</v>
      </c>
      <c r="C149" s="15">
        <v>16.43313384</v>
      </c>
      <c r="D149" s="15">
        <v>15.222032070000003</v>
      </c>
      <c r="E149" s="15">
        <f>SUM(B149:D149)</f>
        <v>47.635759099999994</v>
      </c>
      <c r="F149" s="15">
        <v>4.9012486099999997</v>
      </c>
      <c r="G149" s="15">
        <v>22.947336500000002</v>
      </c>
      <c r="H149" s="15">
        <v>14.470126880000004</v>
      </c>
      <c r="I149" s="15">
        <f>SUM(F149:H149)</f>
        <v>42.318711990000004</v>
      </c>
      <c r="J149" s="15">
        <f>+E149+I149</f>
        <v>89.954471089999998</v>
      </c>
      <c r="K149" s="15">
        <v>4.3831999800000014</v>
      </c>
      <c r="L149" s="15">
        <v>5.8586191699999999</v>
      </c>
      <c r="M149" s="15">
        <v>16.181744349999999</v>
      </c>
      <c r="N149" s="15">
        <f>SUM(K149:M149)</f>
        <v>26.4235635</v>
      </c>
      <c r="O149" s="15">
        <v>25.120454189999997</v>
      </c>
      <c r="P149" s="15">
        <v>16.140393379999995</v>
      </c>
      <c r="Q149" s="15">
        <v>57.441254149999999</v>
      </c>
      <c r="R149" s="15">
        <f>SUM(O149:Q149)</f>
        <v>98.702101720000002</v>
      </c>
      <c r="S149" s="15">
        <f>+N149+R149</f>
        <v>125.12566522</v>
      </c>
      <c r="T149" s="15">
        <f>+J149+S149</f>
        <v>215.08013631</v>
      </c>
      <c r="U149" s="15"/>
      <c r="V149" s="15"/>
      <c r="W149" s="15"/>
      <c r="X149" s="15"/>
      <c r="Y149" s="15"/>
      <c r="Z149" s="15"/>
      <c r="AA149" s="15"/>
      <c r="AB149" s="15"/>
      <c r="AC149" s="15"/>
      <c r="AD149" s="15"/>
      <c r="AE149" s="15"/>
      <c r="AF149" s="15"/>
      <c r="AG149" s="15"/>
      <c r="AH149" s="15"/>
      <c r="AI149" s="15"/>
      <c r="AJ149" s="15"/>
    </row>
    <row r="150" spans="1:36" s="10" customFormat="1" ht="15" customHeight="1" x14ac:dyDescent="0.2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spans="1:36" s="10" customFormat="1" ht="15" customHeight="1" x14ac:dyDescent="0.25">
      <c r="A151" s="10" t="s">
        <v>145</v>
      </c>
      <c r="B151" s="15">
        <f>+B145+B147+B149</f>
        <v>182114.46411922399</v>
      </c>
      <c r="C151" s="15">
        <f>+C145+C147+C149</f>
        <v>150025.74408002998</v>
      </c>
      <c r="D151" s="15">
        <f>+D145+D147+D149</f>
        <v>138289.46698341999</v>
      </c>
      <c r="E151" s="15">
        <f>SUM(B151:D151)</f>
        <v>470429.67518267396</v>
      </c>
      <c r="F151" s="15">
        <f>+F145+F147+F149</f>
        <v>218896.54250974994</v>
      </c>
      <c r="G151" s="15">
        <f>+G145+G147+G149</f>
        <v>185127.11756100997</v>
      </c>
      <c r="H151" s="15">
        <f>+H145+H147+H149</f>
        <v>159488.28621815005</v>
      </c>
      <c r="I151" s="15">
        <f>SUM(F151:H151)</f>
        <v>563511.94628891</v>
      </c>
      <c r="J151" s="15">
        <f>+E151+I151</f>
        <v>1033941.621471584</v>
      </c>
      <c r="K151" s="15">
        <f>+K145+K147+K149</f>
        <v>172219.14894551603</v>
      </c>
      <c r="L151" s="15">
        <f>+L145+L147+L149</f>
        <v>186236.85709340998</v>
      </c>
      <c r="M151" s="15">
        <f>+M145+M147+M149</f>
        <v>154727.41430697998</v>
      </c>
      <c r="N151" s="15">
        <f>SUM(K151:M151)</f>
        <v>513183.42034590599</v>
      </c>
      <c r="O151" s="15">
        <f>+O145+O147+O149</f>
        <v>162876.05415754</v>
      </c>
      <c r="P151" s="15">
        <f>+P145+P147+P149</f>
        <v>211621.34143409997</v>
      </c>
      <c r="Q151" s="15">
        <f>+Q145+Q147+Q149</f>
        <v>164671.13535310727</v>
      </c>
      <c r="R151" s="15">
        <f>SUM(O151:Q151)</f>
        <v>539168.53094474727</v>
      </c>
      <c r="S151" s="15">
        <f>+N151+R151</f>
        <v>1052351.9512906533</v>
      </c>
      <c r="T151" s="15">
        <f>+J151+S151</f>
        <v>2086293.5727622374</v>
      </c>
      <c r="U151" s="15"/>
      <c r="V151" s="15"/>
      <c r="W151" s="15"/>
      <c r="X151" s="15"/>
      <c r="Y151" s="15"/>
      <c r="Z151" s="15"/>
      <c r="AA151" s="15"/>
      <c r="AB151" s="15"/>
      <c r="AC151" s="15"/>
      <c r="AD151" s="15"/>
      <c r="AE151" s="15"/>
      <c r="AF151" s="15"/>
      <c r="AG151" s="15"/>
      <c r="AH151" s="15"/>
      <c r="AI151" s="15"/>
      <c r="AJ151" s="15"/>
    </row>
    <row r="152" spans="1:36" s="10" customFormat="1" ht="15" customHeight="1" x14ac:dyDescent="0.2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spans="1:36" s="10" customFormat="1" ht="15" customHeight="1" x14ac:dyDescent="0.25">
      <c r="A153" s="10" t="s">
        <v>146</v>
      </c>
      <c r="B153" s="15">
        <v>0</v>
      </c>
      <c r="C153" s="15">
        <v>0</v>
      </c>
      <c r="D153" s="15">
        <v>-829.72922540000002</v>
      </c>
      <c r="E153" s="15">
        <f>SUM(B153:D153)</f>
        <v>-829.72922540000002</v>
      </c>
      <c r="F153" s="15">
        <v>0</v>
      </c>
      <c r="G153" s="15">
        <v>-1301.60836623</v>
      </c>
      <c r="H153" s="15">
        <v>-103.42521232999999</v>
      </c>
      <c r="I153" s="15">
        <f>SUM(F153:H153)</f>
        <v>-1405.03357856</v>
      </c>
      <c r="J153" s="15">
        <f>+E153+I153</f>
        <v>-2234.7628039599999</v>
      </c>
      <c r="K153" s="15">
        <v>-1019.9870456599999</v>
      </c>
      <c r="L153" s="15">
        <v>-479.67414754999999</v>
      </c>
      <c r="M153" s="15">
        <v>-494.51437337999999</v>
      </c>
      <c r="N153" s="15">
        <f>SUM(K153:M153)</f>
        <v>-1994.17556659</v>
      </c>
      <c r="O153" s="15">
        <v>-883.06631220000008</v>
      </c>
      <c r="P153" s="15">
        <v>-1045.4078602</v>
      </c>
      <c r="Q153" s="15">
        <v>-1991.5017623199999</v>
      </c>
      <c r="R153" s="15">
        <f>SUM(O153:Q153)</f>
        <v>-3919.9759347199997</v>
      </c>
      <c r="S153" s="15">
        <f>+N153+R153</f>
        <v>-5914.1515013099997</v>
      </c>
      <c r="T153" s="15">
        <f>+J153+S153</f>
        <v>-8148.9143052700001</v>
      </c>
      <c r="U153" s="15"/>
      <c r="V153" s="15"/>
      <c r="W153" s="15"/>
      <c r="X153" s="15"/>
      <c r="Y153" s="15"/>
      <c r="Z153" s="15"/>
      <c r="AA153" s="15"/>
      <c r="AB153" s="15"/>
      <c r="AC153" s="15"/>
      <c r="AD153" s="15"/>
      <c r="AE153" s="15"/>
      <c r="AF153" s="15"/>
      <c r="AG153" s="15"/>
      <c r="AH153" s="15"/>
      <c r="AI153" s="15"/>
      <c r="AJ153" s="15"/>
    </row>
    <row r="154" spans="1:36" s="10" customFormat="1" ht="15" customHeight="1" x14ac:dyDescent="0.2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spans="1:36" s="10" customFormat="1" ht="15" customHeight="1" x14ac:dyDescent="0.25">
      <c r="A155" s="10" t="s">
        <v>147</v>
      </c>
      <c r="B155" s="15">
        <f>+B151+B153</f>
        <v>182114.46411922399</v>
      </c>
      <c r="C155" s="15">
        <f>+C151+C153</f>
        <v>150025.74408002998</v>
      </c>
      <c r="D155" s="15">
        <f>+D151+D153</f>
        <v>137459.73775802</v>
      </c>
      <c r="E155" s="15">
        <f>SUM(B155:D155)</f>
        <v>469599.945957274</v>
      </c>
      <c r="F155" s="15">
        <f>+F151+F153</f>
        <v>218896.54250974994</v>
      </c>
      <c r="G155" s="15">
        <f>+G151+G153</f>
        <v>183825.50919477997</v>
      </c>
      <c r="H155" s="15">
        <f>+H151+H153</f>
        <v>159384.86100582004</v>
      </c>
      <c r="I155" s="15">
        <f>SUM(F155:H155)</f>
        <v>562106.91271035001</v>
      </c>
      <c r="J155" s="15">
        <f>+E155+I155</f>
        <v>1031706.858667624</v>
      </c>
      <c r="K155" s="15">
        <f>+K151+K153</f>
        <v>171199.16189985603</v>
      </c>
      <c r="L155" s="15">
        <f>+L151+L153</f>
        <v>185757.18294586</v>
      </c>
      <c r="M155" s="15">
        <f>+M151+M153</f>
        <v>154232.89993359998</v>
      </c>
      <c r="N155" s="15">
        <f>SUM(K155:M155)</f>
        <v>511189.24477931601</v>
      </c>
      <c r="O155" s="15">
        <f>+O151+O153</f>
        <v>161992.98784533999</v>
      </c>
      <c r="P155" s="15">
        <f>+P151+P153</f>
        <v>210575.93357389997</v>
      </c>
      <c r="Q155" s="15">
        <f>+Q151+Q153</f>
        <v>162679.63359078727</v>
      </c>
      <c r="R155" s="15">
        <f>SUM(O155:Q155)</f>
        <v>535248.55501002725</v>
      </c>
      <c r="S155" s="15">
        <f>+N155+R155</f>
        <v>1046437.7997893433</v>
      </c>
      <c r="T155" s="15">
        <f>+J155+S155</f>
        <v>2078144.6584569672</v>
      </c>
      <c r="U155" s="15"/>
      <c r="V155" s="15"/>
      <c r="W155" s="15"/>
      <c r="X155" s="15"/>
      <c r="Y155" s="15"/>
      <c r="Z155" s="15"/>
      <c r="AA155" s="15"/>
      <c r="AB155" s="15"/>
      <c r="AC155" s="15"/>
      <c r="AD155" s="15"/>
      <c r="AE155" s="15"/>
      <c r="AF155" s="15"/>
      <c r="AG155" s="15"/>
      <c r="AH155" s="15"/>
      <c r="AI155" s="15"/>
      <c r="AJ155" s="15"/>
    </row>
    <row r="156" spans="1:36" s="10" customFormat="1" ht="15" customHeight="1" thickBot="1" x14ac:dyDescent="0.3">
      <c r="A156" s="16"/>
      <c r="B156" s="17"/>
      <c r="C156" s="17"/>
      <c r="D156" s="17"/>
      <c r="E156" s="17"/>
      <c r="F156" s="17"/>
      <c r="G156" s="17"/>
      <c r="H156" s="17"/>
      <c r="I156" s="17"/>
      <c r="J156" s="17"/>
      <c r="K156" s="17"/>
      <c r="L156" s="17"/>
      <c r="M156" s="17"/>
      <c r="N156" s="17"/>
      <c r="O156" s="17"/>
      <c r="P156" s="17"/>
      <c r="Q156" s="17"/>
      <c r="R156" s="17"/>
      <c r="S156" s="17"/>
      <c r="T156" s="17"/>
      <c r="U156" s="15"/>
      <c r="V156" s="15"/>
      <c r="W156" s="15"/>
      <c r="X156" s="15"/>
      <c r="Y156" s="15"/>
      <c r="Z156" s="15"/>
      <c r="AA156" s="15"/>
      <c r="AB156" s="15"/>
      <c r="AC156" s="15"/>
      <c r="AD156" s="15"/>
      <c r="AE156" s="15"/>
      <c r="AF156" s="15"/>
      <c r="AG156" s="15"/>
      <c r="AH156" s="15"/>
      <c r="AI156" s="15"/>
      <c r="AJ156" s="15"/>
    </row>
    <row r="157" spans="1:36" s="10" customFormat="1" ht="15" customHeight="1" thickTop="1" x14ac:dyDescent="0.25">
      <c r="A157" s="18" t="s">
        <v>148</v>
      </c>
      <c r="B157" s="19"/>
      <c r="C157" s="19"/>
      <c r="D157" s="19"/>
      <c r="E157" s="19"/>
      <c r="F157" s="19"/>
      <c r="G157" s="19"/>
      <c r="H157" s="19"/>
      <c r="I157" s="19"/>
      <c r="J157" s="19"/>
      <c r="K157" s="19"/>
      <c r="L157" s="19"/>
      <c r="M157" s="19"/>
      <c r="N157" s="19"/>
      <c r="O157" s="19"/>
      <c r="P157" s="19"/>
      <c r="Q157" s="19"/>
      <c r="R157" s="19"/>
      <c r="S157" s="19"/>
      <c r="T157" s="19"/>
      <c r="U157" s="15"/>
      <c r="V157" s="15"/>
      <c r="W157" s="15"/>
      <c r="X157" s="15"/>
      <c r="Y157" s="15"/>
      <c r="Z157" s="15"/>
      <c r="AA157" s="15"/>
      <c r="AB157" s="15"/>
      <c r="AC157" s="15"/>
      <c r="AD157" s="15"/>
      <c r="AE157" s="15"/>
      <c r="AF157" s="15"/>
      <c r="AG157" s="15"/>
      <c r="AH157" s="15"/>
      <c r="AI157" s="15"/>
      <c r="AJ157" s="15"/>
    </row>
    <row r="158" spans="1:36" s="10" customFormat="1" ht="15" customHeight="1" x14ac:dyDescent="0.25">
      <c r="A158" s="18"/>
      <c r="B158" s="19"/>
      <c r="C158" s="19"/>
      <c r="D158" s="19"/>
      <c r="E158" s="19"/>
      <c r="F158" s="19"/>
      <c r="G158" s="19"/>
      <c r="H158" s="19"/>
      <c r="I158" s="19"/>
      <c r="J158" s="19"/>
      <c r="K158" s="19"/>
      <c r="L158" s="19"/>
      <c r="M158" s="19"/>
      <c r="N158" s="19"/>
      <c r="O158" s="19"/>
      <c r="P158" s="19"/>
      <c r="Q158" s="19"/>
      <c r="R158" s="19"/>
      <c r="S158" s="19"/>
      <c r="T158" s="19"/>
      <c r="U158" s="15"/>
      <c r="V158" s="15"/>
      <c r="W158" s="15"/>
      <c r="X158" s="15"/>
      <c r="Y158" s="15"/>
      <c r="Z158" s="15"/>
      <c r="AA158" s="15"/>
      <c r="AB158" s="15"/>
      <c r="AC158" s="15"/>
      <c r="AD158" s="15"/>
      <c r="AE158" s="15"/>
      <c r="AF158" s="15"/>
      <c r="AG158" s="15"/>
      <c r="AH158" s="15"/>
      <c r="AI158" s="15"/>
      <c r="AJ158" s="15"/>
    </row>
    <row r="159" spans="1:36" s="10" customFormat="1" ht="15" customHeight="1" x14ac:dyDescent="0.3">
      <c r="A159" s="20" t="s">
        <v>149</v>
      </c>
      <c r="B159" s="21"/>
      <c r="C159" s="21"/>
      <c r="D159" s="21"/>
      <c r="E159" s="21"/>
      <c r="F159" s="21"/>
      <c r="G159" s="21"/>
      <c r="H159" s="21"/>
      <c r="I159" s="21"/>
      <c r="J159" s="21"/>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spans="1:36" s="10" customFormat="1" ht="15" customHeight="1" x14ac:dyDescent="0.3">
      <c r="A160" s="20" t="s">
        <v>176</v>
      </c>
      <c r="B160" s="22"/>
      <c r="C160" s="22"/>
      <c r="D160" s="22"/>
      <c r="E160" s="22"/>
      <c r="F160" s="22"/>
      <c r="G160" s="22"/>
      <c r="H160" s="22"/>
      <c r="I160" s="22"/>
      <c r="J160" s="22"/>
    </row>
    <row r="161" spans="1:10" ht="15" customHeight="1" x14ac:dyDescent="0.3">
      <c r="A161" s="23" t="s">
        <v>150</v>
      </c>
      <c r="B161" s="24"/>
      <c r="C161" s="24"/>
      <c r="D161" s="24"/>
      <c r="E161" s="24"/>
      <c r="F161" s="24"/>
      <c r="G161" s="24"/>
      <c r="H161" s="24"/>
      <c r="I161" s="24"/>
      <c r="J161" s="24"/>
    </row>
    <row r="162" spans="1:10" s="24" customFormat="1" ht="17.100000000000001" customHeight="1" x14ac:dyDescent="0.3">
      <c r="A162" s="25" t="s">
        <v>151</v>
      </c>
    </row>
    <row r="163" spans="1:10" s="24" customFormat="1" ht="17.100000000000001" customHeight="1" x14ac:dyDescent="0.3">
      <c r="A163" s="25" t="s">
        <v>152</v>
      </c>
    </row>
    <row r="164" spans="1:10" s="24" customFormat="1" ht="17.100000000000001" customHeight="1" x14ac:dyDescent="0.3">
      <c r="A164" s="25" t="s">
        <v>153</v>
      </c>
    </row>
    <row r="165" spans="1:10" s="24" customFormat="1" ht="17.100000000000001" customHeight="1" x14ac:dyDescent="0.3">
      <c r="A165" s="25" t="s">
        <v>154</v>
      </c>
    </row>
    <row r="166" spans="1:10" s="24" customFormat="1" ht="17.100000000000001" customHeight="1" x14ac:dyDescent="0.3">
      <c r="A166" s="25" t="s">
        <v>155</v>
      </c>
    </row>
    <row r="167" spans="1:10" s="24" customFormat="1" ht="15.95" customHeight="1" x14ac:dyDescent="0.3">
      <c r="A167" s="55" t="s">
        <v>156</v>
      </c>
      <c r="B167" s="55"/>
      <c r="C167" s="55"/>
      <c r="D167" s="55"/>
      <c r="E167" s="55"/>
      <c r="F167" s="55"/>
      <c r="G167" s="55"/>
      <c r="H167" s="55"/>
      <c r="I167" s="55"/>
      <c r="J167" s="55"/>
    </row>
    <row r="168" spans="1:10" s="24" customFormat="1" ht="15.95" customHeight="1" x14ac:dyDescent="0.3">
      <c r="A168" s="55"/>
      <c r="B168" s="55"/>
      <c r="C168" s="55"/>
      <c r="D168" s="55"/>
      <c r="E168" s="55"/>
      <c r="F168" s="55"/>
      <c r="G168" s="55"/>
      <c r="H168" s="55"/>
      <c r="I168" s="55"/>
      <c r="J168" s="55"/>
    </row>
    <row r="169" spans="1:10" s="24" customFormat="1" ht="17.100000000000001" customHeight="1" x14ac:dyDescent="0.3">
      <c r="A169" s="25" t="s">
        <v>157</v>
      </c>
    </row>
    <row r="170" spans="1:10" s="24" customFormat="1" ht="17.100000000000001" customHeight="1" x14ac:dyDescent="0.3">
      <c r="A170" s="25" t="s">
        <v>158</v>
      </c>
    </row>
    <row r="171" spans="1:10" s="24" customFormat="1" ht="15.95" customHeight="1" x14ac:dyDescent="0.3">
      <c r="A171" s="55" t="s">
        <v>159</v>
      </c>
      <c r="B171" s="55"/>
      <c r="C171" s="55"/>
      <c r="D171" s="55"/>
      <c r="E171" s="55"/>
      <c r="F171" s="55"/>
      <c r="G171" s="55"/>
      <c r="H171" s="55"/>
      <c r="I171" s="55"/>
      <c r="J171" s="55"/>
    </row>
    <row r="172" spans="1:10" s="24" customFormat="1" ht="15.95" customHeight="1" x14ac:dyDescent="0.3">
      <c r="A172" s="55"/>
      <c r="B172" s="55"/>
      <c r="C172" s="55"/>
      <c r="D172" s="55"/>
      <c r="E172" s="55"/>
      <c r="F172" s="55"/>
      <c r="G172" s="55"/>
      <c r="H172" s="55"/>
      <c r="I172" s="55"/>
      <c r="J172" s="55"/>
    </row>
    <row r="173" spans="1:10" s="24" customFormat="1" ht="17.100000000000001" customHeight="1" x14ac:dyDescent="0.3">
      <c r="A173" s="25" t="s">
        <v>160</v>
      </c>
    </row>
    <row r="174" spans="1:10" s="24" customFormat="1" ht="17.100000000000001" customHeight="1" x14ac:dyDescent="0.3">
      <c r="A174" s="25" t="s">
        <v>161</v>
      </c>
    </row>
    <row r="175" spans="1:10" s="24" customFormat="1" ht="17.100000000000001" customHeight="1" x14ac:dyDescent="0.3">
      <c r="A175" s="25" t="s">
        <v>162</v>
      </c>
      <c r="B175" s="25"/>
      <c r="C175" s="25"/>
      <c r="D175" s="25"/>
      <c r="E175" s="25"/>
      <c r="F175" s="25"/>
      <c r="G175" s="25"/>
      <c r="H175" s="25"/>
      <c r="I175" s="25"/>
      <c r="J175" s="25"/>
    </row>
    <row r="176" spans="1:10" s="24" customFormat="1" ht="17.100000000000001" customHeight="1" x14ac:dyDescent="0.3">
      <c r="A176" s="25" t="s">
        <v>163</v>
      </c>
    </row>
    <row r="177" spans="1:1" s="24" customFormat="1" ht="17.100000000000001" customHeight="1" x14ac:dyDescent="0.3">
      <c r="A177" s="25" t="s">
        <v>164</v>
      </c>
    </row>
    <row r="178" spans="1:1" s="24" customFormat="1" ht="13.5" x14ac:dyDescent="0.3"/>
    <row r="179" spans="1:1" s="24" customFormat="1" ht="13.5" x14ac:dyDescent="0.3"/>
    <row r="180" spans="1:1" s="24" customFormat="1" x14ac:dyDescent="0.3">
      <c r="A180" s="1"/>
    </row>
    <row r="181" spans="1:1" s="24" customFormat="1" ht="13.5" x14ac:dyDescent="0.3"/>
    <row r="182" spans="1:1" s="24" customFormat="1" ht="13.5" x14ac:dyDescent="0.3"/>
    <row r="183" spans="1:1" s="24" customFormat="1" ht="13.5" x14ac:dyDescent="0.3"/>
    <row r="184" spans="1:1" s="24" customFormat="1" ht="13.5" x14ac:dyDescent="0.3"/>
  </sheetData>
  <mergeCells count="2">
    <mergeCell ref="A167:J168"/>
    <mergeCell ref="A171:J172"/>
  </mergeCells>
  <printOptions horizontalCentered="1"/>
  <pageMargins left="0.2" right="0.2" top="0.5" bottom="0.5" header="0.3" footer="0.3"/>
  <pageSetup paperSize="14" scale="85" orientation="landscape" r:id="rId1"/>
  <headerFooter>
    <oddFooter>&amp;C&amp;"Century Gothic,Regular"&amp;8Page &amp;P of &amp;N</oddFooter>
  </headerFooter>
  <rowBreaks count="3" manualBreakCount="3">
    <brk id="78" max="16383" man="1"/>
    <brk id="110" max="16383" man="1"/>
    <brk id="146"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C7CA-C221-4D37-BF0A-5A9917B916BB}">
  <dimension ref="A1:AJ184"/>
  <sheetViews>
    <sheetView workbookViewId="0">
      <selection activeCell="A21" sqref="A21"/>
    </sheetView>
  </sheetViews>
  <sheetFormatPr defaultRowHeight="14.25" x14ac:dyDescent="0.3"/>
  <cols>
    <col min="1" max="1" width="50.625" style="3" customWidth="1"/>
    <col min="2" max="20" width="11.625" style="3" customWidth="1"/>
    <col min="21" max="16384" width="9" style="3"/>
  </cols>
  <sheetData>
    <row r="1" spans="1:22" x14ac:dyDescent="0.3">
      <c r="A1" s="1" t="s">
        <v>0</v>
      </c>
      <c r="B1" s="1"/>
      <c r="C1" s="1"/>
      <c r="D1" s="1"/>
      <c r="E1" s="1"/>
      <c r="F1" s="1"/>
      <c r="G1" s="1"/>
      <c r="H1" s="1"/>
      <c r="I1" s="1"/>
      <c r="J1" s="1"/>
      <c r="K1" s="1"/>
      <c r="L1" s="1"/>
      <c r="M1" s="1"/>
      <c r="N1" s="1"/>
      <c r="O1" s="1"/>
      <c r="P1" s="1"/>
      <c r="Q1" s="1"/>
      <c r="R1" s="2"/>
      <c r="S1" s="2"/>
    </row>
    <row r="2" spans="1:22" x14ac:dyDescent="0.3">
      <c r="A2" s="1" t="s">
        <v>178</v>
      </c>
      <c r="B2" s="1"/>
      <c r="C2" s="1"/>
      <c r="D2" s="1"/>
      <c r="E2" s="1"/>
      <c r="F2" s="1"/>
      <c r="G2" s="1"/>
      <c r="H2" s="1"/>
      <c r="I2" s="1"/>
      <c r="J2" s="1"/>
      <c r="K2" s="1"/>
      <c r="L2" s="1"/>
      <c r="M2" s="1"/>
      <c r="N2" s="1"/>
      <c r="O2" s="1"/>
      <c r="P2" s="1"/>
      <c r="Q2" s="1"/>
      <c r="R2" s="2"/>
      <c r="S2" s="2"/>
    </row>
    <row r="3" spans="1:22" x14ac:dyDescent="0.3">
      <c r="A3" s="1" t="s">
        <v>1</v>
      </c>
      <c r="B3" s="1"/>
      <c r="C3" s="1"/>
      <c r="D3" s="1"/>
      <c r="E3" s="1"/>
      <c r="F3" s="1"/>
      <c r="G3" s="1"/>
      <c r="H3" s="1"/>
      <c r="I3" s="1"/>
      <c r="J3" s="1"/>
      <c r="K3" s="1"/>
      <c r="L3" s="1"/>
      <c r="M3" s="1"/>
      <c r="N3" s="1"/>
      <c r="O3" s="1"/>
      <c r="P3" s="1"/>
      <c r="Q3" s="1"/>
      <c r="R3" s="2"/>
      <c r="S3" s="2"/>
    </row>
    <row r="4" spans="1:22" ht="15" thickBot="1" x14ac:dyDescent="0.35"/>
    <row r="5" spans="1:22" s="7" customFormat="1" ht="15" thickTop="1" thickBot="1" x14ac:dyDescent="0.3">
      <c r="A5" s="4" t="s">
        <v>2</v>
      </c>
      <c r="B5" s="5" t="s">
        <v>3</v>
      </c>
      <c r="C5" s="5" t="s">
        <v>4</v>
      </c>
      <c r="D5" s="5" t="s">
        <v>5</v>
      </c>
      <c r="E5" s="5" t="s">
        <v>6</v>
      </c>
      <c r="F5" s="5" t="s">
        <v>7</v>
      </c>
      <c r="G5" s="5" t="s">
        <v>8</v>
      </c>
      <c r="H5" s="5" t="s">
        <v>9</v>
      </c>
      <c r="I5" s="5" t="s">
        <v>10</v>
      </c>
      <c r="J5" s="5" t="s">
        <v>11</v>
      </c>
      <c r="K5" s="5" t="s">
        <v>12</v>
      </c>
      <c r="L5" s="5" t="s">
        <v>13</v>
      </c>
      <c r="M5" s="5" t="s">
        <v>14</v>
      </c>
      <c r="N5" s="5" t="s">
        <v>15</v>
      </c>
      <c r="O5" s="5" t="s">
        <v>16</v>
      </c>
      <c r="P5" s="5" t="s">
        <v>17</v>
      </c>
      <c r="Q5" s="6" t="s">
        <v>18</v>
      </c>
      <c r="R5" s="5" t="s">
        <v>19</v>
      </c>
      <c r="S5" s="5" t="s">
        <v>20</v>
      </c>
      <c r="T5" s="5" t="s">
        <v>21</v>
      </c>
    </row>
    <row r="6" spans="1:22" s="9" customFormat="1" ht="15" thickTop="1" x14ac:dyDescent="0.3">
      <c r="A6" s="3"/>
      <c r="B6" s="8"/>
      <c r="C6" s="8"/>
      <c r="D6" s="8"/>
      <c r="E6" s="8"/>
      <c r="F6" s="8"/>
      <c r="G6" s="8"/>
      <c r="H6" s="8"/>
      <c r="I6" s="8"/>
      <c r="J6" s="8"/>
      <c r="K6" s="8"/>
      <c r="L6" s="8"/>
      <c r="M6" s="8"/>
      <c r="N6" s="8"/>
      <c r="O6" s="8"/>
      <c r="P6" s="8"/>
      <c r="Q6" s="8"/>
      <c r="R6" s="8"/>
      <c r="S6" s="8"/>
      <c r="T6" s="8"/>
      <c r="U6" s="8"/>
      <c r="V6" s="8"/>
    </row>
    <row r="7" spans="1:22" s="10" customFormat="1" ht="15" customHeight="1" x14ac:dyDescent="0.25">
      <c r="A7" s="10" t="s">
        <v>22</v>
      </c>
      <c r="B7" s="11">
        <f>SUM(B8:B23)</f>
        <v>153811.48071288998</v>
      </c>
      <c r="C7" s="11">
        <f t="shared" ref="C7:Q7" si="0">SUM(C8:C23)</f>
        <v>109569.43808238</v>
      </c>
      <c r="D7" s="11">
        <f t="shared" si="0"/>
        <v>136421.34491871612</v>
      </c>
      <c r="E7" s="11">
        <f>SUM(B7:D7)</f>
        <v>399802.26371398609</v>
      </c>
      <c r="F7" s="11">
        <f t="shared" si="0"/>
        <v>185952.16674440997</v>
      </c>
      <c r="G7" s="11">
        <f t="shared" si="0"/>
        <v>176976.8088999</v>
      </c>
      <c r="H7" s="11">
        <f t="shared" si="0"/>
        <v>139195.51986393001</v>
      </c>
      <c r="I7" s="11">
        <f>SUM(F7:H7)</f>
        <v>502124.49550824001</v>
      </c>
      <c r="J7" s="11">
        <f>+E7+I7</f>
        <v>901926.7592222261</v>
      </c>
      <c r="K7" s="11">
        <f t="shared" si="0"/>
        <v>159214.05068352001</v>
      </c>
      <c r="L7" s="11">
        <f t="shared" si="0"/>
        <v>187059.94775400998</v>
      </c>
      <c r="M7" s="11">
        <f t="shared" si="0"/>
        <v>137214.33603801002</v>
      </c>
      <c r="N7" s="11">
        <f>SUM(K7:M7)</f>
        <v>483488.33447554003</v>
      </c>
      <c r="O7" s="11">
        <f t="shared" si="0"/>
        <v>150524.04700885009</v>
      </c>
      <c r="P7" s="11">
        <f t="shared" si="0"/>
        <v>191860.61473570002</v>
      </c>
      <c r="Q7" s="11">
        <f t="shared" si="0"/>
        <v>144404.64860993001</v>
      </c>
      <c r="R7" s="11">
        <f>SUM(O7:Q7)</f>
        <v>486789.31035448011</v>
      </c>
      <c r="S7" s="11">
        <f>+N7+R7</f>
        <v>970277.64483002014</v>
      </c>
      <c r="T7" s="11">
        <f>+J7+S7</f>
        <v>1872204.4040522464</v>
      </c>
      <c r="U7" s="11"/>
      <c r="V7" s="11"/>
    </row>
    <row r="8" spans="1:22" ht="15" customHeight="1" x14ac:dyDescent="0.3">
      <c r="A8" s="12" t="s">
        <v>23</v>
      </c>
      <c r="B8" s="8">
        <v>572.62174364999964</v>
      </c>
      <c r="C8" s="8">
        <v>381.10799637000002</v>
      </c>
      <c r="D8" s="8">
        <v>468.20362816000016</v>
      </c>
      <c r="E8" s="8">
        <f t="shared" ref="E8:E23" si="1">SUM(B8:D8)</f>
        <v>1421.9333681799999</v>
      </c>
      <c r="F8" s="8">
        <v>657.70607595999923</v>
      </c>
      <c r="G8" s="8">
        <v>548.20469113000036</v>
      </c>
      <c r="H8" s="8">
        <v>516.19273345000045</v>
      </c>
      <c r="I8" s="8">
        <f t="shared" ref="I8:I23" si="2">SUM(F8:H8)</f>
        <v>1722.1035005399999</v>
      </c>
      <c r="J8" s="8">
        <f t="shared" ref="J8:J71" si="3">+E8+I8</f>
        <v>3144.0368687199998</v>
      </c>
      <c r="K8" s="8">
        <v>469.23998330000018</v>
      </c>
      <c r="L8" s="8">
        <v>489.70814777000004</v>
      </c>
      <c r="M8" s="8">
        <v>501.28536400000024</v>
      </c>
      <c r="N8" s="8">
        <f t="shared" ref="N8:N23" si="4">SUM(K8:M8)</f>
        <v>1460.2334950700006</v>
      </c>
      <c r="O8" s="8">
        <v>562.78517007999994</v>
      </c>
      <c r="P8" s="8">
        <v>580.28925431000016</v>
      </c>
      <c r="Q8" s="8">
        <v>456.87495484000061</v>
      </c>
      <c r="R8" s="8">
        <f t="shared" ref="R8:R23" si="5">SUM(O8:Q8)</f>
        <v>1599.9493792300007</v>
      </c>
      <c r="S8" s="8">
        <f t="shared" ref="S8:S71" si="6">+N8+R8</f>
        <v>3060.1828743000015</v>
      </c>
      <c r="T8" s="8">
        <f t="shared" ref="T8:T23" si="7">+J8+S8</f>
        <v>6204.2197430200013</v>
      </c>
      <c r="U8" s="8"/>
      <c r="V8" s="8"/>
    </row>
    <row r="9" spans="1:22" ht="15" customHeight="1" x14ac:dyDescent="0.3">
      <c r="A9" s="12" t="s">
        <v>24</v>
      </c>
      <c r="B9" s="8">
        <v>515.88112216000002</v>
      </c>
      <c r="C9" s="8">
        <v>411.98412127000006</v>
      </c>
      <c r="D9" s="8">
        <v>585.65089107000017</v>
      </c>
      <c r="E9" s="8">
        <f t="shared" si="1"/>
        <v>1513.5161345000001</v>
      </c>
      <c r="F9" s="8">
        <v>939.61517362999973</v>
      </c>
      <c r="G9" s="8">
        <v>846.90862918000005</v>
      </c>
      <c r="H9" s="8">
        <v>787.94949010000016</v>
      </c>
      <c r="I9" s="8">
        <f t="shared" si="2"/>
        <v>2574.4732929100001</v>
      </c>
      <c r="J9" s="8">
        <f t="shared" si="3"/>
        <v>4087.9894274100002</v>
      </c>
      <c r="K9" s="8">
        <v>528.80803131000016</v>
      </c>
      <c r="L9" s="8">
        <v>660.86507518999997</v>
      </c>
      <c r="M9" s="8">
        <v>526.7993163399999</v>
      </c>
      <c r="N9" s="8">
        <f t="shared" si="4"/>
        <v>1716.47242284</v>
      </c>
      <c r="O9" s="8">
        <v>507.2869771000004</v>
      </c>
      <c r="P9" s="8">
        <v>661.07431146999988</v>
      </c>
      <c r="Q9" s="8">
        <v>546.53131128999996</v>
      </c>
      <c r="R9" s="8">
        <f t="shared" si="5"/>
        <v>1714.8925998600002</v>
      </c>
      <c r="S9" s="8">
        <f t="shared" si="6"/>
        <v>3431.3650227000003</v>
      </c>
      <c r="T9" s="8">
        <f t="shared" si="7"/>
        <v>7519.3544501100005</v>
      </c>
      <c r="U9" s="8"/>
      <c r="V9" s="8"/>
    </row>
    <row r="10" spans="1:22" ht="15" customHeight="1" x14ac:dyDescent="0.3">
      <c r="A10" s="12" t="s">
        <v>25</v>
      </c>
      <c r="B10" s="8">
        <v>10455.501401680001</v>
      </c>
      <c r="C10" s="8">
        <v>7555.9940027099983</v>
      </c>
      <c r="D10" s="8">
        <v>8109.0162568900014</v>
      </c>
      <c r="E10" s="8">
        <f t="shared" si="1"/>
        <v>26120.511661280001</v>
      </c>
      <c r="F10" s="8">
        <v>14260.51769638</v>
      </c>
      <c r="G10" s="8">
        <v>13998.100021980001</v>
      </c>
      <c r="H10" s="8">
        <v>10858.305992419999</v>
      </c>
      <c r="I10" s="8">
        <f t="shared" si="2"/>
        <v>39116.92371078</v>
      </c>
      <c r="J10" s="8">
        <f t="shared" si="3"/>
        <v>65237.435372060005</v>
      </c>
      <c r="K10" s="8">
        <v>10030.844537990004</v>
      </c>
      <c r="L10" s="8">
        <v>12029.446778639998</v>
      </c>
      <c r="M10" s="8">
        <v>10294.4193063</v>
      </c>
      <c r="N10" s="8">
        <f t="shared" si="4"/>
        <v>32354.710622930004</v>
      </c>
      <c r="O10" s="8">
        <v>9332.5491327200034</v>
      </c>
      <c r="P10" s="8">
        <v>12983.424097550002</v>
      </c>
      <c r="Q10" s="8">
        <v>9633.4480019600051</v>
      </c>
      <c r="R10" s="8">
        <f t="shared" si="5"/>
        <v>31949.421232230012</v>
      </c>
      <c r="S10" s="8">
        <f t="shared" si="6"/>
        <v>64304.131855160012</v>
      </c>
      <c r="T10" s="8">
        <f t="shared" si="7"/>
        <v>129541.56722722002</v>
      </c>
      <c r="U10" s="8"/>
      <c r="V10" s="8"/>
    </row>
    <row r="11" spans="1:22" ht="15" customHeight="1" x14ac:dyDescent="0.3">
      <c r="A11" s="12" t="s">
        <v>26</v>
      </c>
      <c r="B11" s="8">
        <v>352.35165458000023</v>
      </c>
      <c r="C11" s="8">
        <v>228.7640792600001</v>
      </c>
      <c r="D11" s="8">
        <v>283.51603837999994</v>
      </c>
      <c r="E11" s="8">
        <f t="shared" si="1"/>
        <v>864.63177222000024</v>
      </c>
      <c r="F11" s="8">
        <v>446.56316514000014</v>
      </c>
      <c r="G11" s="8">
        <v>324.32187507999981</v>
      </c>
      <c r="H11" s="8">
        <v>309.27601378000003</v>
      </c>
      <c r="I11" s="8">
        <f t="shared" si="2"/>
        <v>1080.1610539999999</v>
      </c>
      <c r="J11" s="8">
        <f t="shared" si="3"/>
        <v>1944.7928262200003</v>
      </c>
      <c r="K11" s="8">
        <v>281.96710078999996</v>
      </c>
      <c r="L11" s="8">
        <v>290.49668130999993</v>
      </c>
      <c r="M11" s="8">
        <v>265.46963435000021</v>
      </c>
      <c r="N11" s="8">
        <f t="shared" si="4"/>
        <v>837.9334164500001</v>
      </c>
      <c r="O11" s="8">
        <v>304.23233280000011</v>
      </c>
      <c r="P11" s="8">
        <v>358.40006753999995</v>
      </c>
      <c r="Q11" s="8">
        <v>296.74196897999991</v>
      </c>
      <c r="R11" s="8">
        <f t="shared" si="5"/>
        <v>959.37436931999991</v>
      </c>
      <c r="S11" s="8">
        <f t="shared" si="6"/>
        <v>1797.30778577</v>
      </c>
      <c r="T11" s="8">
        <f t="shared" si="7"/>
        <v>3742.1006119900003</v>
      </c>
      <c r="U11" s="8"/>
      <c r="V11" s="8"/>
    </row>
    <row r="12" spans="1:22" ht="15" customHeight="1" x14ac:dyDescent="0.3">
      <c r="A12" s="12" t="s">
        <v>27</v>
      </c>
      <c r="B12" s="8">
        <v>2500.137172250003</v>
      </c>
      <c r="C12" s="8">
        <v>1460.0051677499998</v>
      </c>
      <c r="D12" s="8">
        <v>1707.0033274199998</v>
      </c>
      <c r="E12" s="8">
        <f t="shared" si="1"/>
        <v>5667.1456674200026</v>
      </c>
      <c r="F12" s="8">
        <v>2711.966045759998</v>
      </c>
      <c r="G12" s="8">
        <v>3154.0778031299969</v>
      </c>
      <c r="H12" s="8">
        <v>1943.6346967100005</v>
      </c>
      <c r="I12" s="8">
        <f t="shared" si="2"/>
        <v>7809.6785455999952</v>
      </c>
      <c r="J12" s="8">
        <f t="shared" si="3"/>
        <v>13476.824213019998</v>
      </c>
      <c r="K12" s="8">
        <v>1844.7386449800015</v>
      </c>
      <c r="L12" s="8">
        <v>2352.5704062199993</v>
      </c>
      <c r="M12" s="8">
        <v>1766.215714269998</v>
      </c>
      <c r="N12" s="8">
        <f t="shared" si="4"/>
        <v>5963.5247654699988</v>
      </c>
      <c r="O12" s="8">
        <v>2177.4344898099985</v>
      </c>
      <c r="P12" s="8">
        <v>2409.6510032799988</v>
      </c>
      <c r="Q12" s="8">
        <v>1915.9164991599985</v>
      </c>
      <c r="R12" s="8">
        <f t="shared" si="5"/>
        <v>6503.0019922499951</v>
      </c>
      <c r="S12" s="8">
        <f t="shared" si="6"/>
        <v>12466.526757719994</v>
      </c>
      <c r="T12" s="8">
        <f t="shared" si="7"/>
        <v>25943.350970739993</v>
      </c>
      <c r="U12" s="8"/>
      <c r="V12" s="8"/>
    </row>
    <row r="13" spans="1:22" ht="15" customHeight="1" x14ac:dyDescent="0.3">
      <c r="A13" s="12" t="s">
        <v>28</v>
      </c>
      <c r="B13" s="8">
        <v>4775.1089384299994</v>
      </c>
      <c r="C13" s="8">
        <v>3074.98836106</v>
      </c>
      <c r="D13" s="8">
        <v>3687.9033306700017</v>
      </c>
      <c r="E13" s="8">
        <f t="shared" si="1"/>
        <v>11538.000630160001</v>
      </c>
      <c r="F13" s="8">
        <v>5145.3200585799987</v>
      </c>
      <c r="G13" s="8">
        <v>4809.9210534899985</v>
      </c>
      <c r="H13" s="8">
        <v>4270.3610772100001</v>
      </c>
      <c r="I13" s="8">
        <f t="shared" si="2"/>
        <v>14225.602189279998</v>
      </c>
      <c r="J13" s="8">
        <f t="shared" si="3"/>
        <v>25763.602819439999</v>
      </c>
      <c r="K13" s="8">
        <v>5198.3167641299997</v>
      </c>
      <c r="L13" s="8">
        <v>5495.7759764700004</v>
      </c>
      <c r="M13" s="8">
        <v>3283.8699249700007</v>
      </c>
      <c r="N13" s="8">
        <f t="shared" si="4"/>
        <v>13977.962665570001</v>
      </c>
      <c r="O13" s="8">
        <v>3856.6584724900008</v>
      </c>
      <c r="P13" s="8">
        <v>4675.4990797199998</v>
      </c>
      <c r="Q13" s="8">
        <v>4278.0110222399999</v>
      </c>
      <c r="R13" s="8">
        <f t="shared" si="5"/>
        <v>12810.168574450001</v>
      </c>
      <c r="S13" s="8">
        <f t="shared" si="6"/>
        <v>26788.131240020004</v>
      </c>
      <c r="T13" s="8">
        <f t="shared" si="7"/>
        <v>52551.734059460003</v>
      </c>
      <c r="U13" s="8"/>
      <c r="V13" s="8"/>
    </row>
    <row r="14" spans="1:22" ht="18" customHeight="1" x14ac:dyDescent="0.3">
      <c r="A14" s="12" t="s">
        <v>29</v>
      </c>
      <c r="B14" s="8">
        <v>619.03662784999938</v>
      </c>
      <c r="C14" s="8">
        <v>572.82365376000018</v>
      </c>
      <c r="D14" s="8">
        <v>598.81050118999974</v>
      </c>
      <c r="E14" s="8">
        <f t="shared" si="1"/>
        <v>1790.6707827999994</v>
      </c>
      <c r="F14" s="8">
        <v>1019.9432816599989</v>
      </c>
      <c r="G14" s="8">
        <v>789.84507067000038</v>
      </c>
      <c r="H14" s="8">
        <v>687.86953123999979</v>
      </c>
      <c r="I14" s="8">
        <f t="shared" si="2"/>
        <v>2497.6578835699993</v>
      </c>
      <c r="J14" s="8">
        <f t="shared" si="3"/>
        <v>4288.3286663699982</v>
      </c>
      <c r="K14" s="8">
        <v>637.23030366</v>
      </c>
      <c r="L14" s="8">
        <v>703.69287925000037</v>
      </c>
      <c r="M14" s="8">
        <v>611.54031201000009</v>
      </c>
      <c r="N14" s="8">
        <f t="shared" si="4"/>
        <v>1952.4634949200004</v>
      </c>
      <c r="O14" s="8">
        <v>644.61742659000004</v>
      </c>
      <c r="P14" s="8">
        <v>897.61323570000025</v>
      </c>
      <c r="Q14" s="8">
        <v>679.66837188000011</v>
      </c>
      <c r="R14" s="8">
        <f t="shared" si="5"/>
        <v>2221.8990341700005</v>
      </c>
      <c r="S14" s="8">
        <f t="shared" si="6"/>
        <v>4174.3625290900009</v>
      </c>
      <c r="T14" s="8">
        <f t="shared" si="7"/>
        <v>8462.69119546</v>
      </c>
      <c r="U14" s="8"/>
      <c r="V14" s="8"/>
    </row>
    <row r="15" spans="1:22" ht="15" customHeight="1" x14ac:dyDescent="0.3">
      <c r="A15" s="12" t="s">
        <v>30</v>
      </c>
      <c r="B15" s="8">
        <v>1217.5661573200018</v>
      </c>
      <c r="C15" s="8">
        <v>899.86243817000025</v>
      </c>
      <c r="D15" s="8">
        <v>1088.1431635399995</v>
      </c>
      <c r="E15" s="8">
        <f t="shared" si="1"/>
        <v>3205.5717590300014</v>
      </c>
      <c r="F15" s="8">
        <v>1682.8258109899984</v>
      </c>
      <c r="G15" s="8">
        <v>1288.9688789199993</v>
      </c>
      <c r="H15" s="8">
        <v>1198.2584708900001</v>
      </c>
      <c r="I15" s="8">
        <f t="shared" si="2"/>
        <v>4170.0531607999983</v>
      </c>
      <c r="J15" s="8">
        <f t="shared" si="3"/>
        <v>7375.6249198299993</v>
      </c>
      <c r="K15" s="8">
        <v>1155.8876686699998</v>
      </c>
      <c r="L15" s="8">
        <v>1487.6137645599995</v>
      </c>
      <c r="M15" s="8">
        <v>1228.722092159999</v>
      </c>
      <c r="N15" s="8">
        <f t="shared" si="4"/>
        <v>3872.223525389998</v>
      </c>
      <c r="O15" s="8">
        <v>1146.1321689699987</v>
      </c>
      <c r="P15" s="8">
        <v>1591.1777568999996</v>
      </c>
      <c r="Q15" s="8">
        <v>1199.6020211099999</v>
      </c>
      <c r="R15" s="8">
        <f t="shared" si="5"/>
        <v>3936.9119469799984</v>
      </c>
      <c r="S15" s="8">
        <f t="shared" si="6"/>
        <v>7809.1354723699969</v>
      </c>
      <c r="T15" s="8">
        <f t="shared" si="7"/>
        <v>15184.760392199996</v>
      </c>
      <c r="U15" s="8"/>
      <c r="V15" s="8"/>
    </row>
    <row r="16" spans="1:22" ht="15" customHeight="1" x14ac:dyDescent="0.3">
      <c r="A16" s="12" t="s">
        <v>31</v>
      </c>
      <c r="B16" s="8">
        <v>2102.9459029199952</v>
      </c>
      <c r="C16" s="8">
        <v>1048.8822769800001</v>
      </c>
      <c r="D16" s="8">
        <v>1163.1602783299995</v>
      </c>
      <c r="E16" s="8">
        <f t="shared" si="1"/>
        <v>4314.9884582299946</v>
      </c>
      <c r="F16" s="8">
        <v>1824.09859923</v>
      </c>
      <c r="G16" s="8">
        <v>1433.1636650300011</v>
      </c>
      <c r="H16" s="8">
        <v>1163.6291044399998</v>
      </c>
      <c r="I16" s="8">
        <f t="shared" si="2"/>
        <v>4420.8913687000004</v>
      </c>
      <c r="J16" s="8">
        <f t="shared" si="3"/>
        <v>8735.879826929995</v>
      </c>
      <c r="K16" s="8">
        <v>1564.5025296100007</v>
      </c>
      <c r="L16" s="8">
        <v>1629.4972566399981</v>
      </c>
      <c r="M16" s="8">
        <v>1264.6631263299989</v>
      </c>
      <c r="N16" s="8">
        <f t="shared" si="4"/>
        <v>4458.6629125799973</v>
      </c>
      <c r="O16" s="8">
        <v>1538.3176379899962</v>
      </c>
      <c r="P16" s="8">
        <v>1726.9247041499996</v>
      </c>
      <c r="Q16" s="8">
        <v>1582.4736529399993</v>
      </c>
      <c r="R16" s="8">
        <f t="shared" si="5"/>
        <v>4847.7159950799951</v>
      </c>
      <c r="S16" s="8">
        <f t="shared" si="6"/>
        <v>9306.3789076599933</v>
      </c>
      <c r="T16" s="8">
        <f t="shared" si="7"/>
        <v>18042.258734589988</v>
      </c>
      <c r="U16" s="8"/>
      <c r="V16" s="8"/>
    </row>
    <row r="17" spans="1:22" ht="15" customHeight="1" x14ac:dyDescent="0.3">
      <c r="A17" s="12" t="s">
        <v>32</v>
      </c>
      <c r="B17" s="8">
        <v>2717.697082550003</v>
      </c>
      <c r="C17" s="8">
        <v>1207.1211058599995</v>
      </c>
      <c r="D17" s="8">
        <v>2078.1398484900019</v>
      </c>
      <c r="E17" s="8">
        <f t="shared" si="1"/>
        <v>6002.9580369000041</v>
      </c>
      <c r="F17" s="8">
        <v>2427.0069036100003</v>
      </c>
      <c r="G17" s="8">
        <v>2024.9949991900005</v>
      </c>
      <c r="H17" s="8">
        <v>1691.9249508700004</v>
      </c>
      <c r="I17" s="8">
        <f t="shared" si="2"/>
        <v>6143.926853670001</v>
      </c>
      <c r="J17" s="8">
        <f t="shared" si="3"/>
        <v>12146.884890570005</v>
      </c>
      <c r="K17" s="8">
        <v>2621.8251973200013</v>
      </c>
      <c r="L17" s="8">
        <v>2460.0315998800011</v>
      </c>
      <c r="M17" s="8">
        <v>1575.2133325999996</v>
      </c>
      <c r="N17" s="8">
        <f t="shared" si="4"/>
        <v>6657.0701298000013</v>
      </c>
      <c r="O17" s="8">
        <v>1755.3500031699957</v>
      </c>
      <c r="P17" s="8">
        <v>2345.1117404200004</v>
      </c>
      <c r="Q17" s="8">
        <v>1778.8028082100002</v>
      </c>
      <c r="R17" s="8">
        <f t="shared" si="5"/>
        <v>5879.2645517999963</v>
      </c>
      <c r="S17" s="8">
        <f t="shared" si="6"/>
        <v>12536.334681599998</v>
      </c>
      <c r="T17" s="8">
        <f t="shared" si="7"/>
        <v>24683.219572170005</v>
      </c>
      <c r="U17" s="8"/>
      <c r="V17" s="8"/>
    </row>
    <row r="18" spans="1:22" ht="15" customHeight="1" x14ac:dyDescent="0.3">
      <c r="A18" s="12" t="s">
        <v>33</v>
      </c>
      <c r="B18" s="8">
        <v>4382.2454800500009</v>
      </c>
      <c r="C18" s="8">
        <v>2919.7950004100026</v>
      </c>
      <c r="D18" s="8">
        <v>3307.8248400300035</v>
      </c>
      <c r="E18" s="8">
        <f t="shared" si="1"/>
        <v>10609.865320490007</v>
      </c>
      <c r="F18" s="8">
        <v>5233.3046109599845</v>
      </c>
      <c r="G18" s="8">
        <v>4798.0786924400018</v>
      </c>
      <c r="H18" s="8">
        <v>3711.8534848100057</v>
      </c>
      <c r="I18" s="8">
        <f t="shared" si="2"/>
        <v>13743.236788209993</v>
      </c>
      <c r="J18" s="8">
        <f t="shared" si="3"/>
        <v>24353.102108700001</v>
      </c>
      <c r="K18" s="8">
        <v>3863.467145160002</v>
      </c>
      <c r="L18" s="8">
        <v>4664.9903343499982</v>
      </c>
      <c r="M18" s="8">
        <v>2974.9089701100015</v>
      </c>
      <c r="N18" s="8">
        <f t="shared" si="4"/>
        <v>11503.366449620002</v>
      </c>
      <c r="O18" s="8">
        <v>4130.1561694699994</v>
      </c>
      <c r="P18" s="8">
        <v>4601.9683415700065</v>
      </c>
      <c r="Q18" s="8">
        <v>3664.9550059000098</v>
      </c>
      <c r="R18" s="8">
        <f t="shared" si="5"/>
        <v>12397.079516940015</v>
      </c>
      <c r="S18" s="8">
        <f t="shared" si="6"/>
        <v>23900.445966560015</v>
      </c>
      <c r="T18" s="8">
        <f t="shared" si="7"/>
        <v>48253.548075260012</v>
      </c>
      <c r="U18" s="8"/>
      <c r="V18" s="8"/>
    </row>
    <row r="19" spans="1:22" ht="15" customHeight="1" x14ac:dyDescent="0.3">
      <c r="A19" s="12" t="s">
        <v>34</v>
      </c>
      <c r="B19" s="8">
        <v>7459.5136292800016</v>
      </c>
      <c r="C19" s="8">
        <v>6044.3911622199976</v>
      </c>
      <c r="D19" s="8">
        <v>6352.5684420999969</v>
      </c>
      <c r="E19" s="8">
        <f t="shared" si="1"/>
        <v>19856.473233599994</v>
      </c>
      <c r="F19" s="8">
        <v>10213.307355430004</v>
      </c>
      <c r="G19" s="8">
        <v>7869.8235147599989</v>
      </c>
      <c r="H19" s="8">
        <v>6888.7347604399965</v>
      </c>
      <c r="I19" s="8">
        <f t="shared" si="2"/>
        <v>24971.865630630004</v>
      </c>
      <c r="J19" s="8">
        <f t="shared" si="3"/>
        <v>44828.338864229998</v>
      </c>
      <c r="K19" s="8">
        <v>6458.1460922300021</v>
      </c>
      <c r="L19" s="8">
        <v>8054.3001771999952</v>
      </c>
      <c r="M19" s="8">
        <v>6346.6673824799964</v>
      </c>
      <c r="N19" s="8">
        <f t="shared" si="4"/>
        <v>20859.113651909996</v>
      </c>
      <c r="O19" s="8">
        <v>7091.3933154399929</v>
      </c>
      <c r="P19" s="8">
        <v>8161.3301335799979</v>
      </c>
      <c r="Q19" s="8">
        <v>6714.5598276199935</v>
      </c>
      <c r="R19" s="8">
        <f t="shared" si="5"/>
        <v>21967.283276639984</v>
      </c>
      <c r="S19" s="8">
        <f t="shared" si="6"/>
        <v>42826.396928549977</v>
      </c>
      <c r="T19" s="8">
        <f t="shared" si="7"/>
        <v>87654.735792779975</v>
      </c>
      <c r="U19" s="8"/>
      <c r="V19" s="8"/>
    </row>
    <row r="20" spans="1:22" ht="15" customHeight="1" x14ac:dyDescent="0.3">
      <c r="A20" s="12" t="s">
        <v>35</v>
      </c>
      <c r="B20" s="8">
        <v>581.75733752999975</v>
      </c>
      <c r="C20" s="8">
        <v>409.43135170000005</v>
      </c>
      <c r="D20" s="8">
        <v>471.3369839099999</v>
      </c>
      <c r="E20" s="8">
        <f t="shared" si="1"/>
        <v>1462.5256731399998</v>
      </c>
      <c r="F20" s="8">
        <v>715.52173301000073</v>
      </c>
      <c r="G20" s="8">
        <v>622.34548690999998</v>
      </c>
      <c r="H20" s="8">
        <v>553.93030285000054</v>
      </c>
      <c r="I20" s="8">
        <f t="shared" si="2"/>
        <v>1891.7975227700013</v>
      </c>
      <c r="J20" s="8">
        <f t="shared" si="3"/>
        <v>3354.3231959100012</v>
      </c>
      <c r="K20" s="8">
        <v>473.57498680000003</v>
      </c>
      <c r="L20" s="8">
        <v>548.82933780999963</v>
      </c>
      <c r="M20" s="8">
        <v>491.1418494400001</v>
      </c>
      <c r="N20" s="8">
        <f t="shared" si="4"/>
        <v>1513.5461740499998</v>
      </c>
      <c r="O20" s="8">
        <v>472.40026868999979</v>
      </c>
      <c r="P20" s="8">
        <v>668.81718146000003</v>
      </c>
      <c r="Q20" s="8">
        <v>574.37533214999951</v>
      </c>
      <c r="R20" s="8">
        <f t="shared" si="5"/>
        <v>1715.5927822999993</v>
      </c>
      <c r="S20" s="8">
        <f t="shared" si="6"/>
        <v>3229.1389563499988</v>
      </c>
      <c r="T20" s="8">
        <f t="shared" si="7"/>
        <v>6583.46215226</v>
      </c>
      <c r="U20" s="8"/>
      <c r="V20" s="8"/>
    </row>
    <row r="21" spans="1:22" ht="15" customHeight="1" x14ac:dyDescent="0.3">
      <c r="A21" s="12" t="s">
        <v>36</v>
      </c>
      <c r="B21" s="8">
        <v>7271.8475505100041</v>
      </c>
      <c r="C21" s="8">
        <v>5666.2364996700053</v>
      </c>
      <c r="D21" s="8">
        <v>5059.8902301000035</v>
      </c>
      <c r="E21" s="8">
        <f t="shared" si="1"/>
        <v>17997.97428028001</v>
      </c>
      <c r="F21" s="8">
        <v>8457.3490079099993</v>
      </c>
      <c r="G21" s="8">
        <v>7182.303011470005</v>
      </c>
      <c r="H21" s="8">
        <v>5271.7843290900028</v>
      </c>
      <c r="I21" s="8">
        <f t="shared" si="2"/>
        <v>20911.436348470008</v>
      </c>
      <c r="J21" s="8">
        <f t="shared" si="3"/>
        <v>38909.410628750018</v>
      </c>
      <c r="K21" s="8">
        <v>6396.1448107800043</v>
      </c>
      <c r="L21" s="8">
        <v>7716.3611550099995</v>
      </c>
      <c r="M21" s="8">
        <v>6321.0440084100064</v>
      </c>
      <c r="N21" s="8">
        <f t="shared" si="4"/>
        <v>20433.54997420001</v>
      </c>
      <c r="O21" s="8">
        <v>7369.930410610069</v>
      </c>
      <c r="P21" s="8">
        <v>9482.0802175900117</v>
      </c>
      <c r="Q21" s="8">
        <v>7207.7248380800056</v>
      </c>
      <c r="R21" s="8">
        <f t="shared" si="5"/>
        <v>24059.735466280086</v>
      </c>
      <c r="S21" s="8">
        <f t="shared" si="6"/>
        <v>44493.285440480096</v>
      </c>
      <c r="T21" s="8">
        <f t="shared" si="7"/>
        <v>83402.696069230122</v>
      </c>
      <c r="U21" s="8"/>
      <c r="V21" s="8"/>
    </row>
    <row r="22" spans="1:22" ht="15" customHeight="1" x14ac:dyDescent="0.3">
      <c r="A22" s="12" t="s">
        <v>37</v>
      </c>
      <c r="B22" s="8">
        <v>483.34540003000052</v>
      </c>
      <c r="C22" s="8">
        <v>397.72694141999995</v>
      </c>
      <c r="D22" s="8">
        <v>504.02479885000002</v>
      </c>
      <c r="E22" s="8">
        <f t="shared" si="1"/>
        <v>1385.0971403000005</v>
      </c>
      <c r="F22" s="8">
        <v>656.07646833999934</v>
      </c>
      <c r="G22" s="8">
        <v>497.14565902999993</v>
      </c>
      <c r="H22" s="8">
        <v>426.39571358999996</v>
      </c>
      <c r="I22" s="8">
        <f t="shared" si="2"/>
        <v>1579.6178409599993</v>
      </c>
      <c r="J22" s="8">
        <f t="shared" si="3"/>
        <v>2964.7149812600001</v>
      </c>
      <c r="K22" s="8">
        <v>446.38356064000004</v>
      </c>
      <c r="L22" s="8">
        <v>475.54231499999986</v>
      </c>
      <c r="M22" s="8">
        <v>377.07665410000027</v>
      </c>
      <c r="N22" s="8">
        <f t="shared" si="4"/>
        <v>1299.0025297400002</v>
      </c>
      <c r="O22" s="8">
        <v>504.83919462999989</v>
      </c>
      <c r="P22" s="8">
        <v>515.42770487999985</v>
      </c>
      <c r="Q22" s="8">
        <v>423.73316673999966</v>
      </c>
      <c r="R22" s="8">
        <f t="shared" si="5"/>
        <v>1444.0000662499995</v>
      </c>
      <c r="S22" s="8">
        <f t="shared" si="6"/>
        <v>2743.0025959899995</v>
      </c>
      <c r="T22" s="8">
        <f t="shared" si="7"/>
        <v>5707.7175772499995</v>
      </c>
      <c r="U22" s="8"/>
      <c r="V22" s="8"/>
    </row>
    <row r="23" spans="1:22" ht="18" customHeight="1" x14ac:dyDescent="0.3">
      <c r="A23" s="12" t="s">
        <v>38</v>
      </c>
      <c r="B23" s="8">
        <v>107803.92351209999</v>
      </c>
      <c r="C23" s="8">
        <v>77290.323923770004</v>
      </c>
      <c r="D23" s="8">
        <v>100956.15235958612</v>
      </c>
      <c r="E23" s="8">
        <f t="shared" si="1"/>
        <v>286050.39979545609</v>
      </c>
      <c r="F23" s="8">
        <v>129561.04475781998</v>
      </c>
      <c r="G23" s="8">
        <v>126788.60584748999</v>
      </c>
      <c r="H23" s="8">
        <v>98915.419212040011</v>
      </c>
      <c r="I23" s="8">
        <f t="shared" si="2"/>
        <v>355265.06981735001</v>
      </c>
      <c r="J23" s="8">
        <f t="shared" si="3"/>
        <v>641315.4696128061</v>
      </c>
      <c r="K23" s="8">
        <v>117242.97332615001</v>
      </c>
      <c r="L23" s="8">
        <v>138000.22586871</v>
      </c>
      <c r="M23" s="8">
        <v>99385.299050140005</v>
      </c>
      <c r="N23" s="8">
        <f t="shared" si="4"/>
        <v>354628.49824500002</v>
      </c>
      <c r="O23" s="8">
        <v>109129.96383829002</v>
      </c>
      <c r="P23" s="8">
        <v>140201.82590558002</v>
      </c>
      <c r="Q23" s="8">
        <v>103451.22982683001</v>
      </c>
      <c r="R23" s="8">
        <f t="shared" si="5"/>
        <v>352783.01957070001</v>
      </c>
      <c r="S23" s="8">
        <f t="shared" si="6"/>
        <v>707411.51781570003</v>
      </c>
      <c r="T23" s="8">
        <f t="shared" si="7"/>
        <v>1348726.9874285061</v>
      </c>
      <c r="U23" s="8"/>
      <c r="V23" s="8"/>
    </row>
    <row r="24" spans="1:22" s="10" customFormat="1" ht="15" customHeight="1" x14ac:dyDescent="0.3">
      <c r="A24" s="3"/>
      <c r="B24" s="11"/>
      <c r="C24" s="11"/>
      <c r="D24" s="11"/>
      <c r="E24" s="11"/>
      <c r="F24" s="11"/>
      <c r="G24" s="11"/>
      <c r="H24" s="11"/>
      <c r="I24" s="11"/>
      <c r="J24" s="11"/>
      <c r="K24" s="11"/>
      <c r="L24" s="11"/>
      <c r="M24" s="11"/>
      <c r="N24" s="11"/>
      <c r="O24" s="11"/>
      <c r="P24" s="11"/>
      <c r="Q24" s="11"/>
      <c r="R24" s="11"/>
      <c r="S24" s="11"/>
      <c r="T24" s="11"/>
      <c r="U24" s="11"/>
      <c r="V24" s="11"/>
    </row>
    <row r="25" spans="1:22" s="10" customFormat="1" ht="15" customHeight="1" x14ac:dyDescent="0.25">
      <c r="A25" s="10" t="s">
        <v>39</v>
      </c>
      <c r="B25" s="11">
        <f>SUM(B26:B31)</f>
        <v>650.60622331000002</v>
      </c>
      <c r="C25" s="11">
        <f t="shared" ref="C25:Q25" si="8">SUM(C26:C31)</f>
        <v>431.29408462999993</v>
      </c>
      <c r="D25" s="11">
        <f t="shared" si="8"/>
        <v>498.55687268999986</v>
      </c>
      <c r="E25" s="11">
        <f t="shared" ref="E25:E31" si="9">SUM(B25:D25)</f>
        <v>1580.4571806299998</v>
      </c>
      <c r="F25" s="11">
        <f t="shared" si="8"/>
        <v>791.04984173000003</v>
      </c>
      <c r="G25" s="11">
        <f t="shared" si="8"/>
        <v>650.70567712999957</v>
      </c>
      <c r="H25" s="11">
        <f t="shared" si="8"/>
        <v>653.4885740000002</v>
      </c>
      <c r="I25" s="11">
        <f t="shared" ref="I25:I31" si="10">SUM(F25:H25)</f>
        <v>2095.2440928599999</v>
      </c>
      <c r="J25" s="11">
        <f t="shared" si="3"/>
        <v>3675.7012734899999</v>
      </c>
      <c r="K25" s="11">
        <f t="shared" si="8"/>
        <v>682.16887163000001</v>
      </c>
      <c r="L25" s="11">
        <f t="shared" si="8"/>
        <v>639.76752065999995</v>
      </c>
      <c r="M25" s="11">
        <f t="shared" si="8"/>
        <v>603.64217832999998</v>
      </c>
      <c r="N25" s="11">
        <f t="shared" ref="N25:N31" si="11">SUM(K25:M25)</f>
        <v>1925.5785706199999</v>
      </c>
      <c r="O25" s="11">
        <f t="shared" si="8"/>
        <v>632.34980666000001</v>
      </c>
      <c r="P25" s="11">
        <f t="shared" si="8"/>
        <v>706.01906485000018</v>
      </c>
      <c r="Q25" s="11">
        <f t="shared" si="8"/>
        <v>673.76282061999996</v>
      </c>
      <c r="R25" s="11">
        <f t="shared" ref="R25:R31" si="12">SUM(O25:Q25)</f>
        <v>2012.1316921300001</v>
      </c>
      <c r="S25" s="11">
        <f t="shared" si="6"/>
        <v>3937.7102627499999</v>
      </c>
      <c r="T25" s="11">
        <f t="shared" ref="T25:T31" si="13">+J25+S25</f>
        <v>7613.4115362399998</v>
      </c>
      <c r="U25" s="11"/>
      <c r="V25" s="11"/>
    </row>
    <row r="26" spans="1:22" ht="15" customHeight="1" x14ac:dyDescent="0.3">
      <c r="A26" s="12" t="s">
        <v>40</v>
      </c>
      <c r="B26" s="8">
        <v>61.70649945000001</v>
      </c>
      <c r="C26" s="8">
        <v>53.681468710000004</v>
      </c>
      <c r="D26" s="8">
        <v>53.90374932000001</v>
      </c>
      <c r="E26" s="8">
        <f t="shared" si="9"/>
        <v>169.29171748000002</v>
      </c>
      <c r="F26" s="8">
        <v>106.63273163999997</v>
      </c>
      <c r="G26" s="8">
        <v>58.21205965</v>
      </c>
      <c r="H26" s="8">
        <v>50.986627280000008</v>
      </c>
      <c r="I26" s="8">
        <f t="shared" si="10"/>
        <v>215.83141856999998</v>
      </c>
      <c r="J26" s="8">
        <f t="shared" si="3"/>
        <v>385.12313604999997</v>
      </c>
      <c r="K26" s="8">
        <v>55.382874269999995</v>
      </c>
      <c r="L26" s="8">
        <v>50.677706840000006</v>
      </c>
      <c r="M26" s="8">
        <v>67.061862849999997</v>
      </c>
      <c r="N26" s="8">
        <f t="shared" si="11"/>
        <v>173.12244396</v>
      </c>
      <c r="O26" s="8">
        <v>58.089340059999998</v>
      </c>
      <c r="P26" s="8">
        <v>72.943272919999984</v>
      </c>
      <c r="Q26" s="8">
        <v>63.532038150000005</v>
      </c>
      <c r="R26" s="8">
        <f t="shared" si="12"/>
        <v>194.56465112999999</v>
      </c>
      <c r="S26" s="8">
        <f t="shared" si="6"/>
        <v>367.68709508999996</v>
      </c>
      <c r="T26" s="8">
        <f t="shared" si="13"/>
        <v>752.81023113999993</v>
      </c>
      <c r="U26" s="8"/>
      <c r="V26" s="8"/>
    </row>
    <row r="27" spans="1:22" ht="15" customHeight="1" x14ac:dyDescent="0.3">
      <c r="A27" s="12" t="s">
        <v>41</v>
      </c>
      <c r="B27" s="8">
        <v>102.50028940000006</v>
      </c>
      <c r="C27" s="8">
        <v>48.538435519999993</v>
      </c>
      <c r="D27" s="8">
        <v>54.182985060000014</v>
      </c>
      <c r="E27" s="8">
        <f t="shared" si="9"/>
        <v>205.22170998000007</v>
      </c>
      <c r="F27" s="8">
        <v>95.116082540000022</v>
      </c>
      <c r="G27" s="8">
        <v>76.851329539999995</v>
      </c>
      <c r="H27" s="8">
        <v>79.591840579999996</v>
      </c>
      <c r="I27" s="8">
        <f t="shared" si="10"/>
        <v>251.55925266000003</v>
      </c>
      <c r="J27" s="8">
        <f t="shared" si="3"/>
        <v>456.7809626400001</v>
      </c>
      <c r="K27" s="8">
        <v>70.117177900000002</v>
      </c>
      <c r="L27" s="8">
        <v>69.610737820000011</v>
      </c>
      <c r="M27" s="8">
        <v>65.376394610000006</v>
      </c>
      <c r="N27" s="8">
        <f t="shared" si="11"/>
        <v>205.10431033</v>
      </c>
      <c r="O27" s="8">
        <v>77.106632189999985</v>
      </c>
      <c r="P27" s="8">
        <v>96.661356139999995</v>
      </c>
      <c r="Q27" s="8">
        <v>74.26763754000001</v>
      </c>
      <c r="R27" s="8">
        <f t="shared" si="12"/>
        <v>248.03562586999999</v>
      </c>
      <c r="S27" s="8">
        <f t="shared" si="6"/>
        <v>453.13993619999997</v>
      </c>
      <c r="T27" s="8">
        <f t="shared" si="13"/>
        <v>909.92089884000006</v>
      </c>
      <c r="U27" s="8"/>
      <c r="V27" s="8"/>
    </row>
    <row r="28" spans="1:22" ht="15" customHeight="1" x14ac:dyDescent="0.3">
      <c r="A28" s="12" t="s">
        <v>42</v>
      </c>
      <c r="B28" s="8">
        <v>107.09841966</v>
      </c>
      <c r="C28" s="8">
        <v>85.228696350000007</v>
      </c>
      <c r="D28" s="8">
        <v>89.441106059999967</v>
      </c>
      <c r="E28" s="8">
        <f t="shared" si="9"/>
        <v>281.76822206999998</v>
      </c>
      <c r="F28" s="8">
        <v>117.49616639000004</v>
      </c>
      <c r="G28" s="8">
        <v>91.06411799</v>
      </c>
      <c r="H28" s="8">
        <v>106.27051411000001</v>
      </c>
      <c r="I28" s="8">
        <f t="shared" si="10"/>
        <v>314.83079849000006</v>
      </c>
      <c r="J28" s="8">
        <f t="shared" si="3"/>
        <v>596.5990205600001</v>
      </c>
      <c r="K28" s="8">
        <v>116.04210787</v>
      </c>
      <c r="L28" s="8">
        <v>96.262949919999983</v>
      </c>
      <c r="M28" s="8">
        <v>122.78748863999999</v>
      </c>
      <c r="N28" s="8">
        <f t="shared" si="11"/>
        <v>335.09254642999997</v>
      </c>
      <c r="O28" s="8">
        <v>108.40219455000002</v>
      </c>
      <c r="P28" s="8">
        <v>111.40290883999999</v>
      </c>
      <c r="Q28" s="8">
        <v>139.60722544999999</v>
      </c>
      <c r="R28" s="8">
        <f t="shared" si="12"/>
        <v>359.41232883999999</v>
      </c>
      <c r="S28" s="8">
        <f t="shared" si="6"/>
        <v>694.50487526999996</v>
      </c>
      <c r="T28" s="8">
        <f t="shared" si="13"/>
        <v>1291.1038958300001</v>
      </c>
      <c r="U28" s="8"/>
      <c r="V28" s="8"/>
    </row>
    <row r="29" spans="1:22" ht="15" customHeight="1" x14ac:dyDescent="0.3">
      <c r="A29" s="12" t="s">
        <v>43</v>
      </c>
      <c r="B29" s="8">
        <v>47.602663890000002</v>
      </c>
      <c r="C29" s="8">
        <v>24.442182519999999</v>
      </c>
      <c r="D29" s="8">
        <v>27.927330620000006</v>
      </c>
      <c r="E29" s="8">
        <f t="shared" si="9"/>
        <v>99.972177030000012</v>
      </c>
      <c r="F29" s="8">
        <v>34.043961639999999</v>
      </c>
      <c r="G29" s="8">
        <v>30.051370500000001</v>
      </c>
      <c r="H29" s="8">
        <v>38.097547980000002</v>
      </c>
      <c r="I29" s="8">
        <f t="shared" si="10"/>
        <v>102.19288012</v>
      </c>
      <c r="J29" s="8">
        <f t="shared" si="3"/>
        <v>202.16505715</v>
      </c>
      <c r="K29" s="8">
        <v>33.666263389999997</v>
      </c>
      <c r="L29" s="8">
        <v>30.153436580000005</v>
      </c>
      <c r="M29" s="8">
        <v>35.442299490000003</v>
      </c>
      <c r="N29" s="8">
        <f t="shared" si="11"/>
        <v>99.261999459999998</v>
      </c>
      <c r="O29" s="8">
        <v>41.655216630000005</v>
      </c>
      <c r="P29" s="8">
        <v>33.066887510000008</v>
      </c>
      <c r="Q29" s="8">
        <v>45.511376269999992</v>
      </c>
      <c r="R29" s="8">
        <f t="shared" si="12"/>
        <v>120.23348041</v>
      </c>
      <c r="S29" s="8">
        <f t="shared" si="6"/>
        <v>219.49547987</v>
      </c>
      <c r="T29" s="8">
        <f t="shared" si="13"/>
        <v>421.66053701999999</v>
      </c>
      <c r="U29" s="8"/>
      <c r="V29" s="8"/>
    </row>
    <row r="30" spans="1:22" ht="15" customHeight="1" x14ac:dyDescent="0.3">
      <c r="A30" s="12" t="s">
        <v>44</v>
      </c>
      <c r="B30" s="8">
        <v>45.709815319999997</v>
      </c>
      <c r="C30" s="8">
        <v>25.104709110000002</v>
      </c>
      <c r="D30" s="8">
        <v>27.17330647</v>
      </c>
      <c r="E30" s="8">
        <f t="shared" si="9"/>
        <v>97.987830900000006</v>
      </c>
      <c r="F30" s="8">
        <v>53.940591329999997</v>
      </c>
      <c r="G30" s="8">
        <v>40.864467579999996</v>
      </c>
      <c r="H30" s="8">
        <v>32.304532560000006</v>
      </c>
      <c r="I30" s="8">
        <f t="shared" si="10"/>
        <v>127.10959147</v>
      </c>
      <c r="J30" s="8">
        <f t="shared" si="3"/>
        <v>225.09742237</v>
      </c>
      <c r="K30" s="8">
        <v>34.929618010000006</v>
      </c>
      <c r="L30" s="8">
        <v>29.59570553</v>
      </c>
      <c r="M30" s="8">
        <v>31.119868290000003</v>
      </c>
      <c r="N30" s="8">
        <f t="shared" si="11"/>
        <v>95.645191830000002</v>
      </c>
      <c r="O30" s="8">
        <v>38.533993339999995</v>
      </c>
      <c r="P30" s="8">
        <v>40.759913039999994</v>
      </c>
      <c r="Q30" s="8">
        <v>47.547333319999993</v>
      </c>
      <c r="R30" s="8">
        <f t="shared" si="12"/>
        <v>126.84123969999997</v>
      </c>
      <c r="S30" s="8">
        <f t="shared" si="6"/>
        <v>222.48643152999998</v>
      </c>
      <c r="T30" s="8">
        <f t="shared" si="13"/>
        <v>447.58385390000001</v>
      </c>
      <c r="U30" s="8"/>
      <c r="V30" s="8"/>
    </row>
    <row r="31" spans="1:22" ht="15" customHeight="1" x14ac:dyDescent="0.3">
      <c r="A31" s="12" t="s">
        <v>45</v>
      </c>
      <c r="B31" s="8">
        <v>285.98853558999991</v>
      </c>
      <c r="C31" s="8">
        <v>194.29859241999995</v>
      </c>
      <c r="D31" s="8">
        <v>245.92839515999984</v>
      </c>
      <c r="E31" s="8">
        <f t="shared" si="9"/>
        <v>726.21552316999964</v>
      </c>
      <c r="F31" s="8">
        <v>383.82030818999999</v>
      </c>
      <c r="G31" s="8">
        <v>353.66233186999955</v>
      </c>
      <c r="H31" s="8">
        <v>346.23751149000014</v>
      </c>
      <c r="I31" s="8">
        <f t="shared" si="10"/>
        <v>1083.7201515499996</v>
      </c>
      <c r="J31" s="8">
        <f t="shared" si="3"/>
        <v>1809.9356747199993</v>
      </c>
      <c r="K31" s="8">
        <v>372.03083019000002</v>
      </c>
      <c r="L31" s="8">
        <v>363.46698396999989</v>
      </c>
      <c r="M31" s="8">
        <v>281.85426445000007</v>
      </c>
      <c r="N31" s="8">
        <f t="shared" si="11"/>
        <v>1017.35207861</v>
      </c>
      <c r="O31" s="8">
        <v>308.56242989000009</v>
      </c>
      <c r="P31" s="8">
        <v>351.18472640000022</v>
      </c>
      <c r="Q31" s="8">
        <v>303.29720988999998</v>
      </c>
      <c r="R31" s="8">
        <f t="shared" si="12"/>
        <v>963.04436618000022</v>
      </c>
      <c r="S31" s="8">
        <f t="shared" si="6"/>
        <v>1980.3964447900003</v>
      </c>
      <c r="T31" s="8">
        <f t="shared" si="13"/>
        <v>3790.3321195099998</v>
      </c>
      <c r="U31" s="8"/>
      <c r="V31" s="8"/>
    </row>
    <row r="32" spans="1:22" s="10" customFormat="1" ht="15" customHeight="1" x14ac:dyDescent="0.3">
      <c r="A32" s="3"/>
      <c r="B32" s="11"/>
      <c r="C32" s="11"/>
      <c r="D32" s="11"/>
      <c r="E32" s="11"/>
      <c r="F32" s="11"/>
      <c r="G32" s="11"/>
      <c r="H32" s="11"/>
      <c r="I32" s="11"/>
      <c r="J32" s="11"/>
      <c r="K32" s="11"/>
      <c r="L32" s="11"/>
      <c r="M32" s="11"/>
      <c r="N32" s="11"/>
      <c r="O32" s="11"/>
      <c r="P32" s="11"/>
      <c r="Q32" s="11"/>
      <c r="R32" s="11"/>
      <c r="S32" s="11"/>
      <c r="T32" s="11"/>
      <c r="U32" s="11"/>
      <c r="V32" s="11"/>
    </row>
    <row r="33" spans="1:22" s="10" customFormat="1" ht="15" customHeight="1" x14ac:dyDescent="0.25">
      <c r="A33" s="10" t="s">
        <v>46</v>
      </c>
      <c r="B33" s="11">
        <f>SUM(B34:B37)</f>
        <v>1538.9669856499993</v>
      </c>
      <c r="C33" s="11">
        <f t="shared" ref="C33:Q33" si="14">SUM(C34:C37)</f>
        <v>1005.9590118</v>
      </c>
      <c r="D33" s="11">
        <f t="shared" si="14"/>
        <v>1159.4416598600005</v>
      </c>
      <c r="E33" s="11">
        <f t="shared" ref="E33:E37" si="15">SUM(B33:D33)</f>
        <v>3704.3676573099997</v>
      </c>
      <c r="F33" s="11">
        <f t="shared" si="14"/>
        <v>1787.7288098199997</v>
      </c>
      <c r="G33" s="11">
        <f t="shared" si="14"/>
        <v>1465.9450866699997</v>
      </c>
      <c r="H33" s="11">
        <f t="shared" si="14"/>
        <v>1458.2065530099999</v>
      </c>
      <c r="I33" s="11">
        <f t="shared" ref="I33:I37" si="16">SUM(F33:H33)</f>
        <v>4711.8804494999995</v>
      </c>
      <c r="J33" s="11">
        <f t="shared" si="3"/>
        <v>8416.2481068099987</v>
      </c>
      <c r="K33" s="11">
        <f t="shared" si="14"/>
        <v>1386.0150961799995</v>
      </c>
      <c r="L33" s="11">
        <f t="shared" si="14"/>
        <v>1526.8271032300001</v>
      </c>
      <c r="M33" s="11">
        <f t="shared" si="14"/>
        <v>1267.4301316199999</v>
      </c>
      <c r="N33" s="11">
        <f t="shared" ref="N33:N37" si="17">SUM(K33:M33)</f>
        <v>4180.2723310299998</v>
      </c>
      <c r="O33" s="11">
        <f t="shared" si="14"/>
        <v>1340.5031766900006</v>
      </c>
      <c r="P33" s="11">
        <f t="shared" si="14"/>
        <v>1634.8483694200004</v>
      </c>
      <c r="Q33" s="11">
        <f t="shared" si="14"/>
        <v>1419.1181401100002</v>
      </c>
      <c r="R33" s="11">
        <f t="shared" ref="R33:R37" si="18">SUM(O33:Q33)</f>
        <v>4394.4696862200017</v>
      </c>
      <c r="S33" s="11">
        <f t="shared" si="6"/>
        <v>8574.7420172500024</v>
      </c>
      <c r="T33" s="11">
        <f t="shared" ref="T33:T37" si="19">+J33+S33</f>
        <v>16990.990124060001</v>
      </c>
      <c r="U33" s="11"/>
      <c r="V33" s="11"/>
    </row>
    <row r="34" spans="1:22" ht="15" customHeight="1" x14ac:dyDescent="0.3">
      <c r="A34" s="12" t="s">
        <v>47</v>
      </c>
      <c r="B34" s="8">
        <v>202.58724185000005</v>
      </c>
      <c r="C34" s="8">
        <v>108.34998341000004</v>
      </c>
      <c r="D34" s="8">
        <v>163.38279842000009</v>
      </c>
      <c r="E34" s="8">
        <f t="shared" si="15"/>
        <v>474.32002368000019</v>
      </c>
      <c r="F34" s="8">
        <v>207.81936794000006</v>
      </c>
      <c r="G34" s="8">
        <v>190.68689816999998</v>
      </c>
      <c r="H34" s="8">
        <v>193.06730077999987</v>
      </c>
      <c r="I34" s="8">
        <f t="shared" si="16"/>
        <v>591.57356688999994</v>
      </c>
      <c r="J34" s="8">
        <f t="shared" si="3"/>
        <v>1065.89359057</v>
      </c>
      <c r="K34" s="8">
        <v>169.89401060999995</v>
      </c>
      <c r="L34" s="8">
        <v>205.68203807999998</v>
      </c>
      <c r="M34" s="8">
        <v>153.71297439</v>
      </c>
      <c r="N34" s="8">
        <f t="shared" si="17"/>
        <v>529.28902307999988</v>
      </c>
      <c r="O34" s="8">
        <v>183.2697721000001</v>
      </c>
      <c r="P34" s="8">
        <v>189.49404611000003</v>
      </c>
      <c r="Q34" s="8">
        <v>203.21651576000005</v>
      </c>
      <c r="R34" s="8">
        <f t="shared" si="18"/>
        <v>575.98033397000017</v>
      </c>
      <c r="S34" s="8">
        <f t="shared" si="6"/>
        <v>1105.2693570500001</v>
      </c>
      <c r="T34" s="8">
        <f t="shared" si="19"/>
        <v>2171.1629476200001</v>
      </c>
      <c r="U34" s="8"/>
      <c r="V34" s="8"/>
    </row>
    <row r="35" spans="1:22" ht="15" customHeight="1" x14ac:dyDescent="0.3">
      <c r="A35" s="12" t="s">
        <v>48</v>
      </c>
      <c r="B35" s="8">
        <v>294.82273894999975</v>
      </c>
      <c r="C35" s="8">
        <v>126.18310950999999</v>
      </c>
      <c r="D35" s="8">
        <v>170.52558221000007</v>
      </c>
      <c r="E35" s="8">
        <f t="shared" si="15"/>
        <v>591.53143066999985</v>
      </c>
      <c r="F35" s="8">
        <v>310.75493467999979</v>
      </c>
      <c r="G35" s="8">
        <v>215.78768638</v>
      </c>
      <c r="H35" s="8">
        <v>204.58883279</v>
      </c>
      <c r="I35" s="8">
        <f t="shared" si="16"/>
        <v>731.13145384999973</v>
      </c>
      <c r="J35" s="8">
        <f t="shared" si="3"/>
        <v>1322.6628845199996</v>
      </c>
      <c r="K35" s="8">
        <v>211.58471103999995</v>
      </c>
      <c r="L35" s="8">
        <v>210.25039088999998</v>
      </c>
      <c r="M35" s="8">
        <v>178.81895322000011</v>
      </c>
      <c r="N35" s="8">
        <f t="shared" si="17"/>
        <v>600.65405515000009</v>
      </c>
      <c r="O35" s="8">
        <v>207.01666412999995</v>
      </c>
      <c r="P35" s="8">
        <v>215.32815021999997</v>
      </c>
      <c r="Q35" s="8">
        <v>192.07549450999994</v>
      </c>
      <c r="R35" s="8">
        <f t="shared" si="18"/>
        <v>614.42030885999986</v>
      </c>
      <c r="S35" s="8">
        <f t="shared" si="6"/>
        <v>1215.07436401</v>
      </c>
      <c r="T35" s="8">
        <f t="shared" si="19"/>
        <v>2537.7372485299993</v>
      </c>
      <c r="U35" s="8"/>
      <c r="V35" s="8"/>
    </row>
    <row r="36" spans="1:22" ht="15" customHeight="1" x14ac:dyDescent="0.3">
      <c r="A36" s="12" t="s">
        <v>49</v>
      </c>
      <c r="B36" s="8">
        <v>334.63249894999979</v>
      </c>
      <c r="C36" s="8">
        <v>203.70105616000001</v>
      </c>
      <c r="D36" s="8">
        <v>206.21886477999993</v>
      </c>
      <c r="E36" s="8">
        <f t="shared" si="15"/>
        <v>744.55241988999978</v>
      </c>
      <c r="F36" s="8">
        <v>348.57580718999986</v>
      </c>
      <c r="G36" s="8">
        <v>345.82251143999986</v>
      </c>
      <c r="H36" s="8">
        <v>265.37912348000003</v>
      </c>
      <c r="I36" s="8">
        <f t="shared" si="16"/>
        <v>959.77744210999981</v>
      </c>
      <c r="J36" s="8">
        <f t="shared" si="3"/>
        <v>1704.3298619999996</v>
      </c>
      <c r="K36" s="8">
        <v>265.53127927000003</v>
      </c>
      <c r="L36" s="8">
        <v>309.71754921000007</v>
      </c>
      <c r="M36" s="8">
        <v>250.52864303999996</v>
      </c>
      <c r="N36" s="8">
        <f t="shared" si="17"/>
        <v>825.77747152000006</v>
      </c>
      <c r="O36" s="8">
        <v>278.68903549999993</v>
      </c>
      <c r="P36" s="8">
        <v>347.25330198999995</v>
      </c>
      <c r="Q36" s="8">
        <v>371.83092671000009</v>
      </c>
      <c r="R36" s="8">
        <f t="shared" si="18"/>
        <v>997.77326419999997</v>
      </c>
      <c r="S36" s="8">
        <f t="shared" si="6"/>
        <v>1823.5507357199999</v>
      </c>
      <c r="T36" s="8">
        <f t="shared" si="19"/>
        <v>3527.8805977199995</v>
      </c>
      <c r="U36" s="8"/>
      <c r="V36" s="8"/>
    </row>
    <row r="37" spans="1:22" ht="15" customHeight="1" x14ac:dyDescent="0.3">
      <c r="A37" s="12" t="s">
        <v>50</v>
      </c>
      <c r="B37" s="8">
        <v>706.92450589999976</v>
      </c>
      <c r="C37" s="8">
        <v>567.72486271999992</v>
      </c>
      <c r="D37" s="8">
        <v>619.3144144500003</v>
      </c>
      <c r="E37" s="8">
        <f t="shared" si="15"/>
        <v>1893.9637830699999</v>
      </c>
      <c r="F37" s="8">
        <v>920.57870000999992</v>
      </c>
      <c r="G37" s="8">
        <v>713.64799067999979</v>
      </c>
      <c r="H37" s="8">
        <v>795.17129595999995</v>
      </c>
      <c r="I37" s="8">
        <f t="shared" si="16"/>
        <v>2429.3979866499994</v>
      </c>
      <c r="J37" s="8">
        <f t="shared" si="3"/>
        <v>4323.3617697199988</v>
      </c>
      <c r="K37" s="8">
        <v>739.00509525999962</v>
      </c>
      <c r="L37" s="8">
        <v>801.17712505000009</v>
      </c>
      <c r="M37" s="8">
        <v>684.36956096999995</v>
      </c>
      <c r="N37" s="8">
        <f t="shared" si="17"/>
        <v>2224.5517812799994</v>
      </c>
      <c r="O37" s="8">
        <v>671.52770496000062</v>
      </c>
      <c r="P37" s="8">
        <v>882.77287110000032</v>
      </c>
      <c r="Q37" s="8">
        <v>651.99520313000005</v>
      </c>
      <c r="R37" s="8">
        <f t="shared" si="18"/>
        <v>2206.2957791900008</v>
      </c>
      <c r="S37" s="8">
        <f t="shared" si="6"/>
        <v>4430.8475604699997</v>
      </c>
      <c r="T37" s="8">
        <f t="shared" si="19"/>
        <v>8754.2093301899986</v>
      </c>
      <c r="U37" s="8"/>
      <c r="V37" s="8"/>
    </row>
    <row r="38" spans="1:22" s="10" customFormat="1" ht="15" customHeight="1" x14ac:dyDescent="0.3">
      <c r="A38" s="3"/>
      <c r="B38" s="11"/>
      <c r="C38" s="11"/>
      <c r="D38" s="11"/>
      <c r="E38" s="11"/>
      <c r="F38" s="11"/>
      <c r="G38" s="11"/>
      <c r="H38" s="11"/>
      <c r="I38" s="11"/>
      <c r="J38" s="11"/>
      <c r="K38" s="11"/>
      <c r="L38" s="11"/>
      <c r="M38" s="11"/>
      <c r="N38" s="11"/>
      <c r="O38" s="11"/>
      <c r="P38" s="11"/>
      <c r="Q38" s="11"/>
      <c r="R38" s="11"/>
      <c r="S38" s="11"/>
      <c r="T38" s="11"/>
      <c r="U38" s="11"/>
      <c r="V38" s="11"/>
    </row>
    <row r="39" spans="1:22" s="10" customFormat="1" ht="15" customHeight="1" x14ac:dyDescent="0.25">
      <c r="A39" s="10" t="s">
        <v>51</v>
      </c>
      <c r="B39" s="11">
        <f>SUM(B40:B43)</f>
        <v>970.80258868999988</v>
      </c>
      <c r="C39" s="11">
        <f t="shared" ref="C39:Q39" si="20">SUM(C40:C43)</f>
        <v>614.19921069999998</v>
      </c>
      <c r="D39" s="11">
        <f t="shared" si="20"/>
        <v>733.57271060999949</v>
      </c>
      <c r="E39" s="11">
        <f t="shared" ref="E39:E43" si="21">SUM(B39:D39)</f>
        <v>2318.5745099999995</v>
      </c>
      <c r="F39" s="11">
        <f t="shared" si="20"/>
        <v>1173.7024224299994</v>
      </c>
      <c r="G39" s="11">
        <f t="shared" si="20"/>
        <v>803.18924460999983</v>
      </c>
      <c r="H39" s="11">
        <f t="shared" si="20"/>
        <v>864.77766969999993</v>
      </c>
      <c r="I39" s="11">
        <f t="shared" ref="I39:I43" si="22">SUM(F39:H39)</f>
        <v>2841.6693367399994</v>
      </c>
      <c r="J39" s="11">
        <f t="shared" si="3"/>
        <v>5160.2438467399988</v>
      </c>
      <c r="K39" s="11">
        <f t="shared" si="20"/>
        <v>814.93996758999992</v>
      </c>
      <c r="L39" s="11">
        <f t="shared" si="20"/>
        <v>970.76080747999993</v>
      </c>
      <c r="M39" s="11">
        <f t="shared" si="20"/>
        <v>807.02057319999994</v>
      </c>
      <c r="N39" s="11">
        <f t="shared" ref="N39:N43" si="23">SUM(K39:M39)</f>
        <v>2592.7213482699999</v>
      </c>
      <c r="O39" s="11">
        <f t="shared" si="20"/>
        <v>773.3099388600001</v>
      </c>
      <c r="P39" s="11">
        <f t="shared" si="20"/>
        <v>934.3426614499997</v>
      </c>
      <c r="Q39" s="11">
        <f t="shared" si="20"/>
        <v>854.46577755999999</v>
      </c>
      <c r="R39" s="11">
        <f t="shared" ref="R39:R43" si="24">SUM(O39:Q39)</f>
        <v>2562.1183778699997</v>
      </c>
      <c r="S39" s="11">
        <f t="shared" si="6"/>
        <v>5154.8397261399996</v>
      </c>
      <c r="T39" s="11">
        <f t="shared" ref="T39:T43" si="25">+J39+S39</f>
        <v>10315.083572879998</v>
      </c>
      <c r="U39" s="11"/>
      <c r="V39" s="11"/>
    </row>
    <row r="40" spans="1:22" ht="15" customHeight="1" x14ac:dyDescent="0.3">
      <c r="A40" s="12" t="s">
        <v>52</v>
      </c>
      <c r="B40" s="8">
        <v>352.03650765000009</v>
      </c>
      <c r="C40" s="8">
        <v>231.68893707999999</v>
      </c>
      <c r="D40" s="8">
        <v>285.5231929499995</v>
      </c>
      <c r="E40" s="8">
        <f t="shared" si="21"/>
        <v>869.24863767999955</v>
      </c>
      <c r="F40" s="8">
        <v>394.67376290999999</v>
      </c>
      <c r="G40" s="8">
        <v>312.79545371999995</v>
      </c>
      <c r="H40" s="8">
        <v>338.48613459000001</v>
      </c>
      <c r="I40" s="8">
        <f t="shared" si="22"/>
        <v>1045.95535122</v>
      </c>
      <c r="J40" s="8">
        <f t="shared" si="3"/>
        <v>1915.2039888999996</v>
      </c>
      <c r="K40" s="8">
        <v>279.56446616999995</v>
      </c>
      <c r="L40" s="8">
        <v>355.34591907999999</v>
      </c>
      <c r="M40" s="8">
        <v>310.78547125</v>
      </c>
      <c r="N40" s="8">
        <f t="shared" si="23"/>
        <v>945.69585649999999</v>
      </c>
      <c r="O40" s="8">
        <v>298.15575569000003</v>
      </c>
      <c r="P40" s="8">
        <v>372.30682695999991</v>
      </c>
      <c r="Q40" s="8">
        <v>375.27348667999996</v>
      </c>
      <c r="R40" s="8">
        <f t="shared" si="24"/>
        <v>1045.73606933</v>
      </c>
      <c r="S40" s="8">
        <f t="shared" si="6"/>
        <v>1991.43192583</v>
      </c>
      <c r="T40" s="8">
        <f t="shared" si="25"/>
        <v>3906.6359147299995</v>
      </c>
      <c r="U40" s="8"/>
      <c r="V40" s="8"/>
    </row>
    <row r="41" spans="1:22" ht="15" customHeight="1" x14ac:dyDescent="0.3">
      <c r="A41" s="12" t="s">
        <v>53</v>
      </c>
      <c r="B41" s="8">
        <v>441.62514089999985</v>
      </c>
      <c r="C41" s="8">
        <v>283.43180675999997</v>
      </c>
      <c r="D41" s="8">
        <v>316.63832621999995</v>
      </c>
      <c r="E41" s="8">
        <f t="shared" si="21"/>
        <v>1041.6952738799998</v>
      </c>
      <c r="F41" s="8">
        <v>583.3342855099994</v>
      </c>
      <c r="G41" s="8">
        <v>361.31753059999988</v>
      </c>
      <c r="H41" s="8">
        <v>388.38429755999999</v>
      </c>
      <c r="I41" s="8">
        <f t="shared" si="22"/>
        <v>1333.0361136699994</v>
      </c>
      <c r="J41" s="8">
        <f t="shared" si="3"/>
        <v>2374.7313875499995</v>
      </c>
      <c r="K41" s="8">
        <v>393.36995753999992</v>
      </c>
      <c r="L41" s="8">
        <v>422.54406048000004</v>
      </c>
      <c r="M41" s="8">
        <v>378.34977207000003</v>
      </c>
      <c r="N41" s="8">
        <f t="shared" si="23"/>
        <v>1194.2637900899999</v>
      </c>
      <c r="O41" s="8">
        <v>325.43894523000012</v>
      </c>
      <c r="P41" s="8">
        <v>410.94617965999981</v>
      </c>
      <c r="Q41" s="8">
        <v>366.35733723999999</v>
      </c>
      <c r="R41" s="8">
        <f t="shared" si="24"/>
        <v>1102.7424621299999</v>
      </c>
      <c r="S41" s="8">
        <f t="shared" si="6"/>
        <v>2297.0062522199996</v>
      </c>
      <c r="T41" s="8">
        <f t="shared" si="25"/>
        <v>4671.7376397699991</v>
      </c>
      <c r="U41" s="8"/>
      <c r="V41" s="8"/>
    </row>
    <row r="42" spans="1:22" ht="15" customHeight="1" x14ac:dyDescent="0.3">
      <c r="A42" s="12" t="s">
        <v>54</v>
      </c>
      <c r="B42" s="8">
        <v>144.33893501000003</v>
      </c>
      <c r="C42" s="8">
        <v>78.153436280000008</v>
      </c>
      <c r="D42" s="8">
        <v>103.25624247000002</v>
      </c>
      <c r="E42" s="8">
        <f t="shared" si="21"/>
        <v>325.74861376000007</v>
      </c>
      <c r="F42" s="8">
        <v>152.03551212000002</v>
      </c>
      <c r="G42" s="8">
        <v>98.387726489999977</v>
      </c>
      <c r="H42" s="8">
        <v>106.51075115000002</v>
      </c>
      <c r="I42" s="8">
        <f t="shared" si="22"/>
        <v>356.93398976000003</v>
      </c>
      <c r="J42" s="8">
        <f t="shared" si="3"/>
        <v>682.68260352000016</v>
      </c>
      <c r="K42" s="8">
        <v>120.66928804999999</v>
      </c>
      <c r="L42" s="8">
        <v>158.29814937999993</v>
      </c>
      <c r="M42" s="8">
        <v>99.823941410000003</v>
      </c>
      <c r="N42" s="8">
        <f t="shared" si="23"/>
        <v>378.79137883999988</v>
      </c>
      <c r="O42" s="8">
        <v>116.82233060000003</v>
      </c>
      <c r="P42" s="8">
        <v>118.04222442000005</v>
      </c>
      <c r="Q42" s="8">
        <v>79.583055030000025</v>
      </c>
      <c r="R42" s="8">
        <f t="shared" si="24"/>
        <v>314.44761005000009</v>
      </c>
      <c r="S42" s="8">
        <f t="shared" si="6"/>
        <v>693.23898888999997</v>
      </c>
      <c r="T42" s="8">
        <f t="shared" si="25"/>
        <v>1375.9215924100001</v>
      </c>
      <c r="U42" s="8"/>
      <c r="V42" s="8"/>
    </row>
    <row r="43" spans="1:22" ht="15" customHeight="1" x14ac:dyDescent="0.3">
      <c r="A43" s="12" t="s">
        <v>55</v>
      </c>
      <c r="B43" s="8">
        <v>32.802005130000005</v>
      </c>
      <c r="C43" s="8">
        <v>20.925030580000001</v>
      </c>
      <c r="D43" s="8">
        <v>28.15494897</v>
      </c>
      <c r="E43" s="8">
        <f t="shared" si="21"/>
        <v>81.881984680000016</v>
      </c>
      <c r="F43" s="8">
        <v>43.658861890000018</v>
      </c>
      <c r="G43" s="8">
        <v>30.688533800000005</v>
      </c>
      <c r="H43" s="8">
        <v>31.396486400000001</v>
      </c>
      <c r="I43" s="8">
        <f t="shared" si="22"/>
        <v>105.74388209000003</v>
      </c>
      <c r="J43" s="8">
        <f t="shared" si="3"/>
        <v>187.62586677000004</v>
      </c>
      <c r="K43" s="8">
        <v>21.336255829999999</v>
      </c>
      <c r="L43" s="8">
        <v>34.572678539999998</v>
      </c>
      <c r="M43" s="8">
        <v>18.061388469999997</v>
      </c>
      <c r="N43" s="8">
        <f t="shared" si="23"/>
        <v>73.970322839999994</v>
      </c>
      <c r="O43" s="8">
        <v>32.892907339999994</v>
      </c>
      <c r="P43" s="8">
        <v>33.047430410000004</v>
      </c>
      <c r="Q43" s="8">
        <v>33.251898610000005</v>
      </c>
      <c r="R43" s="8">
        <f t="shared" si="24"/>
        <v>99.19223636000001</v>
      </c>
      <c r="S43" s="8">
        <f t="shared" si="6"/>
        <v>173.1625592</v>
      </c>
      <c r="T43" s="8">
        <f t="shared" si="25"/>
        <v>360.78842597000005</v>
      </c>
      <c r="U43" s="8"/>
      <c r="V43" s="8"/>
    </row>
    <row r="44" spans="1:22" s="10" customFormat="1" ht="15" customHeight="1" x14ac:dyDescent="0.3">
      <c r="A44" s="3"/>
      <c r="B44" s="11"/>
      <c r="C44" s="11"/>
      <c r="D44" s="11"/>
      <c r="E44" s="11"/>
      <c r="F44" s="11"/>
      <c r="G44" s="11"/>
      <c r="H44" s="11"/>
      <c r="I44" s="11"/>
      <c r="J44" s="11"/>
      <c r="K44" s="11"/>
      <c r="L44" s="11"/>
      <c r="M44" s="11"/>
      <c r="N44" s="11"/>
      <c r="O44" s="11"/>
      <c r="P44" s="11"/>
      <c r="Q44" s="11"/>
      <c r="R44" s="11"/>
      <c r="S44" s="11"/>
      <c r="T44" s="11"/>
      <c r="U44" s="11"/>
      <c r="V44" s="11"/>
    </row>
    <row r="45" spans="1:22" s="10" customFormat="1" ht="15" customHeight="1" x14ac:dyDescent="0.25">
      <c r="A45" s="10" t="s">
        <v>56</v>
      </c>
      <c r="B45" s="11">
        <f>SUM(B46:B54)</f>
        <v>5079.3107789000023</v>
      </c>
      <c r="C45" s="11">
        <f t="shared" ref="C45:Q45" si="26">SUM(C46:C54)</f>
        <v>3578.2604705600006</v>
      </c>
      <c r="D45" s="11">
        <f t="shared" si="26"/>
        <v>4224.9242555899991</v>
      </c>
      <c r="E45" s="11">
        <f t="shared" ref="E45:E54" si="27">SUM(B45:D45)</f>
        <v>12882.495505050003</v>
      </c>
      <c r="F45" s="11">
        <f t="shared" si="26"/>
        <v>7570.783500800002</v>
      </c>
      <c r="G45" s="11">
        <f t="shared" si="26"/>
        <v>6876.3366286500004</v>
      </c>
      <c r="H45" s="11">
        <f t="shared" si="26"/>
        <v>4964.2492684400004</v>
      </c>
      <c r="I45" s="11">
        <f t="shared" ref="I45:I54" si="28">SUM(F45:H45)</f>
        <v>19411.369397890005</v>
      </c>
      <c r="J45" s="11">
        <f t="shared" si="3"/>
        <v>32293.864902940008</v>
      </c>
      <c r="K45" s="11">
        <f t="shared" si="26"/>
        <v>5706.4192921499989</v>
      </c>
      <c r="L45" s="11">
        <f t="shared" si="26"/>
        <v>6060.9422622900011</v>
      </c>
      <c r="M45" s="11">
        <f t="shared" si="26"/>
        <v>4491.250813820001</v>
      </c>
      <c r="N45" s="11">
        <f t="shared" ref="N45:N54" si="29">SUM(K45:M45)</f>
        <v>16258.612368260001</v>
      </c>
      <c r="O45" s="11">
        <f t="shared" si="26"/>
        <v>5300.2642198500007</v>
      </c>
      <c r="P45" s="11">
        <f t="shared" si="26"/>
        <v>6223.4691507999978</v>
      </c>
      <c r="Q45" s="11">
        <f t="shared" si="26"/>
        <v>4557.2371293499991</v>
      </c>
      <c r="R45" s="11">
        <f t="shared" ref="R45:R54" si="30">SUM(O45:Q45)</f>
        <v>16080.970499999999</v>
      </c>
      <c r="S45" s="11">
        <f t="shared" si="6"/>
        <v>32339.58286826</v>
      </c>
      <c r="T45" s="11">
        <f t="shared" ref="T45:T54" si="31">+J45+S45</f>
        <v>64633.447771200008</v>
      </c>
      <c r="U45" s="11"/>
      <c r="V45" s="11"/>
    </row>
    <row r="46" spans="1:22" ht="15" customHeight="1" x14ac:dyDescent="0.3">
      <c r="A46" s="12" t="s">
        <v>57</v>
      </c>
      <c r="B46" s="8">
        <v>43.492362030000002</v>
      </c>
      <c r="C46" s="8">
        <v>31.478136230000004</v>
      </c>
      <c r="D46" s="8">
        <v>31.289691919999996</v>
      </c>
      <c r="E46" s="8">
        <f t="shared" si="27"/>
        <v>106.26019018</v>
      </c>
      <c r="F46" s="8">
        <v>48.900247069999999</v>
      </c>
      <c r="G46" s="8">
        <v>34.547493439999997</v>
      </c>
      <c r="H46" s="8">
        <v>39.304254650000004</v>
      </c>
      <c r="I46" s="8">
        <f t="shared" si="28"/>
        <v>122.75199515999999</v>
      </c>
      <c r="J46" s="8">
        <f t="shared" si="3"/>
        <v>229.01218533999997</v>
      </c>
      <c r="K46" s="8">
        <v>44.061113499999998</v>
      </c>
      <c r="L46" s="8">
        <v>41.780967500000003</v>
      </c>
      <c r="M46" s="8">
        <v>37.585288710000007</v>
      </c>
      <c r="N46" s="8">
        <f t="shared" si="29"/>
        <v>123.42736971000002</v>
      </c>
      <c r="O46" s="8">
        <v>37.394445120000007</v>
      </c>
      <c r="P46" s="8">
        <v>42.953994999999999</v>
      </c>
      <c r="Q46" s="8">
        <v>39.376842409999995</v>
      </c>
      <c r="R46" s="8">
        <f t="shared" si="30"/>
        <v>119.72528253</v>
      </c>
      <c r="S46" s="8">
        <f t="shared" si="6"/>
        <v>243.15265224000001</v>
      </c>
      <c r="T46" s="8">
        <f t="shared" si="31"/>
        <v>472.16483757999998</v>
      </c>
      <c r="U46" s="8"/>
      <c r="V46" s="8"/>
    </row>
    <row r="47" spans="1:22" ht="15" customHeight="1" x14ac:dyDescent="0.3">
      <c r="A47" s="12" t="s">
        <v>58</v>
      </c>
      <c r="B47" s="8">
        <v>419.48369873999962</v>
      </c>
      <c r="C47" s="8">
        <v>325.64077206000013</v>
      </c>
      <c r="D47" s="8">
        <v>313.13424831000009</v>
      </c>
      <c r="E47" s="8">
        <f t="shared" si="27"/>
        <v>1058.2587191099997</v>
      </c>
      <c r="F47" s="8">
        <v>407.39261887999965</v>
      </c>
      <c r="G47" s="8">
        <v>468.17752722999984</v>
      </c>
      <c r="H47" s="8">
        <v>379.10066441999993</v>
      </c>
      <c r="I47" s="8">
        <f t="shared" si="28"/>
        <v>1254.6708105299995</v>
      </c>
      <c r="J47" s="8">
        <f t="shared" si="3"/>
        <v>2312.9295296399991</v>
      </c>
      <c r="K47" s="8">
        <v>438.28078483999985</v>
      </c>
      <c r="L47" s="8">
        <v>418.33685952999991</v>
      </c>
      <c r="M47" s="8">
        <v>372.29221724999991</v>
      </c>
      <c r="N47" s="8">
        <f t="shared" si="29"/>
        <v>1228.9098616199997</v>
      </c>
      <c r="O47" s="8">
        <v>426.29936619000011</v>
      </c>
      <c r="P47" s="8">
        <v>392.70725079999988</v>
      </c>
      <c r="Q47" s="8">
        <v>412.99443439999999</v>
      </c>
      <c r="R47" s="8">
        <f t="shared" si="30"/>
        <v>1232.0010513899999</v>
      </c>
      <c r="S47" s="8">
        <f t="shared" si="6"/>
        <v>2460.9109130099996</v>
      </c>
      <c r="T47" s="8">
        <f t="shared" si="31"/>
        <v>4773.8404426499983</v>
      </c>
      <c r="U47" s="8"/>
      <c r="V47" s="8"/>
    </row>
    <row r="48" spans="1:22" ht="15" customHeight="1" x14ac:dyDescent="0.3">
      <c r="A48" s="12" t="s">
        <v>59</v>
      </c>
      <c r="B48" s="8">
        <v>1318.6703503100011</v>
      </c>
      <c r="C48" s="8">
        <v>929.37643545000014</v>
      </c>
      <c r="D48" s="8">
        <v>1194.8504938800006</v>
      </c>
      <c r="E48" s="8">
        <f t="shared" si="27"/>
        <v>3442.8972796400021</v>
      </c>
      <c r="F48" s="8">
        <v>1645.5567382099985</v>
      </c>
      <c r="G48" s="8">
        <v>1222.5995720300002</v>
      </c>
      <c r="H48" s="8">
        <v>1415.9493571500002</v>
      </c>
      <c r="I48" s="8">
        <f t="shared" si="28"/>
        <v>4284.1056673899984</v>
      </c>
      <c r="J48" s="8">
        <f t="shared" si="3"/>
        <v>7727.0029470300005</v>
      </c>
      <c r="K48" s="8">
        <v>1592.7277317199998</v>
      </c>
      <c r="L48" s="8">
        <v>1308.8947483300005</v>
      </c>
      <c r="M48" s="8">
        <v>1102.0295397700006</v>
      </c>
      <c r="N48" s="8">
        <f t="shared" si="29"/>
        <v>4003.652019820001</v>
      </c>
      <c r="O48" s="8">
        <v>1486.4161593900005</v>
      </c>
      <c r="P48" s="8">
        <v>1438.8961503299997</v>
      </c>
      <c r="Q48" s="8">
        <v>1177.70447388</v>
      </c>
      <c r="R48" s="8">
        <f t="shared" si="30"/>
        <v>4103.0167836000001</v>
      </c>
      <c r="S48" s="8">
        <f t="shared" si="6"/>
        <v>8106.6688034200015</v>
      </c>
      <c r="T48" s="8">
        <f t="shared" si="31"/>
        <v>15833.671750450001</v>
      </c>
      <c r="U48" s="8"/>
      <c r="V48" s="8"/>
    </row>
    <row r="49" spans="1:22" ht="15" customHeight="1" x14ac:dyDescent="0.3">
      <c r="A49" s="12" t="s">
        <v>60</v>
      </c>
      <c r="B49" s="8">
        <v>620.95231408999985</v>
      </c>
      <c r="C49" s="8">
        <v>393.14527662</v>
      </c>
      <c r="D49" s="8">
        <v>465.94219378000003</v>
      </c>
      <c r="E49" s="8">
        <f t="shared" si="27"/>
        <v>1480.0397844899999</v>
      </c>
      <c r="F49" s="8">
        <v>691.24629573999982</v>
      </c>
      <c r="G49" s="8">
        <v>663.50072681000006</v>
      </c>
      <c r="H49" s="8">
        <v>538.90553769000007</v>
      </c>
      <c r="I49" s="8">
        <f t="shared" si="28"/>
        <v>1893.65256024</v>
      </c>
      <c r="J49" s="8">
        <f t="shared" si="3"/>
        <v>3373.6923447299996</v>
      </c>
      <c r="K49" s="8">
        <v>622.57815075000008</v>
      </c>
      <c r="L49" s="8">
        <v>642.83150636999994</v>
      </c>
      <c r="M49" s="8">
        <v>413.11850357000003</v>
      </c>
      <c r="N49" s="8">
        <f t="shared" si="29"/>
        <v>1678.52816069</v>
      </c>
      <c r="O49" s="8">
        <v>592.41381919000014</v>
      </c>
      <c r="P49" s="8">
        <v>634.41432954000004</v>
      </c>
      <c r="Q49" s="8">
        <v>471.3253297199999</v>
      </c>
      <c r="R49" s="8">
        <f t="shared" si="30"/>
        <v>1698.15347845</v>
      </c>
      <c r="S49" s="8">
        <f t="shared" si="6"/>
        <v>3376.6816391399998</v>
      </c>
      <c r="T49" s="8">
        <f t="shared" si="31"/>
        <v>6750.3739838699994</v>
      </c>
      <c r="U49" s="8"/>
      <c r="V49" s="8"/>
    </row>
    <row r="50" spans="1:22" ht="18" customHeight="1" x14ac:dyDescent="0.3">
      <c r="A50" s="12" t="s">
        <v>61</v>
      </c>
      <c r="B50" s="8">
        <v>1225.7601172600005</v>
      </c>
      <c r="C50" s="8">
        <v>794.30074257999991</v>
      </c>
      <c r="D50" s="8">
        <v>948.0892841000001</v>
      </c>
      <c r="E50" s="8">
        <f t="shared" si="27"/>
        <v>2968.1501439400004</v>
      </c>
      <c r="F50" s="8">
        <v>2069.3267738800009</v>
      </c>
      <c r="G50" s="8">
        <v>1549.1943445500001</v>
      </c>
      <c r="H50" s="8">
        <v>1138.5339022200001</v>
      </c>
      <c r="I50" s="8">
        <f t="shared" si="28"/>
        <v>4757.0550206500011</v>
      </c>
      <c r="J50" s="8">
        <f t="shared" si="3"/>
        <v>7725.205164590001</v>
      </c>
      <c r="K50" s="8">
        <v>1403.4004455799995</v>
      </c>
      <c r="L50" s="8">
        <v>1688.8059035300003</v>
      </c>
      <c r="M50" s="8">
        <v>1152.43461991</v>
      </c>
      <c r="N50" s="8">
        <f t="shared" si="29"/>
        <v>4244.6409690199998</v>
      </c>
      <c r="O50" s="8">
        <v>1334.2203924199996</v>
      </c>
      <c r="P50" s="8">
        <v>1603.8268381199994</v>
      </c>
      <c r="Q50" s="8">
        <v>1238.9020317899995</v>
      </c>
      <c r="R50" s="8">
        <f t="shared" si="30"/>
        <v>4176.9492623299984</v>
      </c>
      <c r="S50" s="8">
        <f t="shared" si="6"/>
        <v>8421.5902313499973</v>
      </c>
      <c r="T50" s="8">
        <f t="shared" si="31"/>
        <v>16146.795395939998</v>
      </c>
      <c r="U50" s="8"/>
      <c r="V50" s="8"/>
    </row>
    <row r="51" spans="1:22" ht="15" customHeight="1" x14ac:dyDescent="0.3">
      <c r="A51" s="12" t="s">
        <v>62</v>
      </c>
      <c r="B51" s="8">
        <v>348.78683816000012</v>
      </c>
      <c r="C51" s="8">
        <v>281.48857673000003</v>
      </c>
      <c r="D51" s="8">
        <v>309.38510792</v>
      </c>
      <c r="E51" s="8">
        <f t="shared" si="27"/>
        <v>939.66052281000009</v>
      </c>
      <c r="F51" s="8">
        <v>745.94906707000041</v>
      </c>
      <c r="G51" s="8">
        <v>364.99532908999998</v>
      </c>
      <c r="H51" s="8">
        <v>350.08533487000005</v>
      </c>
      <c r="I51" s="8">
        <f t="shared" si="28"/>
        <v>1461.0297310300004</v>
      </c>
      <c r="J51" s="8">
        <f t="shared" si="3"/>
        <v>2400.6902538400004</v>
      </c>
      <c r="K51" s="8">
        <v>335.3975049899999</v>
      </c>
      <c r="L51" s="8">
        <v>394.14079389999995</v>
      </c>
      <c r="M51" s="8">
        <v>345.54648194000009</v>
      </c>
      <c r="N51" s="8">
        <f t="shared" si="29"/>
        <v>1075.08478083</v>
      </c>
      <c r="O51" s="8">
        <v>297.12954296000004</v>
      </c>
      <c r="P51" s="8">
        <v>417.29926291999999</v>
      </c>
      <c r="Q51" s="8">
        <v>322.79809799999998</v>
      </c>
      <c r="R51" s="8">
        <f t="shared" si="30"/>
        <v>1037.22690388</v>
      </c>
      <c r="S51" s="8">
        <f t="shared" si="6"/>
        <v>2112.31168471</v>
      </c>
      <c r="T51" s="8">
        <f t="shared" si="31"/>
        <v>4513.00193855</v>
      </c>
      <c r="U51" s="8"/>
      <c r="V51" s="8"/>
    </row>
    <row r="52" spans="1:22" ht="18" customHeight="1" x14ac:dyDescent="0.3">
      <c r="A52" s="12" t="s">
        <v>63</v>
      </c>
      <c r="B52" s="8">
        <v>186.99715633000005</v>
      </c>
      <c r="C52" s="8">
        <v>100.53897426999998</v>
      </c>
      <c r="D52" s="8">
        <v>160.42117388999998</v>
      </c>
      <c r="E52" s="8">
        <f t="shared" si="27"/>
        <v>447.95730449000001</v>
      </c>
      <c r="F52" s="8">
        <v>441.00874842999997</v>
      </c>
      <c r="G52" s="8">
        <v>941.40286285999969</v>
      </c>
      <c r="H52" s="8">
        <v>117.94181048000002</v>
      </c>
      <c r="I52" s="8">
        <f t="shared" si="28"/>
        <v>1500.3534217699996</v>
      </c>
      <c r="J52" s="8">
        <f t="shared" si="3"/>
        <v>1948.3107262599997</v>
      </c>
      <c r="K52" s="8">
        <v>138.66187239000004</v>
      </c>
      <c r="L52" s="8">
        <v>205.19681196999997</v>
      </c>
      <c r="M52" s="8">
        <v>99.769656130000001</v>
      </c>
      <c r="N52" s="8">
        <f t="shared" si="29"/>
        <v>443.62834048999997</v>
      </c>
      <c r="O52" s="8">
        <v>141.08683181000001</v>
      </c>
      <c r="P52" s="8">
        <v>286.96581707999991</v>
      </c>
      <c r="Q52" s="8">
        <v>120.86214543000001</v>
      </c>
      <c r="R52" s="8">
        <f t="shared" si="30"/>
        <v>548.91479431999994</v>
      </c>
      <c r="S52" s="8">
        <f t="shared" si="6"/>
        <v>992.54313480999986</v>
      </c>
      <c r="T52" s="8">
        <f t="shared" si="31"/>
        <v>2940.8538610699998</v>
      </c>
      <c r="U52" s="8"/>
      <c r="V52" s="8"/>
    </row>
    <row r="53" spans="1:22" ht="15" customHeight="1" x14ac:dyDescent="0.3">
      <c r="A53" s="12" t="s">
        <v>64</v>
      </c>
      <c r="B53" s="8">
        <v>739.48813571000039</v>
      </c>
      <c r="C53" s="8">
        <v>580.25519468000005</v>
      </c>
      <c r="D53" s="8">
        <v>659.45862125999906</v>
      </c>
      <c r="E53" s="8">
        <f t="shared" si="27"/>
        <v>1979.2019516499995</v>
      </c>
      <c r="F53" s="8">
        <v>1317.2171356500021</v>
      </c>
      <c r="G53" s="8">
        <v>1450.0292591700004</v>
      </c>
      <c r="H53" s="8">
        <v>809.65924877999976</v>
      </c>
      <c r="I53" s="8">
        <f t="shared" si="28"/>
        <v>3576.9056436000023</v>
      </c>
      <c r="J53" s="8">
        <f t="shared" si="3"/>
        <v>5556.1075952500014</v>
      </c>
      <c r="K53" s="8">
        <v>945.64515230999996</v>
      </c>
      <c r="L53" s="8">
        <v>1154.83969561</v>
      </c>
      <c r="M53" s="8">
        <v>800.03202847000023</v>
      </c>
      <c r="N53" s="8">
        <f t="shared" si="29"/>
        <v>2900.5168763900001</v>
      </c>
      <c r="O53" s="8">
        <v>812.53797679999968</v>
      </c>
      <c r="P53" s="8">
        <v>1228.2417374799993</v>
      </c>
      <c r="Q53" s="8">
        <v>566.50861546999965</v>
      </c>
      <c r="R53" s="8">
        <f t="shared" si="30"/>
        <v>2607.2883297499989</v>
      </c>
      <c r="S53" s="8">
        <f t="shared" si="6"/>
        <v>5507.8052061399994</v>
      </c>
      <c r="T53" s="8">
        <f t="shared" si="31"/>
        <v>11063.912801390001</v>
      </c>
      <c r="U53" s="8"/>
      <c r="V53" s="8"/>
    </row>
    <row r="54" spans="1:22" ht="15" customHeight="1" x14ac:dyDescent="0.3">
      <c r="A54" s="12" t="s">
        <v>65</v>
      </c>
      <c r="B54" s="8">
        <v>175.67980627</v>
      </c>
      <c r="C54" s="8">
        <v>142.03636194000003</v>
      </c>
      <c r="D54" s="8">
        <v>142.35344053000003</v>
      </c>
      <c r="E54" s="8">
        <f t="shared" si="27"/>
        <v>460.06960874000004</v>
      </c>
      <c r="F54" s="8">
        <v>204.18587587000019</v>
      </c>
      <c r="G54" s="8">
        <v>181.88951347000003</v>
      </c>
      <c r="H54" s="8">
        <v>174.76915818000001</v>
      </c>
      <c r="I54" s="8">
        <f t="shared" si="28"/>
        <v>560.84454752000022</v>
      </c>
      <c r="J54" s="8">
        <f t="shared" si="3"/>
        <v>1020.9141562600003</v>
      </c>
      <c r="K54" s="8">
        <v>185.66653607000006</v>
      </c>
      <c r="L54" s="8">
        <v>206.11497555000003</v>
      </c>
      <c r="M54" s="8">
        <v>168.44247806999996</v>
      </c>
      <c r="N54" s="8">
        <f t="shared" si="29"/>
        <v>560.22398969000005</v>
      </c>
      <c r="O54" s="8">
        <v>172.76568596999996</v>
      </c>
      <c r="P54" s="8">
        <v>178.16376952999994</v>
      </c>
      <c r="Q54" s="8">
        <v>206.76515824999993</v>
      </c>
      <c r="R54" s="8">
        <f t="shared" si="30"/>
        <v>557.6946137499998</v>
      </c>
      <c r="S54" s="8">
        <f t="shared" si="6"/>
        <v>1117.91860344</v>
      </c>
      <c r="T54" s="8">
        <f t="shared" si="31"/>
        <v>2138.8327597000002</v>
      </c>
      <c r="U54" s="8"/>
      <c r="V54" s="8"/>
    </row>
    <row r="55" spans="1:22" s="10" customFormat="1" ht="15" customHeight="1" x14ac:dyDescent="0.3">
      <c r="A55" s="3"/>
      <c r="B55" s="11"/>
      <c r="C55" s="11"/>
      <c r="D55" s="11"/>
      <c r="E55" s="11"/>
      <c r="F55" s="11"/>
      <c r="G55" s="11"/>
      <c r="H55" s="11"/>
      <c r="I55" s="11"/>
      <c r="J55" s="11"/>
      <c r="K55" s="11"/>
      <c r="L55" s="11"/>
      <c r="M55" s="11"/>
      <c r="N55" s="11"/>
      <c r="O55" s="11"/>
      <c r="P55" s="11"/>
      <c r="Q55" s="11"/>
      <c r="R55" s="11"/>
      <c r="S55" s="11"/>
      <c r="T55" s="11"/>
      <c r="U55" s="11"/>
      <c r="V55" s="11"/>
    </row>
    <row r="56" spans="1:22" s="10" customFormat="1" ht="15" customHeight="1" x14ac:dyDescent="0.25">
      <c r="A56" s="10" t="s">
        <v>66</v>
      </c>
      <c r="B56" s="11">
        <f>SUM(B57:B62)</f>
        <v>7446.4952382799984</v>
      </c>
      <c r="C56" s="11">
        <f t="shared" ref="C56:Q56" si="32">SUM(C57:C62)</f>
        <v>4938.1876259400015</v>
      </c>
      <c r="D56" s="11">
        <f t="shared" si="32"/>
        <v>6718.0163932399964</v>
      </c>
      <c r="E56" s="11">
        <f t="shared" ref="E56:E62" si="33">SUM(B56:D56)</f>
        <v>19102.699257459997</v>
      </c>
      <c r="F56" s="11">
        <f t="shared" si="32"/>
        <v>9882.6889406399987</v>
      </c>
      <c r="G56" s="11">
        <f t="shared" si="32"/>
        <v>7636.2492076199997</v>
      </c>
      <c r="H56" s="11">
        <f t="shared" si="32"/>
        <v>6657.9323794599986</v>
      </c>
      <c r="I56" s="11">
        <f t="shared" ref="I56:I62" si="34">SUM(F56:H56)</f>
        <v>24176.870527719999</v>
      </c>
      <c r="J56" s="11">
        <f t="shared" si="3"/>
        <v>43279.569785179992</v>
      </c>
      <c r="K56" s="11">
        <f t="shared" si="32"/>
        <v>7579.5547744499991</v>
      </c>
      <c r="L56" s="11">
        <f t="shared" si="32"/>
        <v>8313.2990374599976</v>
      </c>
      <c r="M56" s="11">
        <f t="shared" si="32"/>
        <v>6323.6677159899973</v>
      </c>
      <c r="N56" s="11">
        <f t="shared" ref="N56:N62" si="35">SUM(K56:M56)</f>
        <v>22216.521527899997</v>
      </c>
      <c r="O56" s="11">
        <f t="shared" si="32"/>
        <v>7140.0175889199982</v>
      </c>
      <c r="P56" s="11">
        <f t="shared" si="32"/>
        <v>8394.4142886799964</v>
      </c>
      <c r="Q56" s="11">
        <f t="shared" si="32"/>
        <v>6751.553409479995</v>
      </c>
      <c r="R56" s="11">
        <f t="shared" ref="R56:R62" si="36">SUM(O56:Q56)</f>
        <v>22285.985287079988</v>
      </c>
      <c r="S56" s="11">
        <f t="shared" si="6"/>
        <v>44502.506814979984</v>
      </c>
      <c r="T56" s="11">
        <f t="shared" ref="T56:T62" si="37">+J56+S56</f>
        <v>87782.076600159984</v>
      </c>
      <c r="U56" s="11"/>
      <c r="V56" s="11"/>
    </row>
    <row r="57" spans="1:22" ht="15" customHeight="1" x14ac:dyDescent="0.3">
      <c r="A57" s="12" t="s">
        <v>67</v>
      </c>
      <c r="B57" s="8">
        <v>1604.4420176599992</v>
      </c>
      <c r="C57" s="8">
        <v>1193.6849700500002</v>
      </c>
      <c r="D57" s="8">
        <v>1535.0011448899986</v>
      </c>
      <c r="E57" s="8">
        <f t="shared" si="33"/>
        <v>4333.128132599998</v>
      </c>
      <c r="F57" s="8">
        <v>2092.5682296300001</v>
      </c>
      <c r="G57" s="8">
        <v>1481.1649774299999</v>
      </c>
      <c r="H57" s="8">
        <v>1362.3602740199997</v>
      </c>
      <c r="I57" s="8">
        <f t="shared" si="34"/>
        <v>4936.0934810799999</v>
      </c>
      <c r="J57" s="8">
        <f t="shared" si="3"/>
        <v>9269.221613679998</v>
      </c>
      <c r="K57" s="8">
        <v>1880.1645925900002</v>
      </c>
      <c r="L57" s="8">
        <v>1820.2725168500003</v>
      </c>
      <c r="M57" s="8">
        <v>1315.7283201599994</v>
      </c>
      <c r="N57" s="8">
        <f t="shared" si="35"/>
        <v>5016.1654295999997</v>
      </c>
      <c r="O57" s="8">
        <v>1392.8037570700014</v>
      </c>
      <c r="P57" s="8">
        <v>1977.4214813299989</v>
      </c>
      <c r="Q57" s="8">
        <v>1382.8665913</v>
      </c>
      <c r="R57" s="8">
        <f t="shared" si="36"/>
        <v>4753.0918297000007</v>
      </c>
      <c r="S57" s="8">
        <f t="shared" si="6"/>
        <v>9769.2572593000004</v>
      </c>
      <c r="T57" s="8">
        <f t="shared" si="37"/>
        <v>19038.478872979998</v>
      </c>
      <c r="U57" s="8"/>
      <c r="V57" s="8"/>
    </row>
    <row r="58" spans="1:22" ht="15" customHeight="1" x14ac:dyDescent="0.3">
      <c r="A58" s="12" t="s">
        <v>68</v>
      </c>
      <c r="B58" s="8">
        <v>2181.2335261300004</v>
      </c>
      <c r="C58" s="8">
        <v>1447.6098269900008</v>
      </c>
      <c r="D58" s="8">
        <v>2057.2197436599995</v>
      </c>
      <c r="E58" s="8">
        <f t="shared" si="33"/>
        <v>5686.0630967800007</v>
      </c>
      <c r="F58" s="8">
        <v>2952.8253163000027</v>
      </c>
      <c r="G58" s="8">
        <v>2510.3062119600004</v>
      </c>
      <c r="H58" s="8">
        <v>2271.4362045899998</v>
      </c>
      <c r="I58" s="8">
        <f t="shared" si="34"/>
        <v>7734.5677328500024</v>
      </c>
      <c r="J58" s="8">
        <f t="shared" si="3"/>
        <v>13420.630829630003</v>
      </c>
      <c r="K58" s="8">
        <v>2197.1245677200004</v>
      </c>
      <c r="L58" s="8">
        <v>2562.8025979099993</v>
      </c>
      <c r="M58" s="8">
        <v>2129.4617960799983</v>
      </c>
      <c r="N58" s="8">
        <f t="shared" si="35"/>
        <v>6889.3889617099976</v>
      </c>
      <c r="O58" s="8">
        <v>2209.4644939899986</v>
      </c>
      <c r="P58" s="8">
        <v>2428.3213888299988</v>
      </c>
      <c r="Q58" s="8">
        <v>2173.9403020699961</v>
      </c>
      <c r="R58" s="8">
        <f t="shared" si="36"/>
        <v>6811.7261848899925</v>
      </c>
      <c r="S58" s="8">
        <f t="shared" si="6"/>
        <v>13701.11514659999</v>
      </c>
      <c r="T58" s="8">
        <f t="shared" si="37"/>
        <v>27121.745976229991</v>
      </c>
      <c r="U58" s="8"/>
      <c r="V58" s="8"/>
    </row>
    <row r="59" spans="1:22" ht="15" customHeight="1" x14ac:dyDescent="0.3">
      <c r="A59" s="12" t="s">
        <v>69</v>
      </c>
      <c r="B59" s="8">
        <v>2663.7379195599979</v>
      </c>
      <c r="C59" s="8">
        <v>1592.6462238899994</v>
      </c>
      <c r="D59" s="8">
        <v>2232.7445301499979</v>
      </c>
      <c r="E59" s="8">
        <f t="shared" si="33"/>
        <v>6489.1286735999947</v>
      </c>
      <c r="F59" s="8">
        <v>3549.4380492199971</v>
      </c>
      <c r="G59" s="8">
        <v>2688.6652486199996</v>
      </c>
      <c r="H59" s="8">
        <v>2119.3110818099995</v>
      </c>
      <c r="I59" s="8">
        <f t="shared" si="34"/>
        <v>8357.4143796499957</v>
      </c>
      <c r="J59" s="8">
        <f t="shared" si="3"/>
        <v>14846.54305324999</v>
      </c>
      <c r="K59" s="8">
        <v>2501.5400174999986</v>
      </c>
      <c r="L59" s="8">
        <v>2821.8887813599986</v>
      </c>
      <c r="M59" s="8">
        <v>1955.2625743099998</v>
      </c>
      <c r="N59" s="8">
        <f t="shared" si="35"/>
        <v>7278.691373169997</v>
      </c>
      <c r="O59" s="8">
        <v>2500.9384161499984</v>
      </c>
      <c r="P59" s="8">
        <v>2889.7876818999985</v>
      </c>
      <c r="Q59" s="8">
        <v>2316.9186227799992</v>
      </c>
      <c r="R59" s="8">
        <f t="shared" si="36"/>
        <v>7707.644720829996</v>
      </c>
      <c r="S59" s="8">
        <f t="shared" si="6"/>
        <v>14986.336093999993</v>
      </c>
      <c r="T59" s="8">
        <f t="shared" si="37"/>
        <v>29832.879147249983</v>
      </c>
      <c r="U59" s="8"/>
      <c r="V59" s="8"/>
    </row>
    <row r="60" spans="1:22" ht="15" customHeight="1" x14ac:dyDescent="0.3">
      <c r="A60" s="12" t="s">
        <v>70</v>
      </c>
      <c r="B60" s="8">
        <v>76.232204290000084</v>
      </c>
      <c r="C60" s="8">
        <v>37.848257359999998</v>
      </c>
      <c r="D60" s="8">
        <v>50.32478212999996</v>
      </c>
      <c r="E60" s="8">
        <f t="shared" si="33"/>
        <v>164.40524378000003</v>
      </c>
      <c r="F60" s="8">
        <v>78.755777420000015</v>
      </c>
      <c r="G60" s="8">
        <v>42.834197700000004</v>
      </c>
      <c r="H60" s="8">
        <v>53.074570819999998</v>
      </c>
      <c r="I60" s="8">
        <f t="shared" si="34"/>
        <v>174.66454594000001</v>
      </c>
      <c r="J60" s="8">
        <f t="shared" si="3"/>
        <v>339.06978972000002</v>
      </c>
      <c r="K60" s="8">
        <v>61.218048579999966</v>
      </c>
      <c r="L60" s="8">
        <v>60.299107780000007</v>
      </c>
      <c r="M60" s="8">
        <v>49.296638140000013</v>
      </c>
      <c r="N60" s="8">
        <f t="shared" si="35"/>
        <v>170.81379449999997</v>
      </c>
      <c r="O60" s="8">
        <v>55.258554479999994</v>
      </c>
      <c r="P60" s="8">
        <v>58.251913080000016</v>
      </c>
      <c r="Q60" s="8">
        <v>51.118017910000006</v>
      </c>
      <c r="R60" s="8">
        <f t="shared" si="36"/>
        <v>164.62848547000002</v>
      </c>
      <c r="S60" s="8">
        <f t="shared" si="6"/>
        <v>335.44227996999996</v>
      </c>
      <c r="T60" s="8">
        <f t="shared" si="37"/>
        <v>674.51206968999998</v>
      </c>
      <c r="U60" s="8"/>
      <c r="V60" s="8"/>
    </row>
    <row r="61" spans="1:22" ht="18" customHeight="1" x14ac:dyDescent="0.3">
      <c r="A61" s="12" t="s">
        <v>71</v>
      </c>
      <c r="B61" s="8">
        <v>497.9627165</v>
      </c>
      <c r="C61" s="8">
        <v>375.09841439000036</v>
      </c>
      <c r="D61" s="8">
        <v>508.1588496600005</v>
      </c>
      <c r="E61" s="8">
        <f t="shared" si="33"/>
        <v>1381.2199805500009</v>
      </c>
      <c r="F61" s="8">
        <v>712.52195181999934</v>
      </c>
      <c r="G61" s="8">
        <v>531.27227128999971</v>
      </c>
      <c r="H61" s="8">
        <v>454.08274093999989</v>
      </c>
      <c r="I61" s="8">
        <f t="shared" si="34"/>
        <v>1697.8769640499991</v>
      </c>
      <c r="J61" s="8">
        <f t="shared" si="3"/>
        <v>3079.0969445999999</v>
      </c>
      <c r="K61" s="8">
        <v>515.16409707000014</v>
      </c>
      <c r="L61" s="8">
        <v>553.45118043000002</v>
      </c>
      <c r="M61" s="8">
        <v>506.86100768000051</v>
      </c>
      <c r="N61" s="8">
        <f t="shared" si="35"/>
        <v>1575.4762851800006</v>
      </c>
      <c r="O61" s="8">
        <v>579.13207765000004</v>
      </c>
      <c r="P61" s="8">
        <v>582.09314193</v>
      </c>
      <c r="Q61" s="8">
        <v>500.4936288199998</v>
      </c>
      <c r="R61" s="8">
        <f t="shared" si="36"/>
        <v>1661.7188483999998</v>
      </c>
      <c r="S61" s="8">
        <f t="shared" si="6"/>
        <v>3237.1951335800004</v>
      </c>
      <c r="T61" s="8">
        <f t="shared" si="37"/>
        <v>6316.2920781800003</v>
      </c>
      <c r="U61" s="8"/>
      <c r="V61" s="8"/>
    </row>
    <row r="62" spans="1:22" ht="18" customHeight="1" x14ac:dyDescent="0.3">
      <c r="A62" s="12" t="s">
        <v>72</v>
      </c>
      <c r="B62" s="8">
        <v>422.88685413999997</v>
      </c>
      <c r="C62" s="8">
        <v>291.29993326000005</v>
      </c>
      <c r="D62" s="8">
        <v>334.5673427499998</v>
      </c>
      <c r="E62" s="8">
        <f t="shared" si="33"/>
        <v>1048.7541301499998</v>
      </c>
      <c r="F62" s="8">
        <v>496.57961624999962</v>
      </c>
      <c r="G62" s="8">
        <v>382.00630062000005</v>
      </c>
      <c r="H62" s="8">
        <v>397.66750728000011</v>
      </c>
      <c r="I62" s="8">
        <f t="shared" si="34"/>
        <v>1276.2534241499998</v>
      </c>
      <c r="J62" s="8">
        <f t="shared" si="3"/>
        <v>2325.0075542999994</v>
      </c>
      <c r="K62" s="8">
        <v>424.34345099000012</v>
      </c>
      <c r="L62" s="8">
        <v>494.58485313000006</v>
      </c>
      <c r="M62" s="8">
        <v>367.05737961999989</v>
      </c>
      <c r="N62" s="8">
        <f t="shared" si="35"/>
        <v>1285.98568374</v>
      </c>
      <c r="O62" s="8">
        <v>402.42028958000003</v>
      </c>
      <c r="P62" s="8">
        <v>458.53868161000003</v>
      </c>
      <c r="Q62" s="8">
        <v>326.21624660000015</v>
      </c>
      <c r="R62" s="8">
        <f t="shared" si="36"/>
        <v>1187.1752177900003</v>
      </c>
      <c r="S62" s="8">
        <f t="shared" si="6"/>
        <v>2473.16090153</v>
      </c>
      <c r="T62" s="8">
        <f t="shared" si="37"/>
        <v>4798.1684558299994</v>
      </c>
      <c r="U62" s="8"/>
      <c r="V62" s="8"/>
    </row>
    <row r="63" spans="1:22" s="10" customFormat="1" ht="15" customHeight="1" x14ac:dyDescent="0.3">
      <c r="A63" s="3"/>
      <c r="B63" s="11"/>
      <c r="C63" s="11"/>
      <c r="D63" s="11"/>
      <c r="E63" s="11"/>
      <c r="F63" s="11"/>
      <c r="G63" s="11"/>
      <c r="H63" s="11"/>
      <c r="I63" s="11"/>
      <c r="J63" s="11"/>
      <c r="K63" s="11"/>
      <c r="L63" s="11"/>
      <c r="M63" s="11"/>
      <c r="N63" s="11"/>
      <c r="O63" s="11"/>
      <c r="P63" s="11"/>
      <c r="Q63" s="11"/>
      <c r="R63" s="11"/>
      <c r="S63" s="11"/>
      <c r="T63" s="11"/>
      <c r="U63" s="11"/>
      <c r="V63" s="11"/>
    </row>
    <row r="64" spans="1:22" s="10" customFormat="1" ht="15" customHeight="1" x14ac:dyDescent="0.25">
      <c r="A64" s="10" t="s">
        <v>73</v>
      </c>
      <c r="B64" s="11">
        <f>SUM(B65:B69)</f>
        <v>717.07225830000016</v>
      </c>
      <c r="C64" s="11">
        <f t="shared" ref="C64:Q64" si="38">SUM(C65:C69)</f>
        <v>430.40962396000003</v>
      </c>
      <c r="D64" s="11">
        <f t="shared" si="38"/>
        <v>556.76965092000012</v>
      </c>
      <c r="E64" s="11">
        <f t="shared" ref="E64:E69" si="39">SUM(B64:D64)</f>
        <v>1704.2515331800005</v>
      </c>
      <c r="F64" s="11">
        <f t="shared" si="38"/>
        <v>792.2477285599997</v>
      </c>
      <c r="G64" s="11">
        <f t="shared" si="38"/>
        <v>589.30770883000002</v>
      </c>
      <c r="H64" s="11">
        <f t="shared" si="38"/>
        <v>566.41995367000004</v>
      </c>
      <c r="I64" s="11">
        <f t="shared" ref="I64:I69" si="40">SUM(F64:H64)</f>
        <v>1947.9753910599998</v>
      </c>
      <c r="J64" s="11">
        <f t="shared" si="3"/>
        <v>3652.2269242400002</v>
      </c>
      <c r="K64" s="11">
        <f t="shared" si="38"/>
        <v>626.70954002999986</v>
      </c>
      <c r="L64" s="11">
        <f t="shared" si="38"/>
        <v>694.14665985000011</v>
      </c>
      <c r="M64" s="11">
        <f t="shared" si="38"/>
        <v>610.83529758000009</v>
      </c>
      <c r="N64" s="11">
        <f t="shared" ref="N64:N69" si="41">SUM(K64:M64)</f>
        <v>1931.6914974600002</v>
      </c>
      <c r="O64" s="11">
        <f t="shared" si="38"/>
        <v>638.45697473999985</v>
      </c>
      <c r="P64" s="11">
        <f t="shared" si="38"/>
        <v>683.94923175000008</v>
      </c>
      <c r="Q64" s="11">
        <f t="shared" si="38"/>
        <v>594.79299247999995</v>
      </c>
      <c r="R64" s="11">
        <f t="shared" ref="R64:R69" si="42">SUM(O64:Q64)</f>
        <v>1917.19919897</v>
      </c>
      <c r="S64" s="11">
        <f t="shared" si="6"/>
        <v>3848.8906964300004</v>
      </c>
      <c r="T64" s="11">
        <f t="shared" ref="T64:T69" si="43">+J64+S64</f>
        <v>7501.1176206700002</v>
      </c>
      <c r="U64" s="11"/>
      <c r="V64" s="11"/>
    </row>
    <row r="65" spans="1:22" ht="15" customHeight="1" x14ac:dyDescent="0.3">
      <c r="A65" s="12" t="s">
        <v>74</v>
      </c>
      <c r="B65" s="8">
        <v>37.946389230000001</v>
      </c>
      <c r="C65" s="8">
        <v>18.082526009999999</v>
      </c>
      <c r="D65" s="8">
        <v>25.614681929999996</v>
      </c>
      <c r="E65" s="8">
        <f t="shared" si="39"/>
        <v>81.643597169999993</v>
      </c>
      <c r="F65" s="8">
        <v>34.054014000000002</v>
      </c>
      <c r="G65" s="8">
        <v>23.494955809999997</v>
      </c>
      <c r="H65" s="8">
        <v>30.062482500000002</v>
      </c>
      <c r="I65" s="8">
        <f t="shared" si="40"/>
        <v>87.611452310000004</v>
      </c>
      <c r="J65" s="8">
        <f t="shared" si="3"/>
        <v>169.25504948</v>
      </c>
      <c r="K65" s="8">
        <v>28.76313567</v>
      </c>
      <c r="L65" s="8">
        <v>25.394439400000003</v>
      </c>
      <c r="M65" s="8">
        <v>26.387121090000004</v>
      </c>
      <c r="N65" s="8">
        <f t="shared" si="41"/>
        <v>80.544696160000015</v>
      </c>
      <c r="O65" s="8">
        <v>22.397758690000003</v>
      </c>
      <c r="P65" s="8">
        <v>25.865316580000009</v>
      </c>
      <c r="Q65" s="8">
        <v>22.730728829999997</v>
      </c>
      <c r="R65" s="8">
        <f t="shared" si="42"/>
        <v>70.993804100000006</v>
      </c>
      <c r="S65" s="8">
        <f t="shared" si="6"/>
        <v>151.53850026000003</v>
      </c>
      <c r="T65" s="8">
        <f t="shared" si="43"/>
        <v>320.79354974</v>
      </c>
      <c r="U65" s="8"/>
      <c r="V65" s="8"/>
    </row>
    <row r="66" spans="1:22" ht="15" customHeight="1" x14ac:dyDescent="0.3">
      <c r="A66" s="12" t="s">
        <v>75</v>
      </c>
      <c r="B66" s="8">
        <v>78.916957879999998</v>
      </c>
      <c r="C66" s="8">
        <v>57.937063620000004</v>
      </c>
      <c r="D66" s="8">
        <v>64.510519779999981</v>
      </c>
      <c r="E66" s="8">
        <f t="shared" si="39"/>
        <v>201.36454127999997</v>
      </c>
      <c r="F66" s="8">
        <v>89.905735559999982</v>
      </c>
      <c r="G66" s="8">
        <v>64.653550190000004</v>
      </c>
      <c r="H66" s="8">
        <v>62.766197279999993</v>
      </c>
      <c r="I66" s="8">
        <f t="shared" si="40"/>
        <v>217.32548302999999</v>
      </c>
      <c r="J66" s="8">
        <f t="shared" si="3"/>
        <v>418.69002430999996</v>
      </c>
      <c r="K66" s="8">
        <v>81.523117890000009</v>
      </c>
      <c r="L66" s="8">
        <v>66.723468420000003</v>
      </c>
      <c r="M66" s="8">
        <v>61.529842309999985</v>
      </c>
      <c r="N66" s="8">
        <f t="shared" si="41"/>
        <v>209.77642861999999</v>
      </c>
      <c r="O66" s="8">
        <v>56.032956079999984</v>
      </c>
      <c r="P66" s="8">
        <v>66.679522259999999</v>
      </c>
      <c r="Q66" s="8">
        <v>67.057432800000001</v>
      </c>
      <c r="R66" s="8">
        <f t="shared" si="42"/>
        <v>189.76991113999998</v>
      </c>
      <c r="S66" s="8">
        <f t="shared" si="6"/>
        <v>399.54633975999997</v>
      </c>
      <c r="T66" s="8">
        <f t="shared" si="43"/>
        <v>818.23636406999992</v>
      </c>
      <c r="U66" s="8"/>
      <c r="V66" s="8"/>
    </row>
    <row r="67" spans="1:22" ht="15" customHeight="1" x14ac:dyDescent="0.3">
      <c r="A67" s="12" t="s">
        <v>76</v>
      </c>
      <c r="B67" s="8">
        <v>211.09771891000008</v>
      </c>
      <c r="C67" s="8">
        <v>110.38936155999998</v>
      </c>
      <c r="D67" s="8">
        <v>148.91372454</v>
      </c>
      <c r="E67" s="8">
        <f t="shared" si="39"/>
        <v>470.40080501000011</v>
      </c>
      <c r="F67" s="8">
        <v>213.20485187</v>
      </c>
      <c r="G67" s="8">
        <v>160.37166854</v>
      </c>
      <c r="H67" s="8">
        <v>166.09054280000001</v>
      </c>
      <c r="I67" s="8">
        <f t="shared" si="40"/>
        <v>539.66706321000004</v>
      </c>
      <c r="J67" s="8">
        <f t="shared" si="3"/>
        <v>1010.0678682200002</v>
      </c>
      <c r="K67" s="8">
        <v>194.03735610000001</v>
      </c>
      <c r="L67" s="8">
        <v>202.06319862999999</v>
      </c>
      <c r="M67" s="8">
        <v>155.65241956</v>
      </c>
      <c r="N67" s="8">
        <f t="shared" si="41"/>
        <v>551.75297429</v>
      </c>
      <c r="O67" s="8">
        <v>186.09651641000008</v>
      </c>
      <c r="P67" s="8">
        <v>169.27816746000011</v>
      </c>
      <c r="Q67" s="8">
        <v>179.84533755999999</v>
      </c>
      <c r="R67" s="8">
        <f t="shared" si="42"/>
        <v>535.2200214300002</v>
      </c>
      <c r="S67" s="8">
        <f t="shared" si="6"/>
        <v>1086.9729957200002</v>
      </c>
      <c r="T67" s="8">
        <f t="shared" si="43"/>
        <v>2097.0408639400002</v>
      </c>
      <c r="U67" s="8"/>
      <c r="V67" s="8"/>
    </row>
    <row r="68" spans="1:22" ht="15" customHeight="1" x14ac:dyDescent="0.3">
      <c r="A68" s="12" t="s">
        <v>77</v>
      </c>
      <c r="B68" s="8">
        <v>339.0001864800002</v>
      </c>
      <c r="C68" s="8">
        <v>216.57165860000003</v>
      </c>
      <c r="D68" s="8">
        <v>280.22261535000007</v>
      </c>
      <c r="E68" s="8">
        <f t="shared" si="39"/>
        <v>835.7944604300003</v>
      </c>
      <c r="F68" s="8">
        <v>421.26231529999973</v>
      </c>
      <c r="G68" s="8">
        <v>301.28284882999998</v>
      </c>
      <c r="H68" s="8">
        <v>275.33934515000004</v>
      </c>
      <c r="I68" s="8">
        <f t="shared" si="40"/>
        <v>997.88450927999975</v>
      </c>
      <c r="J68" s="8">
        <f t="shared" si="3"/>
        <v>1833.67896971</v>
      </c>
      <c r="K68" s="8">
        <v>285.31583694999989</v>
      </c>
      <c r="L68" s="8">
        <v>361.37407860000002</v>
      </c>
      <c r="M68" s="8">
        <v>322.09084511000009</v>
      </c>
      <c r="N68" s="8">
        <f t="shared" si="41"/>
        <v>968.78076065999994</v>
      </c>
      <c r="O68" s="8">
        <v>331.72769352999978</v>
      </c>
      <c r="P68" s="8">
        <v>378.84926775999992</v>
      </c>
      <c r="Q68" s="8">
        <v>276.33481615000005</v>
      </c>
      <c r="R68" s="8">
        <f t="shared" si="42"/>
        <v>986.9117774399997</v>
      </c>
      <c r="S68" s="8">
        <f t="shared" si="6"/>
        <v>1955.6925380999996</v>
      </c>
      <c r="T68" s="8">
        <f t="shared" si="43"/>
        <v>3789.3715078099995</v>
      </c>
      <c r="U68" s="8"/>
      <c r="V68" s="8"/>
    </row>
    <row r="69" spans="1:22" ht="15" customHeight="1" x14ac:dyDescent="0.3">
      <c r="A69" s="12" t="s">
        <v>78</v>
      </c>
      <c r="B69" s="8">
        <v>50.111005799999973</v>
      </c>
      <c r="C69" s="8">
        <v>27.429014170000009</v>
      </c>
      <c r="D69" s="8">
        <v>37.508109319999996</v>
      </c>
      <c r="E69" s="8">
        <f t="shared" si="39"/>
        <v>115.04812928999996</v>
      </c>
      <c r="F69" s="8">
        <v>33.820811830000004</v>
      </c>
      <c r="G69" s="8">
        <v>39.504685459999997</v>
      </c>
      <c r="H69" s="8">
        <v>32.161385939999995</v>
      </c>
      <c r="I69" s="8">
        <f t="shared" si="40"/>
        <v>105.48688322999999</v>
      </c>
      <c r="J69" s="8">
        <f t="shared" si="3"/>
        <v>220.53501251999995</v>
      </c>
      <c r="K69" s="8">
        <v>37.070093419999992</v>
      </c>
      <c r="L69" s="8">
        <v>38.5914748</v>
      </c>
      <c r="M69" s="8">
        <v>45.175069509999993</v>
      </c>
      <c r="N69" s="8">
        <f t="shared" si="41"/>
        <v>120.83663772999998</v>
      </c>
      <c r="O69" s="8">
        <v>42.202050029999995</v>
      </c>
      <c r="P69" s="8">
        <v>43.276957689999996</v>
      </c>
      <c r="Q69" s="8">
        <v>48.824677139999999</v>
      </c>
      <c r="R69" s="8">
        <f t="shared" si="42"/>
        <v>134.30368486</v>
      </c>
      <c r="S69" s="8">
        <f t="shared" si="6"/>
        <v>255.14032258999998</v>
      </c>
      <c r="T69" s="8">
        <f t="shared" si="43"/>
        <v>475.67533510999993</v>
      </c>
      <c r="U69" s="8"/>
      <c r="V69" s="8"/>
    </row>
    <row r="70" spans="1:22" s="10" customFormat="1" ht="15" customHeight="1" x14ac:dyDescent="0.3">
      <c r="A70" s="3"/>
      <c r="B70" s="11"/>
      <c r="C70" s="11"/>
      <c r="D70" s="11"/>
      <c r="E70" s="11"/>
      <c r="F70" s="11"/>
      <c r="G70" s="11"/>
      <c r="H70" s="11"/>
      <c r="I70" s="11"/>
      <c r="J70" s="11"/>
      <c r="K70" s="11"/>
      <c r="L70" s="11"/>
      <c r="M70" s="11"/>
      <c r="N70" s="11"/>
      <c r="O70" s="11"/>
      <c r="P70" s="11"/>
      <c r="Q70" s="11"/>
      <c r="R70" s="11"/>
      <c r="S70" s="11"/>
      <c r="T70" s="11"/>
      <c r="U70" s="11"/>
      <c r="V70" s="11"/>
    </row>
    <row r="71" spans="1:22" s="10" customFormat="1" ht="15" customHeight="1" x14ac:dyDescent="0.25">
      <c r="A71" s="10" t="s">
        <v>79</v>
      </c>
      <c r="B71" s="11">
        <f>SUM(B72:B77)</f>
        <v>1344.8075347399995</v>
      </c>
      <c r="C71" s="11">
        <f t="shared" ref="C71:Q71" si="44">SUM(C72:C77)</f>
        <v>788.19337446999987</v>
      </c>
      <c r="D71" s="11">
        <f t="shared" si="44"/>
        <v>926.52616645999967</v>
      </c>
      <c r="E71" s="11">
        <f t="shared" ref="E71:E77" si="45">SUM(B71:D71)</f>
        <v>3059.5270756699992</v>
      </c>
      <c r="F71" s="11">
        <f t="shared" si="44"/>
        <v>1342.5459620400002</v>
      </c>
      <c r="G71" s="11">
        <f t="shared" si="44"/>
        <v>1000.7126413799997</v>
      </c>
      <c r="H71" s="11">
        <f t="shared" si="44"/>
        <v>997.1413057499999</v>
      </c>
      <c r="I71" s="11">
        <f t="shared" ref="I71:I77" si="46">SUM(F71:H71)</f>
        <v>3340.3999091699998</v>
      </c>
      <c r="J71" s="11">
        <f t="shared" si="3"/>
        <v>6399.926984839999</v>
      </c>
      <c r="K71" s="11">
        <f t="shared" si="44"/>
        <v>1105.8257700499998</v>
      </c>
      <c r="L71" s="11">
        <f t="shared" si="44"/>
        <v>1080.5953951399999</v>
      </c>
      <c r="M71" s="11">
        <f t="shared" si="44"/>
        <v>941.98846004999996</v>
      </c>
      <c r="N71" s="11">
        <f t="shared" ref="N71:N77" si="47">SUM(K71:M71)</f>
        <v>3128.4096252399995</v>
      </c>
      <c r="O71" s="11">
        <f t="shared" si="44"/>
        <v>1039.7525687899997</v>
      </c>
      <c r="P71" s="11">
        <f t="shared" si="44"/>
        <v>1256.23312031</v>
      </c>
      <c r="Q71" s="11">
        <f t="shared" si="44"/>
        <v>981.60023740999998</v>
      </c>
      <c r="R71" s="11">
        <f t="shared" ref="R71:R77" si="48">SUM(O71:Q71)</f>
        <v>3277.5859265099998</v>
      </c>
      <c r="S71" s="11">
        <f t="shared" si="6"/>
        <v>6405.9955517499993</v>
      </c>
      <c r="T71" s="11">
        <f t="shared" ref="T71:T77" si="49">+J71+S71</f>
        <v>12805.922536589998</v>
      </c>
      <c r="U71" s="11"/>
      <c r="V71" s="11"/>
    </row>
    <row r="72" spans="1:22" ht="15" customHeight="1" x14ac:dyDescent="0.3">
      <c r="A72" s="12" t="s">
        <v>80</v>
      </c>
      <c r="B72" s="8">
        <v>437.32275232999996</v>
      </c>
      <c r="C72" s="8">
        <v>219.16011894999994</v>
      </c>
      <c r="D72" s="8">
        <v>272.31457940999991</v>
      </c>
      <c r="E72" s="8">
        <f t="shared" si="45"/>
        <v>928.79745068999978</v>
      </c>
      <c r="F72" s="8">
        <v>484.90516843000029</v>
      </c>
      <c r="G72" s="8">
        <v>295.3904041699999</v>
      </c>
      <c r="H72" s="8">
        <v>323.97081163000001</v>
      </c>
      <c r="I72" s="8">
        <f t="shared" si="46"/>
        <v>1104.2663842300003</v>
      </c>
      <c r="J72" s="8">
        <f t="shared" ref="J72:J77" si="50">+E72+I72</f>
        <v>2033.0638349200001</v>
      </c>
      <c r="K72" s="8">
        <v>360.41149662999987</v>
      </c>
      <c r="L72" s="8">
        <v>372.33561829999991</v>
      </c>
      <c r="M72" s="8">
        <v>289.03448477000001</v>
      </c>
      <c r="N72" s="8">
        <f t="shared" si="47"/>
        <v>1021.7815996999998</v>
      </c>
      <c r="O72" s="8">
        <v>332.05948507999994</v>
      </c>
      <c r="P72" s="8">
        <v>424.90731318000007</v>
      </c>
      <c r="Q72" s="8">
        <v>294.01051110999987</v>
      </c>
      <c r="R72" s="8">
        <f t="shared" si="48"/>
        <v>1050.9773093699998</v>
      </c>
      <c r="S72" s="8">
        <f t="shared" ref="S72:S77" si="51">+N72+R72</f>
        <v>2072.7589090699994</v>
      </c>
      <c r="T72" s="8">
        <f t="shared" si="49"/>
        <v>4105.8227439899993</v>
      </c>
      <c r="U72" s="8"/>
      <c r="V72" s="8"/>
    </row>
    <row r="73" spans="1:22" ht="15" customHeight="1" x14ac:dyDescent="0.3">
      <c r="A73" s="12" t="s">
        <v>81</v>
      </c>
      <c r="B73" s="8">
        <v>93.318743299999994</v>
      </c>
      <c r="C73" s="8">
        <v>64.197256829999986</v>
      </c>
      <c r="D73" s="8">
        <v>90.926425419999958</v>
      </c>
      <c r="E73" s="8">
        <f t="shared" si="45"/>
        <v>248.44242554999994</v>
      </c>
      <c r="F73" s="8">
        <v>111.71674732000002</v>
      </c>
      <c r="G73" s="8">
        <v>112.44782567999999</v>
      </c>
      <c r="H73" s="8">
        <v>80.569064019999999</v>
      </c>
      <c r="I73" s="8">
        <f t="shared" si="46"/>
        <v>304.73363702</v>
      </c>
      <c r="J73" s="8">
        <f t="shared" si="50"/>
        <v>553.17606256999989</v>
      </c>
      <c r="K73" s="8">
        <v>79.768915540000009</v>
      </c>
      <c r="L73" s="8">
        <v>91.714898930000004</v>
      </c>
      <c r="M73" s="8">
        <v>88.731088310000004</v>
      </c>
      <c r="N73" s="8">
        <f t="shared" si="47"/>
        <v>260.21490278000005</v>
      </c>
      <c r="O73" s="8">
        <v>73.024554730000006</v>
      </c>
      <c r="P73" s="8">
        <v>116.20639211000001</v>
      </c>
      <c r="Q73" s="8">
        <v>73.819229829999998</v>
      </c>
      <c r="R73" s="8">
        <f t="shared" si="48"/>
        <v>263.05017666999998</v>
      </c>
      <c r="S73" s="8">
        <f t="shared" si="51"/>
        <v>523.26507945000003</v>
      </c>
      <c r="T73" s="8">
        <f t="shared" si="49"/>
        <v>1076.4411420199999</v>
      </c>
      <c r="U73" s="8"/>
      <c r="V73" s="8"/>
    </row>
    <row r="74" spans="1:22" ht="15" customHeight="1" x14ac:dyDescent="0.3">
      <c r="A74" s="12" t="s">
        <v>82</v>
      </c>
      <c r="B74" s="8">
        <v>473.5209533999996</v>
      </c>
      <c r="C74" s="8">
        <v>324.74277640000003</v>
      </c>
      <c r="D74" s="8">
        <v>353.8736904499998</v>
      </c>
      <c r="E74" s="8">
        <f t="shared" si="45"/>
        <v>1152.1374202499994</v>
      </c>
      <c r="F74" s="8">
        <v>464.21343829</v>
      </c>
      <c r="G74" s="8">
        <v>348.58515841999997</v>
      </c>
      <c r="H74" s="8">
        <v>352.11740739000004</v>
      </c>
      <c r="I74" s="8">
        <f t="shared" si="46"/>
        <v>1164.9160041</v>
      </c>
      <c r="J74" s="8">
        <f t="shared" si="50"/>
        <v>2317.0534243499997</v>
      </c>
      <c r="K74" s="8">
        <v>383.87957481999996</v>
      </c>
      <c r="L74" s="8">
        <v>356.92540043000002</v>
      </c>
      <c r="M74" s="8">
        <v>337.66108144999987</v>
      </c>
      <c r="N74" s="8">
        <f t="shared" si="47"/>
        <v>1078.4660566999999</v>
      </c>
      <c r="O74" s="8">
        <v>375.00518112999987</v>
      </c>
      <c r="P74" s="8">
        <v>389.11309691999998</v>
      </c>
      <c r="Q74" s="8">
        <v>372.85164729000007</v>
      </c>
      <c r="R74" s="8">
        <f t="shared" si="48"/>
        <v>1136.9699253399999</v>
      </c>
      <c r="S74" s="8">
        <f t="shared" si="51"/>
        <v>2215.4359820399995</v>
      </c>
      <c r="T74" s="8">
        <f t="shared" si="49"/>
        <v>4532.4894063899992</v>
      </c>
      <c r="U74" s="8"/>
      <c r="V74" s="8"/>
    </row>
    <row r="75" spans="1:22" ht="15" customHeight="1" x14ac:dyDescent="0.3">
      <c r="A75" s="12" t="s">
        <v>83</v>
      </c>
      <c r="B75" s="8">
        <v>99.073208260000015</v>
      </c>
      <c r="C75" s="8">
        <v>42.473365009999995</v>
      </c>
      <c r="D75" s="8">
        <v>44.781324019999992</v>
      </c>
      <c r="E75" s="8">
        <f t="shared" si="45"/>
        <v>186.32789729000001</v>
      </c>
      <c r="F75" s="8">
        <v>79.375815740000007</v>
      </c>
      <c r="G75" s="8">
        <v>60.333981079999994</v>
      </c>
      <c r="H75" s="8">
        <v>58.413362660000004</v>
      </c>
      <c r="I75" s="8">
        <f t="shared" si="46"/>
        <v>198.12315948000003</v>
      </c>
      <c r="J75" s="8">
        <f t="shared" si="50"/>
        <v>384.45105677000004</v>
      </c>
      <c r="K75" s="8">
        <v>74.685467869999997</v>
      </c>
      <c r="L75" s="8">
        <v>65.345318419999998</v>
      </c>
      <c r="M75" s="8">
        <v>52.071473450000013</v>
      </c>
      <c r="N75" s="8">
        <f t="shared" si="47"/>
        <v>192.10225973999999</v>
      </c>
      <c r="O75" s="8">
        <v>55.236900009999992</v>
      </c>
      <c r="P75" s="8">
        <v>76.071036949999993</v>
      </c>
      <c r="Q75" s="8">
        <v>52.365714760000003</v>
      </c>
      <c r="R75" s="8">
        <f t="shared" si="48"/>
        <v>183.67365171999998</v>
      </c>
      <c r="S75" s="8">
        <f t="shared" si="51"/>
        <v>375.77591145999997</v>
      </c>
      <c r="T75" s="8">
        <f t="shared" si="49"/>
        <v>760.22696823000001</v>
      </c>
      <c r="U75" s="8"/>
      <c r="V75" s="8"/>
    </row>
    <row r="76" spans="1:22" ht="15" customHeight="1" x14ac:dyDescent="0.3">
      <c r="A76" s="12" t="s">
        <v>84</v>
      </c>
      <c r="B76" s="8">
        <v>116.46656372999999</v>
      </c>
      <c r="C76" s="8">
        <v>60.916226759999994</v>
      </c>
      <c r="D76" s="8">
        <v>78.419872560000002</v>
      </c>
      <c r="E76" s="8">
        <f t="shared" si="45"/>
        <v>255.80266304999998</v>
      </c>
      <c r="F76" s="8">
        <v>95.165328689999981</v>
      </c>
      <c r="G76" s="8">
        <v>79.55263124999999</v>
      </c>
      <c r="H76" s="8">
        <v>83.052656999999982</v>
      </c>
      <c r="I76" s="8">
        <f t="shared" si="46"/>
        <v>257.77061693999997</v>
      </c>
      <c r="J76" s="8">
        <f t="shared" si="50"/>
        <v>513.57327998999995</v>
      </c>
      <c r="K76" s="8">
        <v>99.004207570000005</v>
      </c>
      <c r="L76" s="8">
        <v>73.985919319999994</v>
      </c>
      <c r="M76" s="8">
        <v>77.786510059999998</v>
      </c>
      <c r="N76" s="8">
        <f t="shared" si="47"/>
        <v>250.77663695000001</v>
      </c>
      <c r="O76" s="8">
        <v>110.10919976000002</v>
      </c>
      <c r="P76" s="8">
        <v>112.53385450999998</v>
      </c>
      <c r="Q76" s="8">
        <v>90.770105020000003</v>
      </c>
      <c r="R76" s="8">
        <f t="shared" si="48"/>
        <v>313.41315929000001</v>
      </c>
      <c r="S76" s="8">
        <f t="shared" si="51"/>
        <v>564.18979624000008</v>
      </c>
      <c r="T76" s="8">
        <f t="shared" si="49"/>
        <v>1077.76307623</v>
      </c>
      <c r="U76" s="8"/>
      <c r="V76" s="8"/>
    </row>
    <row r="77" spans="1:22" ht="15" customHeight="1" x14ac:dyDescent="0.3">
      <c r="A77" s="12" t="s">
        <v>85</v>
      </c>
      <c r="B77" s="8">
        <v>125.10531372</v>
      </c>
      <c r="C77" s="8">
        <v>76.703630520000004</v>
      </c>
      <c r="D77" s="8">
        <v>86.210274600000005</v>
      </c>
      <c r="E77" s="8">
        <f t="shared" si="45"/>
        <v>288.01921884000001</v>
      </c>
      <c r="F77" s="8">
        <v>107.16946356999993</v>
      </c>
      <c r="G77" s="8">
        <v>104.40264078</v>
      </c>
      <c r="H77" s="8">
        <v>99.018003049999976</v>
      </c>
      <c r="I77" s="8">
        <f t="shared" si="46"/>
        <v>310.59010739999991</v>
      </c>
      <c r="J77" s="8">
        <f t="shared" si="50"/>
        <v>598.60932623999997</v>
      </c>
      <c r="K77" s="8">
        <v>108.07610761999997</v>
      </c>
      <c r="L77" s="8">
        <v>120.28823973999998</v>
      </c>
      <c r="M77" s="8">
        <v>96.70382201000001</v>
      </c>
      <c r="N77" s="8">
        <f t="shared" si="47"/>
        <v>325.06816936999996</v>
      </c>
      <c r="O77" s="8">
        <v>94.317248080000013</v>
      </c>
      <c r="P77" s="8">
        <v>137.40142663999998</v>
      </c>
      <c r="Q77" s="8">
        <v>97.783029400000004</v>
      </c>
      <c r="R77" s="8">
        <f t="shared" si="48"/>
        <v>329.50170412</v>
      </c>
      <c r="S77" s="8">
        <f t="shared" si="51"/>
        <v>654.56987348999996</v>
      </c>
      <c r="T77" s="8">
        <f t="shared" si="49"/>
        <v>1253.1791997299999</v>
      </c>
      <c r="U77" s="8"/>
      <c r="V77" s="8"/>
    </row>
    <row r="78" spans="1:22" s="10" customFormat="1" ht="15" customHeight="1" x14ac:dyDescent="0.3">
      <c r="A78" s="3"/>
      <c r="B78" s="11"/>
      <c r="C78" s="11"/>
      <c r="D78" s="11"/>
      <c r="E78" s="11"/>
      <c r="F78" s="11"/>
      <c r="G78" s="11"/>
      <c r="H78" s="11"/>
      <c r="I78" s="11"/>
      <c r="J78" s="11"/>
      <c r="K78" s="11"/>
      <c r="L78" s="11"/>
      <c r="M78" s="11"/>
      <c r="N78" s="11"/>
      <c r="O78" s="11"/>
      <c r="P78" s="11"/>
      <c r="Q78" s="11"/>
      <c r="R78" s="11"/>
      <c r="S78" s="11"/>
      <c r="T78" s="11"/>
      <c r="U78" s="11"/>
      <c r="V78" s="11"/>
    </row>
    <row r="79" spans="1:22" s="10" customFormat="1" ht="15" customHeight="1" x14ac:dyDescent="0.25">
      <c r="A79" s="10" t="s">
        <v>86</v>
      </c>
      <c r="B79" s="11">
        <f>SUM(B80:B84)</f>
        <v>1385.9614890899998</v>
      </c>
      <c r="C79" s="11">
        <f t="shared" ref="C79:Q79" si="52">SUM(C80:C84)</f>
        <v>771.2566592300002</v>
      </c>
      <c r="D79" s="11">
        <f t="shared" si="52"/>
        <v>1098.9046837099991</v>
      </c>
      <c r="E79" s="11">
        <f t="shared" ref="E79:E84" si="53">SUM(B79:D79)</f>
        <v>3256.1228320299992</v>
      </c>
      <c r="F79" s="11">
        <f t="shared" si="52"/>
        <v>1387.8701704099994</v>
      </c>
      <c r="G79" s="11">
        <f t="shared" si="52"/>
        <v>1071.2034255699998</v>
      </c>
      <c r="H79" s="11">
        <f t="shared" si="52"/>
        <v>1109.1043170199998</v>
      </c>
      <c r="I79" s="11">
        <f t="shared" ref="I79:I84" si="54">SUM(F79:H79)</f>
        <v>3568.1779129999995</v>
      </c>
      <c r="J79" s="11">
        <f t="shared" ref="J79:J84" si="55">+E79+I79</f>
        <v>6824.3007450299992</v>
      </c>
      <c r="K79" s="11">
        <f t="shared" si="52"/>
        <v>1316.5425154600002</v>
      </c>
      <c r="L79" s="11">
        <f t="shared" si="52"/>
        <v>1150.6211570500002</v>
      </c>
      <c r="M79" s="11">
        <f t="shared" si="52"/>
        <v>1075.0747560200002</v>
      </c>
      <c r="N79" s="11">
        <f t="shared" ref="N79:N84" si="56">SUM(K79:M79)</f>
        <v>3542.2384285300009</v>
      </c>
      <c r="O79" s="11">
        <f t="shared" si="52"/>
        <v>1109.1134847600006</v>
      </c>
      <c r="P79" s="11">
        <f t="shared" si="52"/>
        <v>1216.3237324700003</v>
      </c>
      <c r="Q79" s="11">
        <f t="shared" si="52"/>
        <v>1032.7552822700004</v>
      </c>
      <c r="R79" s="11">
        <f t="shared" ref="R79:R84" si="57">SUM(O79:Q79)</f>
        <v>3358.1924995000013</v>
      </c>
      <c r="S79" s="11">
        <f t="shared" ref="S79:S84" si="58">+N79+R79</f>
        <v>6900.4309280300022</v>
      </c>
      <c r="T79" s="11">
        <f t="shared" ref="T79:T84" si="59">+J79+S79</f>
        <v>13724.731673060001</v>
      </c>
      <c r="U79" s="11"/>
      <c r="V79" s="11"/>
    </row>
    <row r="80" spans="1:22" ht="15" customHeight="1" x14ac:dyDescent="0.3">
      <c r="A80" s="12" t="s">
        <v>87</v>
      </c>
      <c r="B80" s="8">
        <v>133.24784231999999</v>
      </c>
      <c r="C80" s="8">
        <v>81.78057004999998</v>
      </c>
      <c r="D80" s="8">
        <v>125.39120533999994</v>
      </c>
      <c r="E80" s="8">
        <f t="shared" si="53"/>
        <v>340.4196177099999</v>
      </c>
      <c r="F80" s="8">
        <v>180.02856139000011</v>
      </c>
      <c r="G80" s="8">
        <v>156.96938982</v>
      </c>
      <c r="H80" s="8">
        <v>178.93840668999997</v>
      </c>
      <c r="I80" s="8">
        <f t="shared" si="54"/>
        <v>515.93635790000008</v>
      </c>
      <c r="J80" s="8">
        <f t="shared" si="55"/>
        <v>856.35597560999997</v>
      </c>
      <c r="K80" s="8">
        <v>220.04024776000003</v>
      </c>
      <c r="L80" s="8">
        <v>147.08392495999999</v>
      </c>
      <c r="M80" s="8">
        <v>141.24098873999998</v>
      </c>
      <c r="N80" s="8">
        <f t="shared" si="56"/>
        <v>508.36516146000002</v>
      </c>
      <c r="O80" s="8">
        <v>146.58708019999997</v>
      </c>
      <c r="P80" s="8">
        <v>144.42867756000004</v>
      </c>
      <c r="Q80" s="8">
        <v>132.31489200999999</v>
      </c>
      <c r="R80" s="8">
        <f t="shared" si="57"/>
        <v>423.33064977000004</v>
      </c>
      <c r="S80" s="8">
        <f t="shared" si="58"/>
        <v>931.69581123000012</v>
      </c>
      <c r="T80" s="8">
        <f t="shared" si="59"/>
        <v>1788.0517868400002</v>
      </c>
      <c r="U80" s="8"/>
      <c r="V80" s="8"/>
    </row>
    <row r="81" spans="1:22" ht="15" customHeight="1" x14ac:dyDescent="0.3">
      <c r="A81" s="12" t="s">
        <v>88</v>
      </c>
      <c r="B81" s="8">
        <v>102.94630083999998</v>
      </c>
      <c r="C81" s="8">
        <v>56.868952419999999</v>
      </c>
      <c r="D81" s="8">
        <v>64.513246609999996</v>
      </c>
      <c r="E81" s="8">
        <f t="shared" si="53"/>
        <v>224.32849986999997</v>
      </c>
      <c r="F81" s="8">
        <v>80.664846490000045</v>
      </c>
      <c r="G81" s="8">
        <v>72.310444799999985</v>
      </c>
      <c r="H81" s="8">
        <v>67.575975569999997</v>
      </c>
      <c r="I81" s="8">
        <f t="shared" si="54"/>
        <v>220.55126686000003</v>
      </c>
      <c r="J81" s="8">
        <f t="shared" si="55"/>
        <v>444.87976673000003</v>
      </c>
      <c r="K81" s="8">
        <v>87.326666529999969</v>
      </c>
      <c r="L81" s="8">
        <v>66.401886290000007</v>
      </c>
      <c r="M81" s="8">
        <v>78.443481680000005</v>
      </c>
      <c r="N81" s="8">
        <f t="shared" si="56"/>
        <v>232.1720345</v>
      </c>
      <c r="O81" s="8">
        <v>68.449297000000016</v>
      </c>
      <c r="P81" s="8">
        <v>75.324063239999987</v>
      </c>
      <c r="Q81" s="8">
        <v>67.151018500000006</v>
      </c>
      <c r="R81" s="8">
        <f t="shared" si="57"/>
        <v>210.92437874000001</v>
      </c>
      <c r="S81" s="8">
        <f t="shared" si="58"/>
        <v>443.09641324</v>
      </c>
      <c r="T81" s="8">
        <f t="shared" si="59"/>
        <v>887.97617996999998</v>
      </c>
      <c r="U81" s="8"/>
      <c r="V81" s="8"/>
    </row>
    <row r="82" spans="1:22" ht="15" customHeight="1" x14ac:dyDescent="0.3">
      <c r="A82" s="12" t="s">
        <v>89</v>
      </c>
      <c r="B82" s="8">
        <v>148.86610161000007</v>
      </c>
      <c r="C82" s="8">
        <v>92.471940250000017</v>
      </c>
      <c r="D82" s="8">
        <v>117.14862189999995</v>
      </c>
      <c r="E82" s="8">
        <f t="shared" si="53"/>
        <v>358.48666376000006</v>
      </c>
      <c r="F82" s="8">
        <v>143.42968565999993</v>
      </c>
      <c r="G82" s="8">
        <v>103.6092855</v>
      </c>
      <c r="H82" s="8">
        <v>114.90447388999999</v>
      </c>
      <c r="I82" s="8">
        <f t="shared" si="54"/>
        <v>361.94344504999992</v>
      </c>
      <c r="J82" s="8">
        <f t="shared" si="55"/>
        <v>720.43010880999998</v>
      </c>
      <c r="K82" s="8">
        <v>127.7446401</v>
      </c>
      <c r="L82" s="8">
        <v>120.81682289000003</v>
      </c>
      <c r="M82" s="8">
        <v>108.52432517999999</v>
      </c>
      <c r="N82" s="8">
        <f t="shared" si="56"/>
        <v>357.08578817</v>
      </c>
      <c r="O82" s="8">
        <v>108.33907723999998</v>
      </c>
      <c r="P82" s="8">
        <v>127.87235394</v>
      </c>
      <c r="Q82" s="8">
        <v>119.64315963</v>
      </c>
      <c r="R82" s="8">
        <f t="shared" si="57"/>
        <v>355.85459080999999</v>
      </c>
      <c r="S82" s="8">
        <f t="shared" si="58"/>
        <v>712.94037897999999</v>
      </c>
      <c r="T82" s="8">
        <f t="shared" si="59"/>
        <v>1433.37048779</v>
      </c>
      <c r="U82" s="8"/>
      <c r="V82" s="8"/>
    </row>
    <row r="83" spans="1:22" ht="15" customHeight="1" x14ac:dyDescent="0.3">
      <c r="A83" s="12" t="s">
        <v>90</v>
      </c>
      <c r="B83" s="8">
        <v>127.10789048000001</v>
      </c>
      <c r="C83" s="8">
        <v>85.265217389999989</v>
      </c>
      <c r="D83" s="8">
        <v>93.145769909999984</v>
      </c>
      <c r="E83" s="8">
        <f t="shared" si="53"/>
        <v>305.51887778000003</v>
      </c>
      <c r="F83" s="8">
        <v>137.44595430999999</v>
      </c>
      <c r="G83" s="8">
        <v>101.80535697999998</v>
      </c>
      <c r="H83" s="8">
        <v>101.69942651000002</v>
      </c>
      <c r="I83" s="8">
        <f t="shared" si="54"/>
        <v>340.95073780000001</v>
      </c>
      <c r="J83" s="8">
        <f t="shared" si="55"/>
        <v>646.46961557999998</v>
      </c>
      <c r="K83" s="8">
        <v>151.88158114000001</v>
      </c>
      <c r="L83" s="8">
        <v>107.23481062</v>
      </c>
      <c r="M83" s="8">
        <v>105.95796727999999</v>
      </c>
      <c r="N83" s="8">
        <f t="shared" si="56"/>
        <v>365.07435903999999</v>
      </c>
      <c r="O83" s="8">
        <v>113.43237177000002</v>
      </c>
      <c r="P83" s="8">
        <v>118.68704783000001</v>
      </c>
      <c r="Q83" s="8">
        <v>103.74431343000001</v>
      </c>
      <c r="R83" s="8">
        <f t="shared" si="57"/>
        <v>335.86373303000005</v>
      </c>
      <c r="S83" s="8">
        <f t="shared" si="58"/>
        <v>700.93809207000004</v>
      </c>
      <c r="T83" s="8">
        <f t="shared" si="59"/>
        <v>1347.40770765</v>
      </c>
      <c r="U83" s="8"/>
      <c r="V83" s="8"/>
    </row>
    <row r="84" spans="1:22" ht="18" customHeight="1" x14ac:dyDescent="0.3">
      <c r="A84" s="12" t="s">
        <v>91</v>
      </c>
      <c r="B84" s="8">
        <v>873.79335383999967</v>
      </c>
      <c r="C84" s="8">
        <v>454.86997912000027</v>
      </c>
      <c r="D84" s="8">
        <v>698.70583994999924</v>
      </c>
      <c r="E84" s="8">
        <f t="shared" si="53"/>
        <v>2027.3691729099992</v>
      </c>
      <c r="F84" s="8">
        <v>846.3011225599995</v>
      </c>
      <c r="G84" s="8">
        <v>636.50894846999984</v>
      </c>
      <c r="H84" s="8">
        <v>645.98603435999985</v>
      </c>
      <c r="I84" s="8">
        <f t="shared" si="54"/>
        <v>2128.796105389999</v>
      </c>
      <c r="J84" s="8">
        <f t="shared" si="55"/>
        <v>4156.1652782999981</v>
      </c>
      <c r="K84" s="8">
        <v>729.54937993000021</v>
      </c>
      <c r="L84" s="8">
        <v>709.08371229000011</v>
      </c>
      <c r="M84" s="8">
        <v>640.90799314000014</v>
      </c>
      <c r="N84" s="8">
        <f t="shared" si="56"/>
        <v>2079.5410853600006</v>
      </c>
      <c r="O84" s="8">
        <v>672.30565855000043</v>
      </c>
      <c r="P84" s="8">
        <v>750.01158990000022</v>
      </c>
      <c r="Q84" s="8">
        <v>609.90189870000029</v>
      </c>
      <c r="R84" s="8">
        <f t="shared" si="57"/>
        <v>2032.2191471500009</v>
      </c>
      <c r="S84" s="8">
        <f t="shared" si="58"/>
        <v>4111.7602325100015</v>
      </c>
      <c r="T84" s="8">
        <f t="shared" si="59"/>
        <v>8267.9255108100006</v>
      </c>
      <c r="U84" s="8"/>
      <c r="V84" s="8"/>
    </row>
    <row r="85" spans="1:22" s="10" customFormat="1" ht="15" customHeight="1" x14ac:dyDescent="0.3">
      <c r="A85" s="3"/>
      <c r="B85" s="11"/>
      <c r="C85" s="11"/>
      <c r="D85" s="11"/>
      <c r="E85" s="11"/>
      <c r="F85" s="11"/>
      <c r="G85" s="11"/>
      <c r="H85" s="11"/>
      <c r="I85" s="11"/>
      <c r="J85" s="11"/>
      <c r="K85" s="11"/>
      <c r="L85" s="11"/>
      <c r="M85" s="11"/>
      <c r="N85" s="11"/>
      <c r="O85" s="11"/>
      <c r="P85" s="11"/>
      <c r="Q85" s="11"/>
      <c r="R85" s="11"/>
      <c r="S85" s="11"/>
      <c r="T85" s="11"/>
      <c r="U85" s="11"/>
      <c r="V85" s="11"/>
    </row>
    <row r="86" spans="1:22" s="10" customFormat="1" ht="15" customHeight="1" x14ac:dyDescent="0.25">
      <c r="A86" s="10" t="s">
        <v>92</v>
      </c>
      <c r="B86" s="11">
        <f>SUM(B87:B88)</f>
        <v>1067.4208792800002</v>
      </c>
      <c r="C86" s="11">
        <f t="shared" ref="C86:Q86" si="60">SUM(C87:C88)</f>
        <v>818.49783756000011</v>
      </c>
      <c r="D86" s="11">
        <f t="shared" si="60"/>
        <v>925.61891716999935</v>
      </c>
      <c r="E86" s="11">
        <f t="shared" ref="E86:E88" si="61">SUM(B86:D86)</f>
        <v>2811.5376340099997</v>
      </c>
      <c r="F86" s="11">
        <f t="shared" si="60"/>
        <v>1724.8592842899993</v>
      </c>
      <c r="G86" s="11">
        <f t="shared" si="60"/>
        <v>998.08558578999987</v>
      </c>
      <c r="H86" s="11">
        <f t="shared" si="60"/>
        <v>948.7914613800001</v>
      </c>
      <c r="I86" s="11">
        <f t="shared" ref="I86:I88" si="62">SUM(F86:H86)</f>
        <v>3671.7363314599997</v>
      </c>
      <c r="J86" s="11">
        <f t="shared" ref="J86:J88" si="63">+E86+I86</f>
        <v>6483.2739654699999</v>
      </c>
      <c r="K86" s="11">
        <f t="shared" si="60"/>
        <v>1056.3459377699999</v>
      </c>
      <c r="L86" s="11">
        <f t="shared" si="60"/>
        <v>1009.16411595</v>
      </c>
      <c r="M86" s="11">
        <f t="shared" si="60"/>
        <v>981.84472787999994</v>
      </c>
      <c r="N86" s="11">
        <f t="shared" ref="N86:N88" si="64">SUM(K86:M86)</f>
        <v>3047.3547815999996</v>
      </c>
      <c r="O86" s="11">
        <f t="shared" si="60"/>
        <v>960.93103792000011</v>
      </c>
      <c r="P86" s="11">
        <f t="shared" si="60"/>
        <v>1084.3044081900005</v>
      </c>
      <c r="Q86" s="11">
        <f t="shared" si="60"/>
        <v>1092.6027485100001</v>
      </c>
      <c r="R86" s="11">
        <f t="shared" ref="R86:R88" si="65">SUM(O86:Q86)</f>
        <v>3137.8381946200006</v>
      </c>
      <c r="S86" s="11">
        <f t="shared" ref="S86:S88" si="66">+N86+R86</f>
        <v>6185.1929762199998</v>
      </c>
      <c r="T86" s="11">
        <f t="shared" ref="T86:T88" si="67">+J86+S86</f>
        <v>12668.46694169</v>
      </c>
      <c r="U86" s="11"/>
      <c r="V86" s="11"/>
    </row>
    <row r="87" spans="1:22" ht="15" customHeight="1" x14ac:dyDescent="0.3">
      <c r="A87" s="12" t="s">
        <v>93</v>
      </c>
      <c r="B87" s="8">
        <v>802.62840535000032</v>
      </c>
      <c r="C87" s="8">
        <v>619.62400145000004</v>
      </c>
      <c r="D87" s="8">
        <v>692.43463363999945</v>
      </c>
      <c r="E87" s="8">
        <f t="shared" si="61"/>
        <v>2114.6870404399997</v>
      </c>
      <c r="F87" s="8">
        <v>1390.1726286299995</v>
      </c>
      <c r="G87" s="8">
        <v>770.61952752999991</v>
      </c>
      <c r="H87" s="8">
        <v>676.36220442000001</v>
      </c>
      <c r="I87" s="8">
        <f t="shared" si="62"/>
        <v>2837.1543605799998</v>
      </c>
      <c r="J87" s="8">
        <f t="shared" si="63"/>
        <v>4951.8414010199995</v>
      </c>
      <c r="K87" s="8">
        <v>788.41439975999992</v>
      </c>
      <c r="L87" s="8">
        <v>756.98667998999997</v>
      </c>
      <c r="M87" s="8">
        <v>701.50459480000006</v>
      </c>
      <c r="N87" s="8">
        <f t="shared" si="64"/>
        <v>2246.9056745500002</v>
      </c>
      <c r="O87" s="8">
        <v>736.89111065000009</v>
      </c>
      <c r="P87" s="8">
        <v>821.16069619000029</v>
      </c>
      <c r="Q87" s="8">
        <v>833.18055731000015</v>
      </c>
      <c r="R87" s="8">
        <f t="shared" si="65"/>
        <v>2391.2323641500006</v>
      </c>
      <c r="S87" s="8">
        <f t="shared" si="66"/>
        <v>4638.1380387000008</v>
      </c>
      <c r="T87" s="8">
        <f t="shared" si="67"/>
        <v>9589.9794397200003</v>
      </c>
      <c r="U87" s="8"/>
      <c r="V87" s="8"/>
    </row>
    <row r="88" spans="1:22" ht="15" customHeight="1" x14ac:dyDescent="0.3">
      <c r="A88" s="12" t="s">
        <v>94</v>
      </c>
      <c r="B88" s="8">
        <v>264.79247392999997</v>
      </c>
      <c r="C88" s="8">
        <v>198.87383611000001</v>
      </c>
      <c r="D88" s="8">
        <v>233.18428352999985</v>
      </c>
      <c r="E88" s="8">
        <f t="shared" si="61"/>
        <v>696.85059356999977</v>
      </c>
      <c r="F88" s="8">
        <v>334.68665565999987</v>
      </c>
      <c r="G88" s="8">
        <v>227.46605825999995</v>
      </c>
      <c r="H88" s="8">
        <v>272.42925696000003</v>
      </c>
      <c r="I88" s="8">
        <f t="shared" si="62"/>
        <v>834.58197087999974</v>
      </c>
      <c r="J88" s="8">
        <f t="shared" si="63"/>
        <v>1531.4325644499995</v>
      </c>
      <c r="K88" s="8">
        <v>267.93153801</v>
      </c>
      <c r="L88" s="8">
        <v>252.17743595999997</v>
      </c>
      <c r="M88" s="8">
        <v>280.34013307999993</v>
      </c>
      <c r="N88" s="8">
        <f t="shared" si="64"/>
        <v>800.44910704999984</v>
      </c>
      <c r="O88" s="8">
        <v>224.03992727000008</v>
      </c>
      <c r="P88" s="8">
        <v>263.14371200000022</v>
      </c>
      <c r="Q88" s="8">
        <v>259.42219119999999</v>
      </c>
      <c r="R88" s="8">
        <f t="shared" si="65"/>
        <v>746.60583047000023</v>
      </c>
      <c r="S88" s="8">
        <f t="shared" si="66"/>
        <v>1547.0549375200001</v>
      </c>
      <c r="T88" s="8">
        <f t="shared" si="67"/>
        <v>3078.4875019699994</v>
      </c>
      <c r="U88" s="8"/>
      <c r="V88" s="8"/>
    </row>
    <row r="89" spans="1:22" s="10" customFormat="1" ht="15" customHeight="1" x14ac:dyDescent="0.3">
      <c r="A89" s="3"/>
      <c r="B89" s="11"/>
      <c r="C89" s="11"/>
      <c r="D89" s="11"/>
      <c r="E89" s="11"/>
      <c r="F89" s="11"/>
      <c r="G89" s="11"/>
      <c r="H89" s="11"/>
      <c r="I89" s="11"/>
      <c r="J89" s="11"/>
      <c r="K89" s="11"/>
      <c r="L89" s="11"/>
      <c r="M89" s="11"/>
      <c r="N89" s="11"/>
      <c r="O89" s="11"/>
      <c r="P89" s="11"/>
      <c r="Q89" s="11"/>
      <c r="R89" s="11"/>
      <c r="S89" s="11"/>
      <c r="T89" s="11"/>
      <c r="U89" s="11"/>
      <c r="V89" s="11"/>
    </row>
    <row r="90" spans="1:22" s="10" customFormat="1" ht="15" customHeight="1" x14ac:dyDescent="0.25">
      <c r="A90" s="10" t="s">
        <v>95</v>
      </c>
      <c r="B90" s="11">
        <f>SUM(B91:B94)</f>
        <v>6089.9394351100018</v>
      </c>
      <c r="C90" s="11">
        <f t="shared" ref="C90:Q90" si="68">SUM(C91:C94)</f>
        <v>3999.7982647099998</v>
      </c>
      <c r="D90" s="11">
        <f t="shared" si="68"/>
        <v>4421.2166998399998</v>
      </c>
      <c r="E90" s="11">
        <f t="shared" ref="E90:E94" si="69">SUM(B90:D90)</f>
        <v>14510.95439966</v>
      </c>
      <c r="F90" s="11">
        <f t="shared" si="68"/>
        <v>9745.5747041300037</v>
      </c>
      <c r="G90" s="11">
        <f t="shared" si="68"/>
        <v>6588.1664706399988</v>
      </c>
      <c r="H90" s="11">
        <f t="shared" si="68"/>
        <v>4777.3851305499993</v>
      </c>
      <c r="I90" s="11">
        <f t="shared" ref="I90:I94" si="70">SUM(F90:H90)</f>
        <v>21111.126305320002</v>
      </c>
      <c r="J90" s="11">
        <f t="shared" ref="J90:J94" si="71">+E90+I90</f>
        <v>35622.080704980006</v>
      </c>
      <c r="K90" s="11">
        <f t="shared" si="68"/>
        <v>5987.3761803200014</v>
      </c>
      <c r="L90" s="11">
        <f t="shared" si="68"/>
        <v>6923.0587603099993</v>
      </c>
      <c r="M90" s="11">
        <f t="shared" si="68"/>
        <v>4781.2073077799996</v>
      </c>
      <c r="N90" s="11">
        <f t="shared" ref="N90:N94" si="72">SUM(K90:M90)</f>
        <v>17691.64224841</v>
      </c>
      <c r="O90" s="11">
        <f t="shared" si="68"/>
        <v>5809.5136659999989</v>
      </c>
      <c r="P90" s="11">
        <f t="shared" si="68"/>
        <v>6813.0834088899983</v>
      </c>
      <c r="Q90" s="11">
        <f t="shared" si="68"/>
        <v>4937.7553864999982</v>
      </c>
      <c r="R90" s="11">
        <f t="shared" ref="R90:R94" si="73">SUM(O90:Q90)</f>
        <v>17560.352461389994</v>
      </c>
      <c r="S90" s="11">
        <f t="shared" ref="S90:S94" si="74">+N90+R90</f>
        <v>35251.994709799998</v>
      </c>
      <c r="T90" s="11">
        <f t="shared" ref="T90:T94" si="75">+J90+S90</f>
        <v>70874.075414780003</v>
      </c>
      <c r="U90" s="11"/>
      <c r="V90" s="11"/>
    </row>
    <row r="91" spans="1:22" ht="15" customHeight="1" x14ac:dyDescent="0.3">
      <c r="A91" s="12" t="s">
        <v>96</v>
      </c>
      <c r="B91" s="8">
        <v>211.5813311499999</v>
      </c>
      <c r="C91" s="8">
        <v>164.45326938999995</v>
      </c>
      <c r="D91" s="8">
        <v>207.41034939000002</v>
      </c>
      <c r="E91" s="8">
        <f t="shared" si="69"/>
        <v>583.44494992999989</v>
      </c>
      <c r="F91" s="8">
        <v>312.70905117999996</v>
      </c>
      <c r="G91" s="8">
        <v>238.20355383999998</v>
      </c>
      <c r="H91" s="8">
        <v>250.83269396</v>
      </c>
      <c r="I91" s="8">
        <f t="shared" si="70"/>
        <v>801.74529898000003</v>
      </c>
      <c r="J91" s="8">
        <f t="shared" si="71"/>
        <v>1385.1902489099998</v>
      </c>
      <c r="K91" s="8">
        <v>282.81190907999996</v>
      </c>
      <c r="L91" s="8">
        <v>268.85033794000003</v>
      </c>
      <c r="M91" s="8">
        <v>234.01577191000001</v>
      </c>
      <c r="N91" s="8">
        <f t="shared" si="72"/>
        <v>785.67801893000001</v>
      </c>
      <c r="O91" s="8">
        <v>304.4185977099998</v>
      </c>
      <c r="P91" s="8">
        <v>266.74003367999995</v>
      </c>
      <c r="Q91" s="8">
        <v>259.90930387999992</v>
      </c>
      <c r="R91" s="8">
        <f t="shared" si="73"/>
        <v>831.06793526999968</v>
      </c>
      <c r="S91" s="8">
        <f t="shared" si="74"/>
        <v>1616.7459541999997</v>
      </c>
      <c r="T91" s="8">
        <f t="shared" si="75"/>
        <v>3001.9362031099995</v>
      </c>
      <c r="U91" s="8"/>
      <c r="V91" s="8"/>
    </row>
    <row r="92" spans="1:22" ht="15" customHeight="1" x14ac:dyDescent="0.3">
      <c r="A92" s="12" t="s">
        <v>97</v>
      </c>
      <c r="B92" s="8">
        <v>1283.7022806800001</v>
      </c>
      <c r="C92" s="8">
        <v>1146.6257891300004</v>
      </c>
      <c r="D92" s="8">
        <v>1185.7911591199991</v>
      </c>
      <c r="E92" s="8">
        <f t="shared" si="69"/>
        <v>3616.1192289299997</v>
      </c>
      <c r="F92" s="8">
        <v>1828.7610571200057</v>
      </c>
      <c r="G92" s="8">
        <v>1351.1827721399998</v>
      </c>
      <c r="H92" s="8">
        <v>1180.8715620699998</v>
      </c>
      <c r="I92" s="8">
        <f t="shared" si="70"/>
        <v>4360.8153913300048</v>
      </c>
      <c r="J92" s="8">
        <f t="shared" si="71"/>
        <v>7976.9346202600045</v>
      </c>
      <c r="K92" s="8">
        <v>1495.1304273300007</v>
      </c>
      <c r="L92" s="8">
        <v>1629.1373230199997</v>
      </c>
      <c r="M92" s="8">
        <v>1301.1720601199991</v>
      </c>
      <c r="N92" s="8">
        <f t="shared" si="72"/>
        <v>4425.4398104699994</v>
      </c>
      <c r="O92" s="8">
        <v>1431.6298527799997</v>
      </c>
      <c r="P92" s="8">
        <v>1630.6957716399988</v>
      </c>
      <c r="Q92" s="8">
        <v>1331.4285645399987</v>
      </c>
      <c r="R92" s="8">
        <f t="shared" si="73"/>
        <v>4393.754188959997</v>
      </c>
      <c r="S92" s="8">
        <f t="shared" si="74"/>
        <v>8819.1939994299973</v>
      </c>
      <c r="T92" s="8">
        <f t="shared" si="75"/>
        <v>16796.128619690004</v>
      </c>
      <c r="U92" s="8"/>
      <c r="V92" s="8"/>
    </row>
    <row r="93" spans="1:22" ht="15" customHeight="1" x14ac:dyDescent="0.3">
      <c r="A93" s="12" t="s">
        <v>98</v>
      </c>
      <c r="B93" s="8">
        <v>1920.5302805900014</v>
      </c>
      <c r="C93" s="8">
        <v>1065.0366526099999</v>
      </c>
      <c r="D93" s="8">
        <v>1265.3728879000003</v>
      </c>
      <c r="E93" s="8">
        <f t="shared" si="69"/>
        <v>4250.9398211000016</v>
      </c>
      <c r="F93" s="8">
        <v>2056.3475155799993</v>
      </c>
      <c r="G93" s="8">
        <v>1756.5031095699999</v>
      </c>
      <c r="H93" s="8">
        <v>1294.4264437599998</v>
      </c>
      <c r="I93" s="8">
        <f t="shared" si="70"/>
        <v>5107.2770689099989</v>
      </c>
      <c r="J93" s="8">
        <f t="shared" si="71"/>
        <v>9358.2168900100005</v>
      </c>
      <c r="K93" s="8">
        <v>1487.41132453</v>
      </c>
      <c r="L93" s="8">
        <v>1955.6478619099989</v>
      </c>
      <c r="M93" s="8">
        <v>1282.9344175500003</v>
      </c>
      <c r="N93" s="8">
        <f t="shared" si="72"/>
        <v>4725.9936039899994</v>
      </c>
      <c r="O93" s="8">
        <v>1600.0627107499995</v>
      </c>
      <c r="P93" s="8">
        <v>1771.2267838099995</v>
      </c>
      <c r="Q93" s="8">
        <v>1358.7907208599997</v>
      </c>
      <c r="R93" s="8">
        <f t="shared" si="73"/>
        <v>4730.0802154199991</v>
      </c>
      <c r="S93" s="8">
        <f t="shared" si="74"/>
        <v>9456.0738194099977</v>
      </c>
      <c r="T93" s="8">
        <f t="shared" si="75"/>
        <v>18814.290709419998</v>
      </c>
      <c r="U93" s="8"/>
      <c r="V93" s="8"/>
    </row>
    <row r="94" spans="1:22" ht="18" customHeight="1" x14ac:dyDescent="0.3">
      <c r="A94" s="12" t="s">
        <v>99</v>
      </c>
      <c r="B94" s="8">
        <v>2674.1255426900007</v>
      </c>
      <c r="C94" s="8">
        <v>1623.6825535799999</v>
      </c>
      <c r="D94" s="8">
        <v>1762.6423034300003</v>
      </c>
      <c r="E94" s="8">
        <f t="shared" si="69"/>
        <v>6060.4503997000011</v>
      </c>
      <c r="F94" s="8">
        <v>5547.7570802499995</v>
      </c>
      <c r="G94" s="8">
        <v>3242.2770350899996</v>
      </c>
      <c r="H94" s="8">
        <v>2051.2544307600001</v>
      </c>
      <c r="I94" s="8">
        <f t="shared" si="70"/>
        <v>10841.288546099999</v>
      </c>
      <c r="J94" s="8">
        <f t="shared" si="71"/>
        <v>16901.7389458</v>
      </c>
      <c r="K94" s="8">
        <v>2722.0225193800002</v>
      </c>
      <c r="L94" s="8">
        <v>3069.4232374400003</v>
      </c>
      <c r="M94" s="8">
        <v>1963.0850581999998</v>
      </c>
      <c r="N94" s="8">
        <f t="shared" si="72"/>
        <v>7754.5308150199999</v>
      </c>
      <c r="O94" s="8">
        <v>2473.4025047599998</v>
      </c>
      <c r="P94" s="8">
        <v>3144.4208197600001</v>
      </c>
      <c r="Q94" s="8">
        <v>1987.6267972199998</v>
      </c>
      <c r="R94" s="8">
        <f t="shared" si="73"/>
        <v>7605.4501217399993</v>
      </c>
      <c r="S94" s="8">
        <f t="shared" si="74"/>
        <v>15359.980936759999</v>
      </c>
      <c r="T94" s="8">
        <f t="shared" si="75"/>
        <v>32261.719882559999</v>
      </c>
      <c r="U94" s="8"/>
      <c r="V94" s="8"/>
    </row>
    <row r="95" spans="1:22" ht="15" customHeight="1" x14ac:dyDescent="0.3">
      <c r="A95" s="12"/>
      <c r="B95" s="8"/>
      <c r="C95" s="8"/>
      <c r="D95" s="8"/>
      <c r="E95" s="8"/>
      <c r="F95" s="8"/>
      <c r="G95" s="8"/>
      <c r="H95" s="8"/>
      <c r="I95" s="8"/>
      <c r="J95" s="8"/>
      <c r="K95" s="8"/>
      <c r="L95" s="8"/>
      <c r="M95" s="8"/>
      <c r="N95" s="8"/>
      <c r="O95" s="8"/>
      <c r="P95" s="8"/>
      <c r="Q95" s="8"/>
      <c r="R95" s="8"/>
      <c r="S95" s="8"/>
      <c r="T95" s="8"/>
      <c r="U95" s="8"/>
      <c r="V95" s="8"/>
    </row>
    <row r="96" spans="1:22" s="10" customFormat="1" ht="15" customHeight="1" x14ac:dyDescent="0.25">
      <c r="A96" s="13" t="s">
        <v>100</v>
      </c>
      <c r="B96" s="11">
        <f>SUM(B97:B102)</f>
        <v>874.15839705000008</v>
      </c>
      <c r="C96" s="11">
        <f t="shared" ref="C96:Q96" si="76">SUM(C97:C102)</f>
        <v>569.90965831999983</v>
      </c>
      <c r="D96" s="11">
        <f t="shared" si="76"/>
        <v>698.78902982999989</v>
      </c>
      <c r="E96" s="11">
        <f t="shared" ref="E96:E102" si="77">SUM(B96:D96)</f>
        <v>2142.8570851999998</v>
      </c>
      <c r="F96" s="11">
        <f t="shared" si="76"/>
        <v>946.04005125000003</v>
      </c>
      <c r="G96" s="11">
        <f t="shared" si="76"/>
        <v>734.48715244999994</v>
      </c>
      <c r="H96" s="11">
        <f t="shared" si="76"/>
        <v>772.07785027999989</v>
      </c>
      <c r="I96" s="11">
        <f t="shared" ref="I96:I102" si="78">SUM(F96:H96)</f>
        <v>2452.6050539799999</v>
      </c>
      <c r="J96" s="11">
        <f t="shared" ref="J96:J102" si="79">+E96+I96</f>
        <v>4595.4621391799992</v>
      </c>
      <c r="K96" s="11">
        <f t="shared" si="76"/>
        <v>834.58159909999995</v>
      </c>
      <c r="L96" s="11">
        <f t="shared" si="76"/>
        <v>801.91403764999995</v>
      </c>
      <c r="M96" s="11">
        <f t="shared" si="76"/>
        <v>768.84543375999999</v>
      </c>
      <c r="N96" s="11">
        <f t="shared" ref="N96:N102" si="80">SUM(K96:M96)</f>
        <v>2405.34107051</v>
      </c>
      <c r="O96" s="11">
        <f t="shared" si="76"/>
        <v>790.49776630000008</v>
      </c>
      <c r="P96" s="11">
        <f t="shared" si="76"/>
        <v>815.50393859000019</v>
      </c>
      <c r="Q96" s="11">
        <f t="shared" si="76"/>
        <v>746.58846775000018</v>
      </c>
      <c r="R96" s="11">
        <f t="shared" ref="R96:R102" si="81">SUM(O96:Q96)</f>
        <v>2352.5901726400007</v>
      </c>
      <c r="S96" s="11">
        <f t="shared" ref="S96:S102" si="82">+N96+R96</f>
        <v>4757.9312431500002</v>
      </c>
      <c r="T96" s="11">
        <f t="shared" ref="T96:T102" si="83">+J96+S96</f>
        <v>9353.3933823299994</v>
      </c>
      <c r="U96" s="11"/>
      <c r="V96" s="11"/>
    </row>
    <row r="97" spans="1:22" ht="15" customHeight="1" x14ac:dyDescent="0.3">
      <c r="A97" s="12" t="s">
        <v>101</v>
      </c>
      <c r="B97" s="8">
        <v>73.793458539999989</v>
      </c>
      <c r="C97" s="8">
        <v>52.249022619999998</v>
      </c>
      <c r="D97" s="8">
        <v>52.695736720000014</v>
      </c>
      <c r="E97" s="8">
        <f t="shared" si="77"/>
        <v>178.73821788000001</v>
      </c>
      <c r="F97" s="8">
        <v>73.340924970000003</v>
      </c>
      <c r="G97" s="8">
        <v>68.746566989999991</v>
      </c>
      <c r="H97" s="8">
        <v>67.214407489999999</v>
      </c>
      <c r="I97" s="8">
        <f t="shared" si="78"/>
        <v>209.30189945000001</v>
      </c>
      <c r="J97" s="8">
        <f t="shared" si="79"/>
        <v>388.04011733000004</v>
      </c>
      <c r="K97" s="8">
        <v>80.801891170000005</v>
      </c>
      <c r="L97" s="8">
        <v>77.238850610000014</v>
      </c>
      <c r="M97" s="8">
        <v>57.576180539999996</v>
      </c>
      <c r="N97" s="8">
        <f t="shared" si="80"/>
        <v>215.61692232000001</v>
      </c>
      <c r="O97" s="8">
        <v>78.773641270000013</v>
      </c>
      <c r="P97" s="8">
        <v>63.049753320000008</v>
      </c>
      <c r="Q97" s="8">
        <v>49.420513499999998</v>
      </c>
      <c r="R97" s="8">
        <f t="shared" si="81"/>
        <v>191.24390809000002</v>
      </c>
      <c r="S97" s="8">
        <f t="shared" si="82"/>
        <v>406.86083041000006</v>
      </c>
      <c r="T97" s="8">
        <f t="shared" si="83"/>
        <v>794.90094774000011</v>
      </c>
      <c r="U97" s="8"/>
      <c r="V97" s="8"/>
    </row>
    <row r="98" spans="1:22" ht="15" customHeight="1" x14ac:dyDescent="0.3">
      <c r="A98" s="12" t="s">
        <v>102</v>
      </c>
      <c r="B98" s="8">
        <v>174.2682049500001</v>
      </c>
      <c r="C98" s="8">
        <v>121.06979526999999</v>
      </c>
      <c r="D98" s="8">
        <v>147.56866249999999</v>
      </c>
      <c r="E98" s="8">
        <f t="shared" si="77"/>
        <v>442.9066627200001</v>
      </c>
      <c r="F98" s="8">
        <v>245.76863437000009</v>
      </c>
      <c r="G98" s="8">
        <v>159.15648226999994</v>
      </c>
      <c r="H98" s="8">
        <v>145.63645093999997</v>
      </c>
      <c r="I98" s="8">
        <f t="shared" si="78"/>
        <v>550.56156757999997</v>
      </c>
      <c r="J98" s="8">
        <f t="shared" si="79"/>
        <v>993.46823030000007</v>
      </c>
      <c r="K98" s="8">
        <v>150.61559012999996</v>
      </c>
      <c r="L98" s="8">
        <v>190.71483976999994</v>
      </c>
      <c r="M98" s="8">
        <v>152.84671868999996</v>
      </c>
      <c r="N98" s="8">
        <f t="shared" si="80"/>
        <v>494.17714858999989</v>
      </c>
      <c r="O98" s="8">
        <v>166.17395016999998</v>
      </c>
      <c r="P98" s="8">
        <v>199.58956107000003</v>
      </c>
      <c r="Q98" s="8">
        <v>149.37917684000004</v>
      </c>
      <c r="R98" s="8">
        <f t="shared" si="81"/>
        <v>515.14268808000008</v>
      </c>
      <c r="S98" s="8">
        <f t="shared" si="82"/>
        <v>1009.31983667</v>
      </c>
      <c r="T98" s="8">
        <f t="shared" si="83"/>
        <v>2002.78806697</v>
      </c>
      <c r="U98" s="8"/>
      <c r="V98" s="8"/>
    </row>
    <row r="99" spans="1:22" ht="15" customHeight="1" x14ac:dyDescent="0.3">
      <c r="A99" s="12" t="s">
        <v>103</v>
      </c>
      <c r="B99" s="8">
        <v>87.311199830000007</v>
      </c>
      <c r="C99" s="8">
        <v>52.635724080000003</v>
      </c>
      <c r="D99" s="8">
        <v>57.930499889999986</v>
      </c>
      <c r="E99" s="8">
        <f t="shared" si="77"/>
        <v>197.8774238</v>
      </c>
      <c r="F99" s="8">
        <v>74.330331599999994</v>
      </c>
      <c r="G99" s="8">
        <v>56.047649570000004</v>
      </c>
      <c r="H99" s="8">
        <v>97.541698330000003</v>
      </c>
      <c r="I99" s="8">
        <f t="shared" si="78"/>
        <v>227.9196795</v>
      </c>
      <c r="J99" s="8">
        <f t="shared" si="79"/>
        <v>425.7971033</v>
      </c>
      <c r="K99" s="8">
        <v>66.394249889999998</v>
      </c>
      <c r="L99" s="8">
        <v>60.977515820000008</v>
      </c>
      <c r="M99" s="8">
        <v>66.207444589999994</v>
      </c>
      <c r="N99" s="8">
        <f t="shared" si="80"/>
        <v>193.5792103</v>
      </c>
      <c r="O99" s="8">
        <v>62.415297100000011</v>
      </c>
      <c r="P99" s="8">
        <v>81.217768000000007</v>
      </c>
      <c r="Q99" s="8">
        <v>67.530819919999999</v>
      </c>
      <c r="R99" s="8">
        <f t="shared" si="81"/>
        <v>211.16388502000001</v>
      </c>
      <c r="S99" s="8">
        <f t="shared" si="82"/>
        <v>404.74309532000001</v>
      </c>
      <c r="T99" s="8">
        <f t="shared" si="83"/>
        <v>830.54019861999996</v>
      </c>
      <c r="U99" s="8"/>
      <c r="V99" s="8"/>
    </row>
    <row r="100" spans="1:22" ht="15" customHeight="1" x14ac:dyDescent="0.3">
      <c r="A100" s="12" t="s">
        <v>104</v>
      </c>
      <c r="B100" s="8">
        <v>96.633266009999986</v>
      </c>
      <c r="C100" s="8">
        <v>87.929865459999988</v>
      </c>
      <c r="D100" s="8">
        <v>116.27989107000005</v>
      </c>
      <c r="E100" s="8">
        <f t="shared" si="77"/>
        <v>300.84302253999999</v>
      </c>
      <c r="F100" s="8">
        <v>123.10065904000002</v>
      </c>
      <c r="G100" s="8">
        <v>125.52342806000003</v>
      </c>
      <c r="H100" s="8">
        <v>104.58721677999999</v>
      </c>
      <c r="I100" s="8">
        <f t="shared" si="78"/>
        <v>353.21130388000006</v>
      </c>
      <c r="J100" s="8">
        <f t="shared" si="79"/>
        <v>654.05432642000005</v>
      </c>
      <c r="K100" s="8">
        <v>111.70916417000002</v>
      </c>
      <c r="L100" s="8">
        <v>101.67467339000001</v>
      </c>
      <c r="M100" s="8">
        <v>106.05210930000001</v>
      </c>
      <c r="N100" s="8">
        <f t="shared" si="80"/>
        <v>319.43594686000006</v>
      </c>
      <c r="O100" s="8">
        <v>110.80680157999998</v>
      </c>
      <c r="P100" s="8">
        <v>92.156862849999996</v>
      </c>
      <c r="Q100" s="8">
        <v>115.65048242000002</v>
      </c>
      <c r="R100" s="8">
        <f t="shared" si="81"/>
        <v>318.61414685</v>
      </c>
      <c r="S100" s="8">
        <f t="shared" si="82"/>
        <v>638.05009371000006</v>
      </c>
      <c r="T100" s="8">
        <f t="shared" si="83"/>
        <v>1292.1044201300001</v>
      </c>
      <c r="U100" s="8"/>
      <c r="V100" s="8"/>
    </row>
    <row r="101" spans="1:22" ht="15" customHeight="1" x14ac:dyDescent="0.3">
      <c r="A101" s="12" t="s">
        <v>105</v>
      </c>
      <c r="B101" s="8">
        <v>79.905229799999972</v>
      </c>
      <c r="C101" s="8">
        <v>46.073376559999986</v>
      </c>
      <c r="D101" s="8">
        <v>52.54677826999999</v>
      </c>
      <c r="E101" s="8">
        <f t="shared" si="77"/>
        <v>178.52538462999996</v>
      </c>
      <c r="F101" s="8">
        <v>68.686532729999996</v>
      </c>
      <c r="G101" s="8">
        <v>60.265478640000005</v>
      </c>
      <c r="H101" s="8">
        <v>63.007727950000003</v>
      </c>
      <c r="I101" s="8">
        <f t="shared" si="78"/>
        <v>191.95973932000001</v>
      </c>
      <c r="J101" s="8">
        <f t="shared" si="79"/>
        <v>370.48512395</v>
      </c>
      <c r="K101" s="8">
        <v>75.087556290000023</v>
      </c>
      <c r="L101" s="8">
        <v>61.740444250000003</v>
      </c>
      <c r="M101" s="8">
        <v>74.445566849999992</v>
      </c>
      <c r="N101" s="8">
        <f t="shared" si="80"/>
        <v>211.27356739000004</v>
      </c>
      <c r="O101" s="8">
        <v>67.594731419999988</v>
      </c>
      <c r="P101" s="8">
        <v>69.357876320000003</v>
      </c>
      <c r="Q101" s="8">
        <v>65.781887119999993</v>
      </c>
      <c r="R101" s="8">
        <f t="shared" si="81"/>
        <v>202.73449485999998</v>
      </c>
      <c r="S101" s="8">
        <f t="shared" si="82"/>
        <v>414.00806225000002</v>
      </c>
      <c r="T101" s="8">
        <f t="shared" si="83"/>
        <v>784.49318620000008</v>
      </c>
      <c r="U101" s="8"/>
      <c r="V101" s="8"/>
    </row>
    <row r="102" spans="1:22" ht="18" customHeight="1" x14ac:dyDescent="0.3">
      <c r="A102" s="12" t="s">
        <v>106</v>
      </c>
      <c r="B102" s="8">
        <v>362.24703792000008</v>
      </c>
      <c r="C102" s="8">
        <v>209.95187432999995</v>
      </c>
      <c r="D102" s="8">
        <v>271.76746137999987</v>
      </c>
      <c r="E102" s="8">
        <f t="shared" si="77"/>
        <v>843.96637362999991</v>
      </c>
      <c r="F102" s="8">
        <v>360.81296853999999</v>
      </c>
      <c r="G102" s="8">
        <v>264.74754691999999</v>
      </c>
      <c r="H102" s="8">
        <v>294.09034878999995</v>
      </c>
      <c r="I102" s="8">
        <f t="shared" si="78"/>
        <v>919.65086425000004</v>
      </c>
      <c r="J102" s="8">
        <f t="shared" si="79"/>
        <v>1763.6172378799999</v>
      </c>
      <c r="K102" s="8">
        <v>349.97314745000006</v>
      </c>
      <c r="L102" s="8">
        <v>309.56771380999999</v>
      </c>
      <c r="M102" s="8">
        <v>311.71741379000002</v>
      </c>
      <c r="N102" s="8">
        <f t="shared" si="80"/>
        <v>971.25827505000007</v>
      </c>
      <c r="O102" s="8">
        <v>304.73334476000002</v>
      </c>
      <c r="P102" s="8">
        <v>310.13211703000013</v>
      </c>
      <c r="Q102" s="8">
        <v>298.82558795000011</v>
      </c>
      <c r="R102" s="8">
        <f t="shared" si="81"/>
        <v>913.69104974000027</v>
      </c>
      <c r="S102" s="8">
        <f t="shared" si="82"/>
        <v>1884.9493247900004</v>
      </c>
      <c r="T102" s="8">
        <f t="shared" si="83"/>
        <v>3648.5665626700002</v>
      </c>
      <c r="U102" s="8"/>
      <c r="V102" s="8"/>
    </row>
    <row r="103" spans="1:22" s="10" customFormat="1" ht="15" customHeight="1" x14ac:dyDescent="0.3">
      <c r="A103" s="12"/>
      <c r="B103" s="11"/>
      <c r="C103" s="11"/>
      <c r="D103" s="11"/>
      <c r="E103" s="11"/>
      <c r="F103" s="11"/>
      <c r="G103" s="11"/>
      <c r="H103" s="11"/>
      <c r="I103" s="11"/>
      <c r="J103" s="11"/>
      <c r="K103" s="11"/>
      <c r="L103" s="11"/>
      <c r="M103" s="11"/>
      <c r="N103" s="11"/>
      <c r="O103" s="11"/>
      <c r="P103" s="11"/>
      <c r="Q103" s="11"/>
      <c r="R103" s="11"/>
      <c r="S103" s="11"/>
      <c r="T103" s="11"/>
      <c r="U103" s="11"/>
      <c r="V103" s="11"/>
    </row>
    <row r="104" spans="1:22" s="10" customFormat="1" ht="15" customHeight="1" x14ac:dyDescent="0.25">
      <c r="A104" s="13" t="s">
        <v>107</v>
      </c>
      <c r="B104" s="11">
        <f>SUM(B105:B109)</f>
        <v>702.48942863999991</v>
      </c>
      <c r="C104" s="11">
        <f t="shared" ref="C104:Q104" si="84">SUM(C105:C109)</f>
        <v>446.93279222999996</v>
      </c>
      <c r="D104" s="11">
        <f t="shared" si="84"/>
        <v>532.75205442000004</v>
      </c>
      <c r="E104" s="11">
        <f t="shared" ref="E104:E107" si="85">SUM(B104:D104)</f>
        <v>1682.17427529</v>
      </c>
      <c r="F104" s="11">
        <f t="shared" si="84"/>
        <v>792.77283695000017</v>
      </c>
      <c r="G104" s="11">
        <f t="shared" si="84"/>
        <v>560.22637632999999</v>
      </c>
      <c r="H104" s="11">
        <f t="shared" si="84"/>
        <v>602.71444268000005</v>
      </c>
      <c r="I104" s="11">
        <f t="shared" ref="I104:I107" si="86">SUM(F104:H104)</f>
        <v>1955.7136559600003</v>
      </c>
      <c r="J104" s="11">
        <f t="shared" ref="J104:J107" si="87">+E104+I104</f>
        <v>3637.8879312500003</v>
      </c>
      <c r="K104" s="11">
        <f t="shared" si="84"/>
        <v>715.61543932999984</v>
      </c>
      <c r="L104" s="11">
        <f t="shared" si="84"/>
        <v>580.85289333999992</v>
      </c>
      <c r="M104" s="11">
        <f t="shared" si="84"/>
        <v>557.96715886999993</v>
      </c>
      <c r="N104" s="11">
        <f t="shared" ref="N104:N107" si="88">SUM(K104:M104)</f>
        <v>1854.4354915399995</v>
      </c>
      <c r="O104" s="11">
        <f t="shared" si="84"/>
        <v>622.80354891000002</v>
      </c>
      <c r="P104" s="11">
        <f t="shared" si="84"/>
        <v>636.35470294999993</v>
      </c>
      <c r="Q104" s="11">
        <f t="shared" si="84"/>
        <v>557.18551329000002</v>
      </c>
      <c r="R104" s="11">
        <f t="shared" ref="R104:R107" si="89">SUM(O104:Q104)</f>
        <v>1816.3437651499999</v>
      </c>
      <c r="S104" s="11">
        <f t="shared" ref="S104:S107" si="90">+N104+R104</f>
        <v>3670.7792566899993</v>
      </c>
      <c r="T104" s="11">
        <f t="shared" ref="T104:T107" si="91">+J104+S104</f>
        <v>7308.6671879400001</v>
      </c>
      <c r="U104" s="11"/>
      <c r="V104" s="11"/>
    </row>
    <row r="105" spans="1:22" ht="15" customHeight="1" x14ac:dyDescent="0.3">
      <c r="A105" s="12" t="s">
        <v>108</v>
      </c>
      <c r="B105" s="8">
        <v>185.95163576999997</v>
      </c>
      <c r="C105" s="8">
        <v>114.75488535000001</v>
      </c>
      <c r="D105" s="8">
        <v>157.39864546999996</v>
      </c>
      <c r="E105" s="8">
        <f t="shared" si="85"/>
        <v>458.10516658999995</v>
      </c>
      <c r="F105" s="8">
        <v>223.57038311000014</v>
      </c>
      <c r="G105" s="8">
        <v>164.79033072000004</v>
      </c>
      <c r="H105" s="8">
        <v>177.26185352999997</v>
      </c>
      <c r="I105" s="8">
        <f t="shared" si="86"/>
        <v>565.62256736000018</v>
      </c>
      <c r="J105" s="8">
        <f t="shared" si="87"/>
        <v>1023.7277339500001</v>
      </c>
      <c r="K105" s="8">
        <v>224.08254501999997</v>
      </c>
      <c r="L105" s="8">
        <v>143.41424871999999</v>
      </c>
      <c r="M105" s="8">
        <v>143.22108736999996</v>
      </c>
      <c r="N105" s="8">
        <f t="shared" si="88"/>
        <v>510.71788110999989</v>
      </c>
      <c r="O105" s="8">
        <v>182.10767305000002</v>
      </c>
      <c r="P105" s="8">
        <v>157.18676016999999</v>
      </c>
      <c r="Q105" s="8">
        <v>133.03082811999997</v>
      </c>
      <c r="R105" s="8">
        <f t="shared" si="89"/>
        <v>472.32526133999994</v>
      </c>
      <c r="S105" s="8">
        <f t="shared" si="90"/>
        <v>983.04314244999978</v>
      </c>
      <c r="T105" s="8">
        <f t="shared" si="91"/>
        <v>2006.7708763999999</v>
      </c>
      <c r="U105" s="8"/>
      <c r="V105" s="8"/>
    </row>
    <row r="106" spans="1:22" ht="15" customHeight="1" x14ac:dyDescent="0.3">
      <c r="A106" s="12" t="s">
        <v>109</v>
      </c>
      <c r="B106" s="8">
        <v>184.88831952999996</v>
      </c>
      <c r="C106" s="8">
        <v>107.79097986999999</v>
      </c>
      <c r="D106" s="8">
        <v>122.31182410000008</v>
      </c>
      <c r="E106" s="8">
        <f t="shared" si="85"/>
        <v>414.99112350000001</v>
      </c>
      <c r="F106" s="8">
        <v>189.94485394999998</v>
      </c>
      <c r="G106" s="8">
        <v>119.74834564000003</v>
      </c>
      <c r="H106" s="8">
        <v>135.28504079000004</v>
      </c>
      <c r="I106" s="8">
        <f t="shared" si="86"/>
        <v>444.97824038000005</v>
      </c>
      <c r="J106" s="8">
        <f t="shared" si="87"/>
        <v>859.96936388000006</v>
      </c>
      <c r="K106" s="8">
        <v>149.13978164</v>
      </c>
      <c r="L106" s="8">
        <v>137.26819157</v>
      </c>
      <c r="M106" s="8">
        <v>131.39403962000003</v>
      </c>
      <c r="N106" s="8">
        <f t="shared" si="88"/>
        <v>417.80201283000008</v>
      </c>
      <c r="O106" s="8">
        <v>146.39392185</v>
      </c>
      <c r="P106" s="8">
        <v>150.18047462999996</v>
      </c>
      <c r="Q106" s="8">
        <v>151.60656761000001</v>
      </c>
      <c r="R106" s="8">
        <f t="shared" si="89"/>
        <v>448.18096408999997</v>
      </c>
      <c r="S106" s="8">
        <f t="shared" si="90"/>
        <v>865.98297692000006</v>
      </c>
      <c r="T106" s="8">
        <f t="shared" si="91"/>
        <v>1725.9523408</v>
      </c>
      <c r="U106" s="8"/>
      <c r="V106" s="8"/>
    </row>
    <row r="107" spans="1:22" ht="15" customHeight="1" x14ac:dyDescent="0.3">
      <c r="A107" s="12" t="s">
        <v>110</v>
      </c>
      <c r="B107" s="8">
        <v>47.07162653999999</v>
      </c>
      <c r="C107" s="8">
        <v>32.626690940000003</v>
      </c>
      <c r="D107" s="8">
        <v>45.839519490000001</v>
      </c>
      <c r="E107" s="8">
        <f t="shared" si="85"/>
        <v>125.53783696999999</v>
      </c>
      <c r="F107" s="8">
        <v>41.480886719999994</v>
      </c>
      <c r="G107" s="8">
        <v>42.115892549999991</v>
      </c>
      <c r="H107" s="8">
        <v>57.582158519999993</v>
      </c>
      <c r="I107" s="8">
        <f t="shared" si="86"/>
        <v>141.17893778999996</v>
      </c>
      <c r="J107" s="8">
        <f t="shared" si="87"/>
        <v>266.71677475999996</v>
      </c>
      <c r="K107" s="8">
        <v>61.916082889999998</v>
      </c>
      <c r="L107" s="8">
        <v>50.256917990000012</v>
      </c>
      <c r="M107" s="8">
        <v>43.541188139999996</v>
      </c>
      <c r="N107" s="8">
        <f t="shared" si="88"/>
        <v>155.71418902000002</v>
      </c>
      <c r="O107" s="8">
        <v>46.351421120000005</v>
      </c>
      <c r="P107" s="8">
        <v>66.488815370000012</v>
      </c>
      <c r="Q107" s="8">
        <v>45.843517429999999</v>
      </c>
      <c r="R107" s="8">
        <f t="shared" si="89"/>
        <v>158.68375392000002</v>
      </c>
      <c r="S107" s="8">
        <f t="shared" si="90"/>
        <v>314.39794294000001</v>
      </c>
      <c r="T107" s="8">
        <f t="shared" si="91"/>
        <v>581.11471770000003</v>
      </c>
      <c r="U107" s="8"/>
      <c r="V107" s="8"/>
    </row>
    <row r="108" spans="1:22" ht="18" customHeight="1" x14ac:dyDescent="0.3">
      <c r="A108" s="12" t="s">
        <v>111</v>
      </c>
      <c r="B108" s="8"/>
      <c r="C108" s="8"/>
      <c r="D108" s="8"/>
      <c r="E108" s="8"/>
      <c r="F108" s="8"/>
      <c r="G108" s="8"/>
      <c r="H108" s="8"/>
      <c r="I108" s="8"/>
      <c r="J108" s="8"/>
      <c r="K108" s="8"/>
      <c r="L108" s="8"/>
      <c r="M108" s="8"/>
      <c r="N108" s="8"/>
      <c r="O108" s="8"/>
      <c r="P108" s="8"/>
      <c r="Q108" s="8"/>
      <c r="R108" s="8"/>
      <c r="S108" s="8"/>
      <c r="T108" s="8"/>
      <c r="U108" s="8"/>
      <c r="V108" s="8"/>
    </row>
    <row r="109" spans="1:22" ht="15" customHeight="1" x14ac:dyDescent="0.3">
      <c r="A109" s="12" t="s">
        <v>112</v>
      </c>
      <c r="B109" s="8">
        <v>284.57784679999997</v>
      </c>
      <c r="C109" s="8">
        <v>191.76023606999996</v>
      </c>
      <c r="D109" s="8">
        <v>207.20206536000001</v>
      </c>
      <c r="E109" s="8">
        <f>SUM(B109:D109)</f>
        <v>683.54014822999989</v>
      </c>
      <c r="F109" s="8">
        <v>337.77671317000005</v>
      </c>
      <c r="G109" s="8">
        <v>233.57180741999997</v>
      </c>
      <c r="H109" s="8">
        <v>232.58538984000003</v>
      </c>
      <c r="I109" s="8">
        <f>SUM(F109:H109)</f>
        <v>803.93391043000008</v>
      </c>
      <c r="J109" s="8">
        <f t="shared" ref="J109" si="92">+E109+I109</f>
        <v>1487.4740586600001</v>
      </c>
      <c r="K109" s="8">
        <v>280.4770297799999</v>
      </c>
      <c r="L109" s="8">
        <v>249.91353505999993</v>
      </c>
      <c r="M109" s="8">
        <v>239.81084373999997</v>
      </c>
      <c r="N109" s="8">
        <f>SUM(K109:M109)</f>
        <v>770.20140857999979</v>
      </c>
      <c r="O109" s="8">
        <v>247.95053289000003</v>
      </c>
      <c r="P109" s="8">
        <v>262.49865277999999</v>
      </c>
      <c r="Q109" s="8">
        <v>226.70460012999999</v>
      </c>
      <c r="R109" s="8">
        <f>SUM(O109:Q109)</f>
        <v>737.15378580000004</v>
      </c>
      <c r="S109" s="8">
        <f t="shared" ref="S109" si="93">+N109+R109</f>
        <v>1507.3551943799998</v>
      </c>
      <c r="T109" s="8">
        <f>+J109+S109</f>
        <v>2994.8292530399999</v>
      </c>
      <c r="U109" s="8"/>
      <c r="V109" s="8"/>
    </row>
    <row r="110" spans="1:22" s="10" customFormat="1" ht="15" customHeight="1" x14ac:dyDescent="0.3">
      <c r="A110" s="12"/>
      <c r="B110" s="11"/>
      <c r="C110" s="11"/>
      <c r="D110" s="11"/>
      <c r="E110" s="11"/>
      <c r="F110" s="11"/>
      <c r="G110" s="11"/>
      <c r="H110" s="11"/>
      <c r="I110" s="11"/>
      <c r="J110" s="11"/>
      <c r="K110" s="11"/>
      <c r="L110" s="11"/>
      <c r="M110" s="11"/>
      <c r="N110" s="11"/>
      <c r="O110" s="11"/>
      <c r="P110" s="11"/>
      <c r="Q110" s="11"/>
      <c r="R110" s="11"/>
      <c r="S110" s="11"/>
      <c r="T110" s="11"/>
      <c r="U110" s="11"/>
      <c r="V110" s="11"/>
    </row>
    <row r="111" spans="1:22" s="10" customFormat="1" ht="15" customHeight="1" x14ac:dyDescent="0.25">
      <c r="A111" s="13" t="s">
        <v>113</v>
      </c>
      <c r="B111" s="11">
        <f>SUM(B112:B116)</f>
        <v>1397.8714758799997</v>
      </c>
      <c r="C111" s="11">
        <f t="shared" ref="C111:Q111" si="94">SUM(C112:C116)</f>
        <v>874.83856480999998</v>
      </c>
      <c r="D111" s="11">
        <f t="shared" si="94"/>
        <v>948.14753481000014</v>
      </c>
      <c r="E111" s="11">
        <f t="shared" ref="E111:E116" si="95">SUM(B111:D111)</f>
        <v>3220.8575755000002</v>
      </c>
      <c r="F111" s="11">
        <f t="shared" si="94"/>
        <v>1387.909537810001</v>
      </c>
      <c r="G111" s="11">
        <f t="shared" si="94"/>
        <v>1122.7952806999999</v>
      </c>
      <c r="H111" s="11">
        <f t="shared" si="94"/>
        <v>1088.1656410900002</v>
      </c>
      <c r="I111" s="11">
        <f t="shared" ref="I111:I116" si="96">SUM(F111:H111)</f>
        <v>3598.8704596000016</v>
      </c>
      <c r="J111" s="11">
        <f t="shared" ref="J111:J116" si="97">+E111+I111</f>
        <v>6819.7280351000018</v>
      </c>
      <c r="K111" s="11">
        <f t="shared" si="94"/>
        <v>1130.7348280000001</v>
      </c>
      <c r="L111" s="11">
        <f t="shared" si="94"/>
        <v>1127.5535409499998</v>
      </c>
      <c r="M111" s="11">
        <f t="shared" si="94"/>
        <v>1068.0022308799998</v>
      </c>
      <c r="N111" s="11">
        <f t="shared" ref="N111:N116" si="98">SUM(K111:M111)</f>
        <v>3326.2905998299998</v>
      </c>
      <c r="O111" s="11">
        <f t="shared" si="94"/>
        <v>1210.9397623899997</v>
      </c>
      <c r="P111" s="11">
        <f t="shared" si="94"/>
        <v>1368.1486304800001</v>
      </c>
      <c r="Q111" s="11">
        <f t="shared" si="94"/>
        <v>1103.67040045</v>
      </c>
      <c r="R111" s="11">
        <f t="shared" ref="R111:R116" si="99">SUM(O111:Q111)</f>
        <v>3682.7587933199993</v>
      </c>
      <c r="S111" s="11">
        <f t="shared" ref="S111:S116" si="100">+N111+R111</f>
        <v>7009.0493931499987</v>
      </c>
      <c r="T111" s="11">
        <f t="shared" ref="T111:T116" si="101">+J111+S111</f>
        <v>13828.77742825</v>
      </c>
      <c r="U111" s="11"/>
      <c r="V111" s="11"/>
    </row>
    <row r="112" spans="1:22" ht="15" customHeight="1" x14ac:dyDescent="0.3">
      <c r="A112" s="12" t="s">
        <v>114</v>
      </c>
      <c r="B112" s="8">
        <v>329.83155887999987</v>
      </c>
      <c r="C112" s="8">
        <v>160.29856554999998</v>
      </c>
      <c r="D112" s="8">
        <v>171.45046021000005</v>
      </c>
      <c r="E112" s="8">
        <f t="shared" si="95"/>
        <v>661.58058463999987</v>
      </c>
      <c r="F112" s="8">
        <v>306.55635079999979</v>
      </c>
      <c r="G112" s="8">
        <v>183.37950644000003</v>
      </c>
      <c r="H112" s="8">
        <v>214.6041245100001</v>
      </c>
      <c r="I112" s="8">
        <f t="shared" si="96"/>
        <v>704.53998174999992</v>
      </c>
      <c r="J112" s="8">
        <f t="shared" si="97"/>
        <v>1366.1205663899998</v>
      </c>
      <c r="K112" s="8">
        <v>240.86285627999996</v>
      </c>
      <c r="L112" s="8">
        <v>211.71351542999994</v>
      </c>
      <c r="M112" s="8">
        <v>207.68326051999998</v>
      </c>
      <c r="N112" s="8">
        <f t="shared" si="98"/>
        <v>660.25963222999985</v>
      </c>
      <c r="O112" s="8">
        <v>206.12797961000001</v>
      </c>
      <c r="P112" s="8">
        <v>272.26596526000009</v>
      </c>
      <c r="Q112" s="8">
        <v>225.46984880000008</v>
      </c>
      <c r="R112" s="8">
        <f t="shared" si="99"/>
        <v>703.86379367000018</v>
      </c>
      <c r="S112" s="8">
        <f t="shared" si="100"/>
        <v>1364.1234259</v>
      </c>
      <c r="T112" s="8">
        <f t="shared" si="101"/>
        <v>2730.2439922899998</v>
      </c>
      <c r="U112" s="8"/>
      <c r="V112" s="8"/>
    </row>
    <row r="113" spans="1:22" ht="15" customHeight="1" x14ac:dyDescent="0.3">
      <c r="A113" s="12" t="s">
        <v>115</v>
      </c>
      <c r="B113" s="8">
        <v>178.98278251999983</v>
      </c>
      <c r="C113" s="8">
        <v>137.97095912999995</v>
      </c>
      <c r="D113" s="8">
        <v>131.88151129999994</v>
      </c>
      <c r="E113" s="8">
        <f t="shared" si="95"/>
        <v>448.8352529499997</v>
      </c>
      <c r="F113" s="8">
        <v>189.88795251000008</v>
      </c>
      <c r="G113" s="8">
        <v>134.83398859000005</v>
      </c>
      <c r="H113" s="8">
        <v>156.26659964000001</v>
      </c>
      <c r="I113" s="8">
        <f t="shared" si="96"/>
        <v>480.98854074000008</v>
      </c>
      <c r="J113" s="8">
        <f t="shared" si="97"/>
        <v>929.82379368999977</v>
      </c>
      <c r="K113" s="8">
        <v>147.67783685999996</v>
      </c>
      <c r="L113" s="8">
        <v>154.73426150999998</v>
      </c>
      <c r="M113" s="8">
        <v>141.07939737999999</v>
      </c>
      <c r="N113" s="8">
        <f t="shared" si="98"/>
        <v>443.49149574999996</v>
      </c>
      <c r="O113" s="8">
        <v>173.84298989999996</v>
      </c>
      <c r="P113" s="8">
        <v>163.48790036000011</v>
      </c>
      <c r="Q113" s="8">
        <v>170.65717215000004</v>
      </c>
      <c r="R113" s="8">
        <f t="shared" si="99"/>
        <v>507.98806241000011</v>
      </c>
      <c r="S113" s="8">
        <f t="shared" si="100"/>
        <v>951.47955816000012</v>
      </c>
      <c r="T113" s="8">
        <f t="shared" si="101"/>
        <v>1881.3033518499999</v>
      </c>
      <c r="U113" s="8"/>
      <c r="V113" s="8"/>
    </row>
    <row r="114" spans="1:22" ht="15" customHeight="1" x14ac:dyDescent="0.3">
      <c r="A114" s="12" t="s">
        <v>116</v>
      </c>
      <c r="B114" s="8">
        <v>159.04939279000001</v>
      </c>
      <c r="C114" s="8">
        <v>103.91572635999999</v>
      </c>
      <c r="D114" s="8">
        <v>106.08820961000002</v>
      </c>
      <c r="E114" s="8">
        <f t="shared" si="95"/>
        <v>369.05332876000006</v>
      </c>
      <c r="F114" s="8">
        <v>143.43722787999997</v>
      </c>
      <c r="G114" s="8">
        <v>125.70105293</v>
      </c>
      <c r="H114" s="8">
        <v>115.95466167000002</v>
      </c>
      <c r="I114" s="8">
        <f t="shared" si="96"/>
        <v>385.09294247999998</v>
      </c>
      <c r="J114" s="8">
        <f t="shared" si="97"/>
        <v>754.14627124000003</v>
      </c>
      <c r="K114" s="8">
        <v>126.60022872</v>
      </c>
      <c r="L114" s="8">
        <v>127.94804477999998</v>
      </c>
      <c r="M114" s="8">
        <v>124.46466277000003</v>
      </c>
      <c r="N114" s="8">
        <f t="shared" si="98"/>
        <v>379.01293627000001</v>
      </c>
      <c r="O114" s="8">
        <v>115.78423432999995</v>
      </c>
      <c r="P114" s="8">
        <v>158.60711015999996</v>
      </c>
      <c r="Q114" s="8">
        <v>107.37026169999999</v>
      </c>
      <c r="R114" s="8">
        <f t="shared" si="99"/>
        <v>381.76160618999995</v>
      </c>
      <c r="S114" s="8">
        <f t="shared" si="100"/>
        <v>760.77454246000002</v>
      </c>
      <c r="T114" s="8">
        <f t="shared" si="101"/>
        <v>1514.9208137000001</v>
      </c>
      <c r="U114" s="8"/>
      <c r="V114" s="8"/>
    </row>
    <row r="115" spans="1:22" ht="18" customHeight="1" x14ac:dyDescent="0.3">
      <c r="A115" s="12" t="s">
        <v>117</v>
      </c>
      <c r="B115" s="8">
        <v>86.630511439999992</v>
      </c>
      <c r="C115" s="8">
        <v>55.100281590000002</v>
      </c>
      <c r="D115" s="8">
        <v>59.280030780000011</v>
      </c>
      <c r="E115" s="8">
        <f t="shared" si="95"/>
        <v>201.01082381000001</v>
      </c>
      <c r="F115" s="8">
        <v>91.142094370000009</v>
      </c>
      <c r="G115" s="8">
        <v>68.020449880000001</v>
      </c>
      <c r="H115" s="8">
        <v>60.389534629999993</v>
      </c>
      <c r="I115" s="8">
        <f t="shared" si="96"/>
        <v>219.55207887999998</v>
      </c>
      <c r="J115" s="8">
        <f t="shared" si="97"/>
        <v>420.56290268999999</v>
      </c>
      <c r="K115" s="8">
        <v>63.825449880000015</v>
      </c>
      <c r="L115" s="8">
        <v>69.867430259999992</v>
      </c>
      <c r="M115" s="8">
        <v>64.780455350000011</v>
      </c>
      <c r="N115" s="8">
        <f t="shared" si="98"/>
        <v>198.47333549000001</v>
      </c>
      <c r="O115" s="8">
        <v>59.159128359999997</v>
      </c>
      <c r="P115" s="8">
        <v>70.162842439999977</v>
      </c>
      <c r="Q115" s="8">
        <v>57.320670980000003</v>
      </c>
      <c r="R115" s="8">
        <f t="shared" si="99"/>
        <v>186.64264177999996</v>
      </c>
      <c r="S115" s="8">
        <f t="shared" si="100"/>
        <v>385.11597726999997</v>
      </c>
      <c r="T115" s="8">
        <f t="shared" si="101"/>
        <v>805.6788799599999</v>
      </c>
      <c r="U115" s="8"/>
      <c r="V115" s="8"/>
    </row>
    <row r="116" spans="1:22" ht="18" customHeight="1" x14ac:dyDescent="0.3">
      <c r="A116" s="12" t="s">
        <v>118</v>
      </c>
      <c r="B116" s="8">
        <v>643.37723025000014</v>
      </c>
      <c r="C116" s="8">
        <v>417.55303218000006</v>
      </c>
      <c r="D116" s="8">
        <v>479.44732291000008</v>
      </c>
      <c r="E116" s="8">
        <f t="shared" si="95"/>
        <v>1540.3775853400005</v>
      </c>
      <c r="F116" s="8">
        <v>656.88591225000118</v>
      </c>
      <c r="G116" s="8">
        <v>610.86028285999987</v>
      </c>
      <c r="H116" s="8">
        <v>540.9507206400001</v>
      </c>
      <c r="I116" s="8">
        <f t="shared" si="96"/>
        <v>1808.6969157500012</v>
      </c>
      <c r="J116" s="8">
        <f t="shared" si="97"/>
        <v>3349.0745010900018</v>
      </c>
      <c r="K116" s="8">
        <v>551.76845626000011</v>
      </c>
      <c r="L116" s="8">
        <v>563.29028896999989</v>
      </c>
      <c r="M116" s="8">
        <v>529.99445486000002</v>
      </c>
      <c r="N116" s="8">
        <f t="shared" si="98"/>
        <v>1645.0532000900002</v>
      </c>
      <c r="O116" s="8">
        <v>656.02543018999984</v>
      </c>
      <c r="P116" s="8">
        <v>703.62481225999989</v>
      </c>
      <c r="Q116" s="8">
        <v>542.85244681999984</v>
      </c>
      <c r="R116" s="8">
        <f t="shared" si="99"/>
        <v>1902.5026892699996</v>
      </c>
      <c r="S116" s="8">
        <f t="shared" si="100"/>
        <v>3547.55588936</v>
      </c>
      <c r="T116" s="8">
        <f t="shared" si="101"/>
        <v>6896.6303904500019</v>
      </c>
      <c r="U116" s="8"/>
      <c r="V116" s="8"/>
    </row>
    <row r="117" spans="1:22" s="10" customFormat="1" ht="15" customHeight="1" x14ac:dyDescent="0.3">
      <c r="A117" s="12"/>
      <c r="B117" s="11"/>
      <c r="C117" s="11"/>
      <c r="D117" s="11"/>
      <c r="E117" s="11"/>
      <c r="F117" s="11"/>
      <c r="G117" s="11"/>
      <c r="H117" s="11"/>
      <c r="I117" s="11"/>
      <c r="J117" s="11"/>
      <c r="K117" s="11"/>
      <c r="L117" s="11"/>
      <c r="M117" s="11"/>
      <c r="N117" s="11"/>
      <c r="O117" s="11"/>
      <c r="P117" s="11"/>
      <c r="Q117" s="11"/>
      <c r="R117" s="11"/>
      <c r="S117" s="11"/>
      <c r="T117" s="11"/>
      <c r="U117" s="11"/>
      <c r="V117" s="11"/>
    </row>
    <row r="118" spans="1:22" s="10" customFormat="1" ht="15" customHeight="1" x14ac:dyDescent="0.25">
      <c r="A118" s="13" t="s">
        <v>119</v>
      </c>
      <c r="B118" s="11">
        <f>SUM(B119:B123)</f>
        <v>3641.2960491999993</v>
      </c>
      <c r="C118" s="11">
        <f t="shared" ref="C118:Q118" si="102">SUM(C119:C123)</f>
        <v>2200.1344771099998</v>
      </c>
      <c r="D118" s="11">
        <f t="shared" si="102"/>
        <v>2820.5069673899984</v>
      </c>
      <c r="E118" s="11">
        <f t="shared" ref="E118:E123" si="103">SUM(B118:D118)</f>
        <v>8661.9374936999975</v>
      </c>
      <c r="F118" s="11">
        <f t="shared" si="102"/>
        <v>4237.2372871300013</v>
      </c>
      <c r="G118" s="11">
        <f t="shared" si="102"/>
        <v>3562.21141713</v>
      </c>
      <c r="H118" s="11">
        <f t="shared" si="102"/>
        <v>2821.9358986200004</v>
      </c>
      <c r="I118" s="11">
        <f t="shared" ref="I118:I123" si="104">SUM(F118:H118)</f>
        <v>10621.384602880002</v>
      </c>
      <c r="J118" s="11">
        <f t="shared" ref="J118:J123" si="105">+E118+I118</f>
        <v>19283.322096579999</v>
      </c>
      <c r="K118" s="11">
        <f t="shared" si="102"/>
        <v>3520.3995479999999</v>
      </c>
      <c r="L118" s="11">
        <f t="shared" si="102"/>
        <v>3735.0154424800003</v>
      </c>
      <c r="M118" s="11">
        <f t="shared" si="102"/>
        <v>3119.4440107999999</v>
      </c>
      <c r="N118" s="11">
        <f t="shared" ref="N118:N123" si="106">SUM(K118:M118)</f>
        <v>10374.85900128</v>
      </c>
      <c r="O118" s="11">
        <f t="shared" si="102"/>
        <v>3461.2894153799994</v>
      </c>
      <c r="P118" s="11">
        <f t="shared" si="102"/>
        <v>3953.1163827199998</v>
      </c>
      <c r="Q118" s="11">
        <f t="shared" si="102"/>
        <v>3190.0903690500004</v>
      </c>
      <c r="R118" s="11">
        <f t="shared" ref="R118:R123" si="107">SUM(O118:Q118)</f>
        <v>10604.496167149999</v>
      </c>
      <c r="S118" s="11">
        <f t="shared" ref="S118:S123" si="108">+N118+R118</f>
        <v>20979.355168429996</v>
      </c>
      <c r="T118" s="11">
        <f t="shared" ref="T118:T123" si="109">+J118+S118</f>
        <v>40262.677265009996</v>
      </c>
      <c r="U118" s="11"/>
      <c r="V118" s="11"/>
    </row>
    <row r="119" spans="1:22" ht="15" customHeight="1" x14ac:dyDescent="0.3">
      <c r="A119" s="12" t="s">
        <v>120</v>
      </c>
      <c r="B119" s="8">
        <v>367.91374821999995</v>
      </c>
      <c r="C119" s="8">
        <v>284.42271346000001</v>
      </c>
      <c r="D119" s="8">
        <v>331.22969974999967</v>
      </c>
      <c r="E119" s="8">
        <f t="shared" si="103"/>
        <v>983.56616142999962</v>
      </c>
      <c r="F119" s="8">
        <v>447.44370233999996</v>
      </c>
      <c r="G119" s="8">
        <v>312.37644179000011</v>
      </c>
      <c r="H119" s="8">
        <v>317.60255797000002</v>
      </c>
      <c r="I119" s="8">
        <f t="shared" si="104"/>
        <v>1077.4227021000002</v>
      </c>
      <c r="J119" s="8">
        <f t="shared" si="105"/>
        <v>2060.9888635299999</v>
      </c>
      <c r="K119" s="8">
        <v>377.76939132999991</v>
      </c>
      <c r="L119" s="8">
        <v>387.16172124000002</v>
      </c>
      <c r="M119" s="8">
        <v>343.77240683000002</v>
      </c>
      <c r="N119" s="8">
        <f t="shared" si="106"/>
        <v>1108.7035194</v>
      </c>
      <c r="O119" s="8">
        <v>359.95102463999996</v>
      </c>
      <c r="P119" s="8">
        <v>368.80125085000003</v>
      </c>
      <c r="Q119" s="8">
        <v>315.37545340000003</v>
      </c>
      <c r="R119" s="8">
        <f t="shared" si="107"/>
        <v>1044.1277288900001</v>
      </c>
      <c r="S119" s="8">
        <f t="shared" si="108"/>
        <v>2152.8312482900001</v>
      </c>
      <c r="T119" s="8">
        <f t="shared" si="109"/>
        <v>4213.8201118199995</v>
      </c>
      <c r="U119" s="8"/>
      <c r="V119" s="8"/>
    </row>
    <row r="120" spans="1:22" ht="15" customHeight="1" x14ac:dyDescent="0.3">
      <c r="A120" s="12" t="s">
        <v>121</v>
      </c>
      <c r="B120" s="8">
        <v>148.5343107700001</v>
      </c>
      <c r="C120" s="8">
        <v>109.46647159999999</v>
      </c>
      <c r="D120" s="8">
        <v>96.672159799999932</v>
      </c>
      <c r="E120" s="8">
        <f t="shared" si="103"/>
        <v>354.67294217</v>
      </c>
      <c r="F120" s="8">
        <v>158.62095627999992</v>
      </c>
      <c r="G120" s="8">
        <v>130.09453943000003</v>
      </c>
      <c r="H120" s="8">
        <v>131.6551651</v>
      </c>
      <c r="I120" s="8">
        <f t="shared" si="104"/>
        <v>420.37066080999989</v>
      </c>
      <c r="J120" s="8">
        <f t="shared" si="105"/>
        <v>775.04360297999983</v>
      </c>
      <c r="K120" s="8">
        <v>139.22048591000004</v>
      </c>
      <c r="L120" s="8">
        <v>145.23352256000001</v>
      </c>
      <c r="M120" s="8">
        <v>138.26665422000002</v>
      </c>
      <c r="N120" s="8">
        <f t="shared" si="106"/>
        <v>422.7206626900001</v>
      </c>
      <c r="O120" s="8">
        <v>125.53392045</v>
      </c>
      <c r="P120" s="8">
        <v>144.37850299999999</v>
      </c>
      <c r="Q120" s="8">
        <v>118.86855721000001</v>
      </c>
      <c r="R120" s="8">
        <f t="shared" si="107"/>
        <v>388.78098066000001</v>
      </c>
      <c r="S120" s="8">
        <f t="shared" si="108"/>
        <v>811.50164335000011</v>
      </c>
      <c r="T120" s="8">
        <f t="shared" si="109"/>
        <v>1586.5452463299998</v>
      </c>
      <c r="U120" s="8"/>
      <c r="V120" s="8"/>
    </row>
    <row r="121" spans="1:22" ht="15" customHeight="1" x14ac:dyDescent="0.3">
      <c r="A121" s="12" t="s">
        <v>122</v>
      </c>
      <c r="B121" s="8">
        <v>94.123184640000005</v>
      </c>
      <c r="C121" s="8">
        <v>59.301501800000011</v>
      </c>
      <c r="D121" s="8">
        <v>69.382676679999975</v>
      </c>
      <c r="E121" s="8">
        <f t="shared" si="103"/>
        <v>222.80736311999999</v>
      </c>
      <c r="F121" s="8">
        <v>88.586260299999992</v>
      </c>
      <c r="G121" s="8">
        <v>81.618270009999989</v>
      </c>
      <c r="H121" s="8">
        <v>78.07954912999999</v>
      </c>
      <c r="I121" s="8">
        <f t="shared" si="104"/>
        <v>248.28407943999997</v>
      </c>
      <c r="J121" s="8">
        <f t="shared" si="105"/>
        <v>471.09144255999996</v>
      </c>
      <c r="K121" s="8">
        <v>117.91881489000001</v>
      </c>
      <c r="L121" s="8">
        <v>89.947632580000004</v>
      </c>
      <c r="M121" s="8">
        <v>54.33795568</v>
      </c>
      <c r="N121" s="8">
        <f t="shared" si="106"/>
        <v>262.20440315000002</v>
      </c>
      <c r="O121" s="8">
        <v>78.800464059999996</v>
      </c>
      <c r="P121" s="8">
        <v>75.199132200000008</v>
      </c>
      <c r="Q121" s="8">
        <v>70.612583569999998</v>
      </c>
      <c r="R121" s="8">
        <f t="shared" si="107"/>
        <v>224.61217983</v>
      </c>
      <c r="S121" s="8">
        <f t="shared" si="108"/>
        <v>486.81658298000002</v>
      </c>
      <c r="T121" s="8">
        <f t="shared" si="109"/>
        <v>957.90802553999993</v>
      </c>
      <c r="U121" s="8"/>
      <c r="V121" s="8"/>
    </row>
    <row r="122" spans="1:22" ht="15" customHeight="1" x14ac:dyDescent="0.3">
      <c r="A122" s="12" t="s">
        <v>123</v>
      </c>
      <c r="B122" s="8">
        <v>1277.8843299299992</v>
      </c>
      <c r="C122" s="8">
        <v>845.23467453999979</v>
      </c>
      <c r="D122" s="8">
        <v>1170.3067412599989</v>
      </c>
      <c r="E122" s="8">
        <f t="shared" si="103"/>
        <v>3293.4257457299977</v>
      </c>
      <c r="F122" s="8">
        <v>1604.6327733600019</v>
      </c>
      <c r="G122" s="8">
        <v>1262.7909248200001</v>
      </c>
      <c r="H122" s="8">
        <v>1072.0508511</v>
      </c>
      <c r="I122" s="8">
        <f t="shared" si="104"/>
        <v>3939.4745492800021</v>
      </c>
      <c r="J122" s="8">
        <f t="shared" si="105"/>
        <v>7232.9002950100003</v>
      </c>
      <c r="K122" s="8">
        <v>1174.6136977899998</v>
      </c>
      <c r="L122" s="8">
        <v>1380.8089283899999</v>
      </c>
      <c r="M122" s="8">
        <v>1241.8198066499999</v>
      </c>
      <c r="N122" s="8">
        <f t="shared" si="106"/>
        <v>3797.2424328299994</v>
      </c>
      <c r="O122" s="8">
        <v>1261.3064482499992</v>
      </c>
      <c r="P122" s="8">
        <v>1329.0300604800002</v>
      </c>
      <c r="Q122" s="8">
        <v>1346.9152141400004</v>
      </c>
      <c r="R122" s="8">
        <f t="shared" si="107"/>
        <v>3937.2517228699999</v>
      </c>
      <c r="S122" s="8">
        <f t="shared" si="108"/>
        <v>7734.4941556999993</v>
      </c>
      <c r="T122" s="8">
        <f t="shared" si="109"/>
        <v>14967.394450709999</v>
      </c>
      <c r="U122" s="8"/>
      <c r="V122" s="8"/>
    </row>
    <row r="123" spans="1:22" ht="18" customHeight="1" x14ac:dyDescent="0.3">
      <c r="A123" s="12" t="s">
        <v>124</v>
      </c>
      <c r="B123" s="8">
        <v>1752.8404756400002</v>
      </c>
      <c r="C123" s="8">
        <v>901.70911570999976</v>
      </c>
      <c r="D123" s="8">
        <v>1152.9156899</v>
      </c>
      <c r="E123" s="8">
        <f t="shared" si="103"/>
        <v>3807.4652812499999</v>
      </c>
      <c r="F123" s="8">
        <v>1937.9535948499999</v>
      </c>
      <c r="G123" s="8">
        <v>1775.3312410799999</v>
      </c>
      <c r="H123" s="8">
        <v>1222.54777532</v>
      </c>
      <c r="I123" s="8">
        <f t="shared" si="104"/>
        <v>4935.8326112499999</v>
      </c>
      <c r="J123" s="8">
        <f t="shared" si="105"/>
        <v>8743.2978924999989</v>
      </c>
      <c r="K123" s="8">
        <v>1710.8771580800001</v>
      </c>
      <c r="L123" s="8">
        <v>1731.8636377100004</v>
      </c>
      <c r="M123" s="8">
        <v>1341.24718742</v>
      </c>
      <c r="N123" s="8">
        <f t="shared" si="106"/>
        <v>4783.9879832100005</v>
      </c>
      <c r="O123" s="8">
        <v>1635.6975579800001</v>
      </c>
      <c r="P123" s="8">
        <v>2035.7074361899993</v>
      </c>
      <c r="Q123" s="8">
        <v>1338.3185607299999</v>
      </c>
      <c r="R123" s="8">
        <f t="shared" si="107"/>
        <v>5009.7235548999997</v>
      </c>
      <c r="S123" s="8">
        <f t="shared" si="108"/>
        <v>9793.7115381100011</v>
      </c>
      <c r="T123" s="8">
        <f t="shared" si="109"/>
        <v>18537.00943061</v>
      </c>
      <c r="U123" s="8"/>
      <c r="V123" s="8"/>
    </row>
    <row r="124" spans="1:22" s="10" customFormat="1" ht="15" customHeight="1" x14ac:dyDescent="0.3">
      <c r="A124" s="12"/>
      <c r="B124" s="11"/>
      <c r="C124" s="11"/>
      <c r="D124" s="11"/>
      <c r="E124" s="11"/>
      <c r="F124" s="11"/>
      <c r="G124" s="11"/>
      <c r="H124" s="11"/>
      <c r="I124" s="11"/>
      <c r="J124" s="11"/>
      <c r="K124" s="11"/>
      <c r="L124" s="11"/>
      <c r="M124" s="11"/>
      <c r="N124" s="11"/>
      <c r="O124" s="11"/>
      <c r="P124" s="11"/>
      <c r="Q124" s="11"/>
      <c r="R124" s="11"/>
      <c r="S124" s="11"/>
      <c r="T124" s="11"/>
      <c r="U124" s="11"/>
      <c r="V124" s="11"/>
    </row>
    <row r="125" spans="1:22" s="10" customFormat="1" ht="15" customHeight="1" x14ac:dyDescent="0.25">
      <c r="A125" s="13" t="s">
        <v>125</v>
      </c>
      <c r="B125" s="11">
        <f>SUM(B126:B129)</f>
        <v>781.65128790999972</v>
      </c>
      <c r="C125" s="11">
        <f t="shared" ref="C125:Q125" si="110">SUM(C126:C129)</f>
        <v>511.97636438000006</v>
      </c>
      <c r="D125" s="11">
        <f t="shared" si="110"/>
        <v>783.82907030999991</v>
      </c>
      <c r="E125" s="11">
        <f t="shared" ref="E125:E129" si="111">SUM(B125:D125)</f>
        <v>2077.4567225999999</v>
      </c>
      <c r="F125" s="11">
        <f t="shared" si="110"/>
        <v>967.08686710999905</v>
      </c>
      <c r="G125" s="11">
        <f t="shared" si="110"/>
        <v>720.10950990999993</v>
      </c>
      <c r="H125" s="11">
        <f t="shared" si="110"/>
        <v>687.97836565000011</v>
      </c>
      <c r="I125" s="11">
        <f t="shared" ref="I125:I129" si="112">SUM(F125:H125)</f>
        <v>2375.1747426699994</v>
      </c>
      <c r="J125" s="11">
        <f t="shared" ref="J125:J129" si="113">+E125+I125</f>
        <v>4452.6314652699994</v>
      </c>
      <c r="K125" s="11">
        <f t="shared" si="110"/>
        <v>776.44385252300015</v>
      </c>
      <c r="L125" s="11">
        <f t="shared" si="110"/>
        <v>768.18240330000026</v>
      </c>
      <c r="M125" s="11">
        <f t="shared" si="110"/>
        <v>620.32924752000008</v>
      </c>
      <c r="N125" s="11">
        <f t="shared" ref="N125:N129" si="114">SUM(K125:M125)</f>
        <v>2164.9555033430006</v>
      </c>
      <c r="O125" s="11">
        <f t="shared" si="110"/>
        <v>830.2825721600002</v>
      </c>
      <c r="P125" s="11">
        <f t="shared" si="110"/>
        <v>761.06659907000005</v>
      </c>
      <c r="Q125" s="11">
        <f t="shared" si="110"/>
        <v>756.95746094999993</v>
      </c>
      <c r="R125" s="11">
        <f t="shared" ref="R125:R129" si="115">SUM(O125:Q125)</f>
        <v>2348.3066321800002</v>
      </c>
      <c r="S125" s="11">
        <f t="shared" ref="S125:S129" si="116">+N125+R125</f>
        <v>4513.2621355230003</v>
      </c>
      <c r="T125" s="11">
        <f t="shared" ref="T125:T129" si="117">+J125+S125</f>
        <v>8965.8936007929988</v>
      </c>
      <c r="U125" s="11"/>
      <c r="V125" s="11"/>
    </row>
    <row r="126" spans="1:22" ht="15" customHeight="1" x14ac:dyDescent="0.3">
      <c r="A126" s="12" t="s">
        <v>126</v>
      </c>
      <c r="B126" s="8">
        <v>172.28798627999998</v>
      </c>
      <c r="C126" s="8">
        <v>114.19602327000005</v>
      </c>
      <c r="D126" s="8">
        <v>124.45718672999992</v>
      </c>
      <c r="E126" s="8">
        <f t="shared" si="111"/>
        <v>410.94119627999999</v>
      </c>
      <c r="F126" s="8">
        <v>205.80565532999978</v>
      </c>
      <c r="G126" s="8">
        <v>153.02544140999996</v>
      </c>
      <c r="H126" s="8">
        <v>150.48560103000003</v>
      </c>
      <c r="I126" s="8">
        <f t="shared" si="112"/>
        <v>509.31669776999979</v>
      </c>
      <c r="J126" s="8">
        <f t="shared" si="113"/>
        <v>920.25789404999978</v>
      </c>
      <c r="K126" s="8">
        <v>171.82570002000011</v>
      </c>
      <c r="L126" s="8">
        <v>143.55952633999999</v>
      </c>
      <c r="M126" s="8">
        <v>141.33359342</v>
      </c>
      <c r="N126" s="8">
        <f t="shared" si="114"/>
        <v>456.7188197800001</v>
      </c>
      <c r="O126" s="8">
        <v>157.06512234999997</v>
      </c>
      <c r="P126" s="8">
        <v>175.02477307999999</v>
      </c>
      <c r="Q126" s="8">
        <v>143.18977420000002</v>
      </c>
      <c r="R126" s="8">
        <f t="shared" si="115"/>
        <v>475.27966962999994</v>
      </c>
      <c r="S126" s="8">
        <f t="shared" si="116"/>
        <v>931.99848941000005</v>
      </c>
      <c r="T126" s="8">
        <f t="shared" si="117"/>
        <v>1852.2563834599998</v>
      </c>
      <c r="U126" s="8"/>
      <c r="V126" s="8"/>
    </row>
    <row r="127" spans="1:22" ht="15" customHeight="1" x14ac:dyDescent="0.3">
      <c r="A127" s="12" t="s">
        <v>127</v>
      </c>
      <c r="B127" s="8">
        <v>315.34849030999982</v>
      </c>
      <c r="C127" s="8">
        <v>176.03280391999999</v>
      </c>
      <c r="D127" s="8">
        <v>276.9453220100001</v>
      </c>
      <c r="E127" s="8">
        <f t="shared" si="111"/>
        <v>768.32661623999991</v>
      </c>
      <c r="F127" s="8">
        <v>386.08584537999928</v>
      </c>
      <c r="G127" s="8">
        <v>319.90228629000001</v>
      </c>
      <c r="H127" s="8">
        <v>230.64069217999997</v>
      </c>
      <c r="I127" s="8">
        <f t="shared" si="112"/>
        <v>936.62882384999932</v>
      </c>
      <c r="J127" s="8">
        <f t="shared" si="113"/>
        <v>1704.9554400899992</v>
      </c>
      <c r="K127" s="8">
        <v>276.01368415000002</v>
      </c>
      <c r="L127" s="8">
        <v>304.60207833000021</v>
      </c>
      <c r="M127" s="8">
        <v>216.24536067000003</v>
      </c>
      <c r="N127" s="8">
        <f t="shared" si="114"/>
        <v>796.86112315000037</v>
      </c>
      <c r="O127" s="8">
        <v>280.09154976000013</v>
      </c>
      <c r="P127" s="8">
        <v>287.94753119000006</v>
      </c>
      <c r="Q127" s="8">
        <v>316.59182618999995</v>
      </c>
      <c r="R127" s="8">
        <f t="shared" si="115"/>
        <v>884.63090714000009</v>
      </c>
      <c r="S127" s="8">
        <f t="shared" si="116"/>
        <v>1681.4920302900005</v>
      </c>
      <c r="T127" s="8">
        <f t="shared" si="117"/>
        <v>3386.4474703799997</v>
      </c>
      <c r="U127" s="8"/>
      <c r="V127" s="8"/>
    </row>
    <row r="128" spans="1:22" ht="15" customHeight="1" x14ac:dyDescent="0.3">
      <c r="A128" s="12" t="s">
        <v>128</v>
      </c>
      <c r="B128" s="8">
        <v>177.24925349999995</v>
      </c>
      <c r="C128" s="8">
        <v>119.98363256</v>
      </c>
      <c r="D128" s="8">
        <v>286.77931675999992</v>
      </c>
      <c r="E128" s="8">
        <f t="shared" si="111"/>
        <v>584.01220281999986</v>
      </c>
      <c r="F128" s="8">
        <v>221.85651878999997</v>
      </c>
      <c r="G128" s="8">
        <v>158.13285659999997</v>
      </c>
      <c r="H128" s="8">
        <v>192.52900454000005</v>
      </c>
      <c r="I128" s="8">
        <f t="shared" si="112"/>
        <v>572.51837993000004</v>
      </c>
      <c r="J128" s="8">
        <f t="shared" si="113"/>
        <v>1156.5305827499999</v>
      </c>
      <c r="K128" s="8">
        <v>219.98099315999997</v>
      </c>
      <c r="L128" s="8">
        <v>186.13915705000008</v>
      </c>
      <c r="M128" s="8">
        <v>157.53631233000004</v>
      </c>
      <c r="N128" s="8">
        <f t="shared" si="114"/>
        <v>563.65646254000012</v>
      </c>
      <c r="O128" s="8">
        <v>282.5304096700001</v>
      </c>
      <c r="P128" s="8">
        <v>192.50273472000003</v>
      </c>
      <c r="Q128" s="8">
        <v>180.13617613999998</v>
      </c>
      <c r="R128" s="8">
        <f t="shared" si="115"/>
        <v>655.16932053000005</v>
      </c>
      <c r="S128" s="8">
        <f t="shared" si="116"/>
        <v>1218.8257830700002</v>
      </c>
      <c r="T128" s="8">
        <f t="shared" si="117"/>
        <v>2375.3563658200001</v>
      </c>
      <c r="U128" s="8"/>
      <c r="V128" s="8"/>
    </row>
    <row r="129" spans="1:22" ht="15" customHeight="1" x14ac:dyDescent="0.3">
      <c r="A129" s="12" t="s">
        <v>129</v>
      </c>
      <c r="B129" s="8">
        <v>116.76555782000001</v>
      </c>
      <c r="C129" s="8">
        <v>101.76390462999998</v>
      </c>
      <c r="D129" s="8">
        <v>95.647244809999989</v>
      </c>
      <c r="E129" s="8">
        <f t="shared" si="111"/>
        <v>314.17670725999994</v>
      </c>
      <c r="F129" s="8">
        <v>153.33884761000004</v>
      </c>
      <c r="G129" s="8">
        <v>89.048925610000012</v>
      </c>
      <c r="H129" s="8">
        <v>114.32306790000003</v>
      </c>
      <c r="I129" s="8">
        <f t="shared" si="112"/>
        <v>356.71084112000005</v>
      </c>
      <c r="J129" s="8">
        <f t="shared" si="113"/>
        <v>670.88754838</v>
      </c>
      <c r="K129" s="8">
        <v>108.62347519300002</v>
      </c>
      <c r="L129" s="8">
        <v>133.88164158000001</v>
      </c>
      <c r="M129" s="8">
        <v>105.21398109999998</v>
      </c>
      <c r="N129" s="8">
        <f t="shared" si="114"/>
        <v>347.71909787300001</v>
      </c>
      <c r="O129" s="8">
        <v>110.59549038000003</v>
      </c>
      <c r="P129" s="8">
        <v>105.59156007999998</v>
      </c>
      <c r="Q129" s="8">
        <v>117.03968441999997</v>
      </c>
      <c r="R129" s="8">
        <f t="shared" si="115"/>
        <v>333.22673487999998</v>
      </c>
      <c r="S129" s="8">
        <f t="shared" si="116"/>
        <v>680.94583275299999</v>
      </c>
      <c r="T129" s="8">
        <f t="shared" si="117"/>
        <v>1351.8333811329999</v>
      </c>
      <c r="U129" s="8"/>
      <c r="V129" s="8"/>
    </row>
    <row r="130" spans="1:22" s="10" customFormat="1" ht="15" customHeight="1" x14ac:dyDescent="0.3">
      <c r="A130" s="12"/>
      <c r="B130" s="11"/>
      <c r="C130" s="11"/>
      <c r="D130" s="11"/>
      <c r="E130" s="11"/>
      <c r="F130" s="11"/>
      <c r="G130" s="11"/>
      <c r="H130" s="11"/>
      <c r="I130" s="11"/>
      <c r="J130" s="11"/>
      <c r="K130" s="11"/>
      <c r="L130" s="11"/>
      <c r="M130" s="11"/>
      <c r="N130" s="11"/>
      <c r="O130" s="11"/>
      <c r="P130" s="11"/>
      <c r="Q130" s="11"/>
      <c r="R130" s="11"/>
      <c r="S130" s="11"/>
      <c r="T130" s="11"/>
      <c r="U130" s="11"/>
      <c r="V130" s="11"/>
    </row>
    <row r="131" spans="1:22" s="10" customFormat="1" ht="15" customHeight="1" x14ac:dyDescent="0.25">
      <c r="A131" s="13" t="s">
        <v>130</v>
      </c>
      <c r="B131" s="11">
        <f>SUM(B132:B135)</f>
        <v>679.97492202000024</v>
      </c>
      <c r="C131" s="11">
        <f t="shared" ref="C131:Q131" si="118">SUM(C132:C135)</f>
        <v>405.65350832999997</v>
      </c>
      <c r="D131" s="11">
        <f t="shared" si="118"/>
        <v>532.64185480000003</v>
      </c>
      <c r="E131" s="11">
        <f t="shared" ref="E131:E135" si="119">SUM(B131:D131)</f>
        <v>1618.2702851500003</v>
      </c>
      <c r="F131" s="11">
        <f t="shared" si="118"/>
        <v>712.79334919999985</v>
      </c>
      <c r="G131" s="11">
        <f t="shared" si="118"/>
        <v>579.58994553000002</v>
      </c>
      <c r="H131" s="11">
        <f t="shared" si="118"/>
        <v>568.80712059000007</v>
      </c>
      <c r="I131" s="11">
        <f t="shared" ref="I131:I135" si="120">SUM(F131:H131)</f>
        <v>1861.1904153199998</v>
      </c>
      <c r="J131" s="11">
        <f t="shared" ref="J131:J135" si="121">+E131+I131</f>
        <v>3479.4607004700001</v>
      </c>
      <c r="K131" s="11">
        <f t="shared" si="118"/>
        <v>588.84109533999992</v>
      </c>
      <c r="L131" s="11">
        <f t="shared" si="118"/>
        <v>645.90091954999991</v>
      </c>
      <c r="M131" s="11">
        <f t="shared" si="118"/>
        <v>608.19638398000006</v>
      </c>
      <c r="N131" s="11">
        <f t="shared" ref="N131:N135" si="122">SUM(K131:M131)</f>
        <v>1842.9383988699999</v>
      </c>
      <c r="O131" s="11">
        <f t="shared" si="118"/>
        <v>629.94303724000019</v>
      </c>
      <c r="P131" s="11">
        <f t="shared" si="118"/>
        <v>765.41003650999994</v>
      </c>
      <c r="Q131" s="11">
        <f t="shared" si="118"/>
        <v>484.92791953</v>
      </c>
      <c r="R131" s="11">
        <f t="shared" ref="R131:R135" si="123">SUM(O131:Q131)</f>
        <v>1880.2809932800001</v>
      </c>
      <c r="S131" s="11">
        <f t="shared" ref="S131:S135" si="124">+N131+R131</f>
        <v>3723.2193921500002</v>
      </c>
      <c r="T131" s="11">
        <f t="shared" ref="T131:T135" si="125">+J131+S131</f>
        <v>7202.6800926200003</v>
      </c>
      <c r="U131" s="11"/>
      <c r="V131" s="11"/>
    </row>
    <row r="132" spans="1:22" ht="15" customHeight="1" x14ac:dyDescent="0.3">
      <c r="A132" s="12" t="s">
        <v>131</v>
      </c>
      <c r="B132" s="8">
        <v>286.84612068000018</v>
      </c>
      <c r="C132" s="8">
        <v>161.48056179000002</v>
      </c>
      <c r="D132" s="8">
        <v>227.85099340999997</v>
      </c>
      <c r="E132" s="8">
        <f t="shared" si="119"/>
        <v>676.17767588000015</v>
      </c>
      <c r="F132" s="8">
        <v>266.86593204999997</v>
      </c>
      <c r="G132" s="8">
        <v>239.48962680999998</v>
      </c>
      <c r="H132" s="8">
        <v>221.36107235</v>
      </c>
      <c r="I132" s="8">
        <f t="shared" si="120"/>
        <v>727.71663120999995</v>
      </c>
      <c r="J132" s="8">
        <f t="shared" si="121"/>
        <v>1403.89430709</v>
      </c>
      <c r="K132" s="8">
        <v>232.91366023999996</v>
      </c>
      <c r="L132" s="8">
        <v>286.76277908999998</v>
      </c>
      <c r="M132" s="8">
        <v>265.76996040000006</v>
      </c>
      <c r="N132" s="8">
        <f t="shared" si="122"/>
        <v>785.44639973000005</v>
      </c>
      <c r="O132" s="8">
        <v>265.58993444000015</v>
      </c>
      <c r="P132" s="8">
        <v>353.61662344999991</v>
      </c>
      <c r="Q132" s="8">
        <v>169.85414658999997</v>
      </c>
      <c r="R132" s="8">
        <f t="shared" si="123"/>
        <v>789.06070448000014</v>
      </c>
      <c r="S132" s="8">
        <f t="shared" si="124"/>
        <v>1574.5071042100003</v>
      </c>
      <c r="T132" s="8">
        <f t="shared" si="125"/>
        <v>2978.4014113000003</v>
      </c>
      <c r="U132" s="8"/>
      <c r="V132" s="8"/>
    </row>
    <row r="133" spans="1:22" ht="15" customHeight="1" x14ac:dyDescent="0.3">
      <c r="A133" s="12" t="s">
        <v>132</v>
      </c>
      <c r="B133" s="8">
        <v>148.20908375000005</v>
      </c>
      <c r="C133" s="8">
        <v>87.046968550000003</v>
      </c>
      <c r="D133" s="8">
        <v>100.31273674000001</v>
      </c>
      <c r="E133" s="8">
        <f t="shared" si="119"/>
        <v>335.56878904000007</v>
      </c>
      <c r="F133" s="8">
        <v>161.62572285999988</v>
      </c>
      <c r="G133" s="8">
        <v>112.17271478000004</v>
      </c>
      <c r="H133" s="8">
        <v>106.10047159</v>
      </c>
      <c r="I133" s="8">
        <f t="shared" si="120"/>
        <v>379.8989092299999</v>
      </c>
      <c r="J133" s="8">
        <f t="shared" si="121"/>
        <v>715.46769827000003</v>
      </c>
      <c r="K133" s="8">
        <v>134.20830147000001</v>
      </c>
      <c r="L133" s="8">
        <v>112.25903599999997</v>
      </c>
      <c r="M133" s="8">
        <v>118.59626788</v>
      </c>
      <c r="N133" s="8">
        <f t="shared" si="122"/>
        <v>365.06360534999999</v>
      </c>
      <c r="O133" s="8">
        <v>123.85081339000004</v>
      </c>
      <c r="P133" s="8">
        <v>145.05818262</v>
      </c>
      <c r="Q133" s="8">
        <v>102.42103433</v>
      </c>
      <c r="R133" s="8">
        <f t="shared" si="123"/>
        <v>371.33003034000001</v>
      </c>
      <c r="S133" s="8">
        <f t="shared" si="124"/>
        <v>736.39363569</v>
      </c>
      <c r="T133" s="8">
        <f t="shared" si="125"/>
        <v>1451.8613339600001</v>
      </c>
      <c r="U133" s="8"/>
      <c r="V133" s="8"/>
    </row>
    <row r="134" spans="1:22" ht="15" customHeight="1" x14ac:dyDescent="0.3">
      <c r="A134" s="12" t="s">
        <v>133</v>
      </c>
      <c r="B134" s="8">
        <v>123.85651708</v>
      </c>
      <c r="C134" s="8">
        <v>85.742734209999981</v>
      </c>
      <c r="D134" s="8">
        <v>119.80429870000003</v>
      </c>
      <c r="E134" s="8">
        <f t="shared" si="119"/>
        <v>329.40354998999999</v>
      </c>
      <c r="F134" s="8">
        <v>145.71856394000002</v>
      </c>
      <c r="G134" s="8">
        <v>116.61484868000001</v>
      </c>
      <c r="H134" s="8">
        <v>168.70708560000003</v>
      </c>
      <c r="I134" s="8">
        <f t="shared" si="120"/>
        <v>431.04049822000007</v>
      </c>
      <c r="J134" s="8">
        <f t="shared" si="121"/>
        <v>760.44404821000012</v>
      </c>
      <c r="K134" s="8">
        <v>110.59791041000001</v>
      </c>
      <c r="L134" s="8">
        <v>153.91183831000001</v>
      </c>
      <c r="M134" s="8">
        <v>126.10610988999998</v>
      </c>
      <c r="N134" s="8">
        <f t="shared" si="122"/>
        <v>390.61585860999998</v>
      </c>
      <c r="O134" s="8">
        <v>143.71014711000001</v>
      </c>
      <c r="P134" s="8">
        <v>151.88596744999998</v>
      </c>
      <c r="Q134" s="8">
        <v>115.90356823000002</v>
      </c>
      <c r="R134" s="8">
        <f t="shared" si="123"/>
        <v>411.49968279000001</v>
      </c>
      <c r="S134" s="8">
        <f t="shared" si="124"/>
        <v>802.11554139999998</v>
      </c>
      <c r="T134" s="8">
        <f t="shared" si="125"/>
        <v>1562.5595896100001</v>
      </c>
      <c r="U134" s="8"/>
      <c r="V134" s="8"/>
    </row>
    <row r="135" spans="1:22" ht="15" customHeight="1" x14ac:dyDescent="0.3">
      <c r="A135" s="12" t="s">
        <v>134</v>
      </c>
      <c r="B135" s="8">
        <v>121.06320051000002</v>
      </c>
      <c r="C135" s="8">
        <v>71.383243780000001</v>
      </c>
      <c r="D135" s="8">
        <v>84.673825949999994</v>
      </c>
      <c r="E135" s="8">
        <f t="shared" si="119"/>
        <v>277.12027024000002</v>
      </c>
      <c r="F135" s="8">
        <v>138.58313035</v>
      </c>
      <c r="G135" s="8">
        <v>111.31275525999997</v>
      </c>
      <c r="H135" s="8">
        <v>72.638491050000013</v>
      </c>
      <c r="I135" s="8">
        <f t="shared" si="120"/>
        <v>322.53437666000002</v>
      </c>
      <c r="J135" s="8">
        <f t="shared" si="121"/>
        <v>599.65464689999999</v>
      </c>
      <c r="K135" s="8">
        <v>111.12122322</v>
      </c>
      <c r="L135" s="8">
        <v>92.96726615</v>
      </c>
      <c r="M135" s="8">
        <v>97.724045809999993</v>
      </c>
      <c r="N135" s="8">
        <f t="shared" si="122"/>
        <v>301.81253518</v>
      </c>
      <c r="O135" s="8">
        <v>96.792142299999981</v>
      </c>
      <c r="P135" s="8">
        <v>114.84926299000001</v>
      </c>
      <c r="Q135" s="8">
        <v>96.749170379999995</v>
      </c>
      <c r="R135" s="8">
        <f t="shared" si="123"/>
        <v>308.39057566999998</v>
      </c>
      <c r="S135" s="8">
        <f t="shared" si="124"/>
        <v>610.20311085000003</v>
      </c>
      <c r="T135" s="8">
        <f t="shared" si="125"/>
        <v>1209.85775775</v>
      </c>
      <c r="U135" s="8"/>
      <c r="V135" s="8"/>
    </row>
    <row r="136" spans="1:22" s="10" customFormat="1" ht="15" customHeight="1" x14ac:dyDescent="0.3">
      <c r="A136" s="12"/>
      <c r="B136" s="11"/>
      <c r="C136" s="11"/>
      <c r="D136" s="11"/>
      <c r="E136" s="11"/>
      <c r="F136" s="11"/>
      <c r="G136" s="11"/>
      <c r="H136" s="11"/>
      <c r="I136" s="11"/>
      <c r="J136" s="11"/>
      <c r="K136" s="11"/>
      <c r="L136" s="11"/>
      <c r="M136" s="11"/>
      <c r="N136" s="11"/>
      <c r="O136" s="11"/>
      <c r="P136" s="11"/>
      <c r="Q136" s="11"/>
      <c r="R136" s="11"/>
      <c r="S136" s="11"/>
      <c r="T136" s="11"/>
      <c r="U136" s="11"/>
      <c r="V136" s="11"/>
    </row>
    <row r="137" spans="1:22" s="10" customFormat="1" ht="15" customHeight="1" x14ac:dyDescent="0.25">
      <c r="A137" s="14" t="s">
        <v>135</v>
      </c>
      <c r="B137" s="11">
        <f>SUM(B138:B143)</f>
        <v>512.74325200999988</v>
      </c>
      <c r="C137" s="11">
        <f t="shared" ref="C137:Q137" si="126">SUM(C138:C143)</f>
        <v>333.97023508000001</v>
      </c>
      <c r="D137" s="11">
        <f t="shared" si="126"/>
        <v>311.37699253000005</v>
      </c>
      <c r="E137" s="11">
        <f t="shared" ref="E137:E142" si="127">SUM(B137:D137)</f>
        <v>1158.09047962</v>
      </c>
      <c r="F137" s="11">
        <f t="shared" si="126"/>
        <v>517.13311191999992</v>
      </c>
      <c r="G137" s="11">
        <f t="shared" si="126"/>
        <v>338.68856443999999</v>
      </c>
      <c r="H137" s="11">
        <f t="shared" si="126"/>
        <v>375.81443895999996</v>
      </c>
      <c r="I137" s="11">
        <f t="shared" ref="I137:I142" si="128">SUM(F137:H137)</f>
        <v>1231.6361153199998</v>
      </c>
      <c r="J137" s="11">
        <f t="shared" ref="J137:J142" si="129">+E137+I137</f>
        <v>2389.7265949399998</v>
      </c>
      <c r="K137" s="11">
        <f t="shared" si="126"/>
        <v>368.54438654000006</v>
      </c>
      <c r="L137" s="11">
        <f t="shared" si="126"/>
        <v>368.24729248999995</v>
      </c>
      <c r="M137" s="11">
        <f t="shared" si="126"/>
        <v>330.97843033999987</v>
      </c>
      <c r="N137" s="11">
        <f t="shared" ref="N137:N142" si="130">SUM(K137:M137)</f>
        <v>1067.77010937</v>
      </c>
      <c r="O137" s="11">
        <f t="shared" si="126"/>
        <v>293.94684397999998</v>
      </c>
      <c r="P137" s="11">
        <f t="shared" si="126"/>
        <v>379.39854739999998</v>
      </c>
      <c r="Q137" s="11">
        <f t="shared" si="126"/>
        <v>425.73295835999994</v>
      </c>
      <c r="R137" s="11">
        <f t="shared" ref="R137:R142" si="131">SUM(O137:Q137)</f>
        <v>1099.0783497399998</v>
      </c>
      <c r="S137" s="11">
        <f t="shared" ref="S137:S142" si="132">+N137+R137</f>
        <v>2166.8484591099996</v>
      </c>
      <c r="T137" s="11">
        <f t="shared" ref="T137:T142" si="133">+J137+S137</f>
        <v>4556.5750540499994</v>
      </c>
      <c r="U137" s="11"/>
      <c r="V137" s="11"/>
    </row>
    <row r="138" spans="1:22" ht="15" customHeight="1" x14ac:dyDescent="0.3">
      <c r="A138" s="12" t="s">
        <v>136</v>
      </c>
      <c r="B138" s="8">
        <v>23.324915070000003</v>
      </c>
      <c r="C138" s="8">
        <v>19.360572879999996</v>
      </c>
      <c r="D138" s="8">
        <v>22.458919650000002</v>
      </c>
      <c r="E138" s="8">
        <f t="shared" si="127"/>
        <v>65.144407599999994</v>
      </c>
      <c r="F138" s="8">
        <v>37.801996200000005</v>
      </c>
      <c r="G138" s="8">
        <v>20.234207609999999</v>
      </c>
      <c r="H138" s="8">
        <v>29.48743726</v>
      </c>
      <c r="I138" s="8">
        <f t="shared" si="128"/>
        <v>87.523641069999996</v>
      </c>
      <c r="J138" s="8">
        <f t="shared" si="129"/>
        <v>152.66804866999999</v>
      </c>
      <c r="K138" s="8">
        <v>35.621527659999998</v>
      </c>
      <c r="L138" s="8">
        <v>34.722400519999994</v>
      </c>
      <c r="M138" s="8">
        <v>22.513881569999999</v>
      </c>
      <c r="N138" s="8">
        <f t="shared" si="130"/>
        <v>92.857809749999987</v>
      </c>
      <c r="O138" s="8">
        <v>18.910103750000001</v>
      </c>
      <c r="P138" s="8">
        <v>31.68335866</v>
      </c>
      <c r="Q138" s="8">
        <v>16.486982829999999</v>
      </c>
      <c r="R138" s="8">
        <f t="shared" si="131"/>
        <v>67.080445240000003</v>
      </c>
      <c r="S138" s="8">
        <f t="shared" si="132"/>
        <v>159.93825498999999</v>
      </c>
      <c r="T138" s="8">
        <f t="shared" si="133"/>
        <v>312.60630365999998</v>
      </c>
      <c r="U138" s="8"/>
      <c r="V138" s="8"/>
    </row>
    <row r="139" spans="1:22" ht="15" customHeight="1" x14ac:dyDescent="0.3">
      <c r="A139" s="12" t="s">
        <v>137</v>
      </c>
      <c r="B139" s="8">
        <v>84.02620927000001</v>
      </c>
      <c r="C139" s="8">
        <v>60.869331450000004</v>
      </c>
      <c r="D139" s="8">
        <v>61.657669959999993</v>
      </c>
      <c r="E139" s="8">
        <f t="shared" si="127"/>
        <v>206.55321068000001</v>
      </c>
      <c r="F139" s="8">
        <v>68.764574300000007</v>
      </c>
      <c r="G139" s="8">
        <v>63.072578269999994</v>
      </c>
      <c r="H139" s="8">
        <v>94.09250625</v>
      </c>
      <c r="I139" s="8">
        <f t="shared" si="128"/>
        <v>225.92965881999999</v>
      </c>
      <c r="J139" s="8">
        <f t="shared" si="129"/>
        <v>432.48286949999999</v>
      </c>
      <c r="K139" s="8">
        <v>76.204682259999984</v>
      </c>
      <c r="L139" s="8">
        <v>53.005586030000003</v>
      </c>
      <c r="M139" s="8">
        <v>70.775314080000015</v>
      </c>
      <c r="N139" s="8">
        <f t="shared" si="130"/>
        <v>199.98558237</v>
      </c>
      <c r="O139" s="8">
        <v>51.541088290000005</v>
      </c>
      <c r="P139" s="8">
        <v>78.655686070000002</v>
      </c>
      <c r="Q139" s="8">
        <v>88.526490059999986</v>
      </c>
      <c r="R139" s="8">
        <f t="shared" si="131"/>
        <v>218.72326441999999</v>
      </c>
      <c r="S139" s="8">
        <f t="shared" si="132"/>
        <v>418.70884679</v>
      </c>
      <c r="T139" s="8">
        <f t="shared" si="133"/>
        <v>851.19171628999993</v>
      </c>
      <c r="U139" s="8"/>
      <c r="V139" s="8"/>
    </row>
    <row r="140" spans="1:22" ht="15" customHeight="1" x14ac:dyDescent="0.3">
      <c r="A140" s="12" t="s">
        <v>138</v>
      </c>
      <c r="B140" s="8">
        <v>363.25367726999986</v>
      </c>
      <c r="C140" s="8">
        <v>196.58118684999999</v>
      </c>
      <c r="D140" s="8">
        <v>188.43301974000005</v>
      </c>
      <c r="E140" s="8">
        <f t="shared" si="127"/>
        <v>748.26788385999987</v>
      </c>
      <c r="F140" s="8">
        <v>340.24830807999996</v>
      </c>
      <c r="G140" s="8">
        <v>220.66903213999998</v>
      </c>
      <c r="H140" s="8">
        <v>203.68726663999999</v>
      </c>
      <c r="I140" s="8">
        <f t="shared" si="128"/>
        <v>764.60460685999988</v>
      </c>
      <c r="J140" s="8">
        <f t="shared" si="129"/>
        <v>1512.8724907199999</v>
      </c>
      <c r="K140" s="8">
        <v>189.05045640000003</v>
      </c>
      <c r="L140" s="8">
        <v>211.22895304999994</v>
      </c>
      <c r="M140" s="8">
        <v>198.65771511999995</v>
      </c>
      <c r="N140" s="8">
        <f t="shared" si="130"/>
        <v>598.93712456999992</v>
      </c>
      <c r="O140" s="8">
        <v>156.92561496999997</v>
      </c>
      <c r="P140" s="8">
        <v>226.28390478000003</v>
      </c>
      <c r="Q140" s="8">
        <v>242.31440434999999</v>
      </c>
      <c r="R140" s="8">
        <f t="shared" si="131"/>
        <v>625.52392410000004</v>
      </c>
      <c r="S140" s="8">
        <f t="shared" si="132"/>
        <v>1224.4610486699999</v>
      </c>
      <c r="T140" s="8">
        <f t="shared" si="133"/>
        <v>2737.3335393899997</v>
      </c>
      <c r="U140" s="8"/>
      <c r="V140" s="8"/>
    </row>
    <row r="141" spans="1:22" ht="15" customHeight="1" x14ac:dyDescent="0.3">
      <c r="A141" s="12" t="s">
        <v>139</v>
      </c>
      <c r="B141" s="8">
        <v>25.77591507</v>
      </c>
      <c r="C141" s="8">
        <v>35.04759928</v>
      </c>
      <c r="D141" s="8">
        <v>12.54950043</v>
      </c>
      <c r="E141" s="8">
        <f t="shared" si="127"/>
        <v>73.373014779999991</v>
      </c>
      <c r="F141" s="8">
        <v>41.289960109999988</v>
      </c>
      <c r="G141" s="8">
        <v>17.670803850000002</v>
      </c>
      <c r="H141" s="8">
        <v>31.954633430000001</v>
      </c>
      <c r="I141" s="8">
        <f t="shared" si="128"/>
        <v>90.915397389999995</v>
      </c>
      <c r="J141" s="8">
        <f t="shared" si="129"/>
        <v>164.28841216999999</v>
      </c>
      <c r="K141" s="8">
        <v>40.157935460000012</v>
      </c>
      <c r="L141" s="8">
        <v>47.068675290000009</v>
      </c>
      <c r="M141" s="8">
        <v>24.845623549999996</v>
      </c>
      <c r="N141" s="8">
        <f t="shared" si="130"/>
        <v>112.07223430000002</v>
      </c>
      <c r="O141" s="8">
        <v>32.021700629999998</v>
      </c>
      <c r="P141" s="8">
        <v>23.56686912</v>
      </c>
      <c r="Q141" s="8">
        <v>43.778631589999996</v>
      </c>
      <c r="R141" s="8">
        <f t="shared" si="131"/>
        <v>99.367201339999994</v>
      </c>
      <c r="S141" s="8">
        <f t="shared" si="132"/>
        <v>211.43943564</v>
      </c>
      <c r="T141" s="8">
        <f t="shared" si="133"/>
        <v>375.72784780999996</v>
      </c>
      <c r="U141" s="8"/>
      <c r="V141" s="8"/>
    </row>
    <row r="142" spans="1:22" ht="15" customHeight="1" x14ac:dyDescent="0.3">
      <c r="A142" s="12" t="s">
        <v>140</v>
      </c>
      <c r="B142" s="8">
        <v>16.362535329999996</v>
      </c>
      <c r="C142" s="8">
        <v>22.11154462</v>
      </c>
      <c r="D142" s="8">
        <v>26.277882749999996</v>
      </c>
      <c r="E142" s="8">
        <f t="shared" si="127"/>
        <v>64.751962699999993</v>
      </c>
      <c r="F142" s="8">
        <v>29.02827323</v>
      </c>
      <c r="G142" s="8">
        <v>17.04194257</v>
      </c>
      <c r="H142" s="8">
        <v>16.592595379999999</v>
      </c>
      <c r="I142" s="8">
        <f t="shared" si="128"/>
        <v>62.662811179999999</v>
      </c>
      <c r="J142" s="8">
        <f t="shared" si="129"/>
        <v>127.41477387999998</v>
      </c>
      <c r="K142" s="8">
        <v>27.509784759999995</v>
      </c>
      <c r="L142" s="8">
        <v>22.221677600000003</v>
      </c>
      <c r="M142" s="8">
        <v>14.185896019999999</v>
      </c>
      <c r="N142" s="8">
        <f t="shared" si="130"/>
        <v>63.917358379999996</v>
      </c>
      <c r="O142" s="8">
        <v>34.548336339999999</v>
      </c>
      <c r="P142" s="8">
        <v>19.20872877</v>
      </c>
      <c r="Q142" s="8">
        <v>34.626449530000002</v>
      </c>
      <c r="R142" s="8">
        <f t="shared" si="131"/>
        <v>88.383514640000001</v>
      </c>
      <c r="S142" s="8">
        <f t="shared" si="132"/>
        <v>152.30087301999998</v>
      </c>
      <c r="T142" s="8">
        <f t="shared" si="133"/>
        <v>279.71564689999997</v>
      </c>
      <c r="U142" s="8"/>
      <c r="V142" s="8"/>
    </row>
    <row r="143" spans="1:22" ht="18" customHeight="1" x14ac:dyDescent="0.3">
      <c r="A143" s="12" t="s">
        <v>141</v>
      </c>
      <c r="B143" s="8"/>
      <c r="C143" s="8"/>
      <c r="D143" s="8"/>
      <c r="E143" s="8"/>
      <c r="F143" s="8"/>
      <c r="G143" s="8"/>
      <c r="H143" s="8"/>
      <c r="I143" s="8"/>
      <c r="J143" s="8"/>
      <c r="K143" s="8"/>
      <c r="L143" s="8"/>
      <c r="M143" s="8"/>
      <c r="N143" s="8"/>
      <c r="O143" s="8"/>
      <c r="P143" s="8"/>
      <c r="Q143" s="8"/>
      <c r="R143" s="8"/>
      <c r="S143" s="8"/>
      <c r="T143" s="8"/>
      <c r="U143" s="8"/>
      <c r="V143" s="8"/>
    </row>
    <row r="144" spans="1:22" ht="15" customHeight="1" x14ac:dyDescent="0.3">
      <c r="B144" s="8"/>
      <c r="C144" s="8"/>
      <c r="D144" s="8"/>
      <c r="E144" s="8"/>
      <c r="F144" s="8"/>
      <c r="G144" s="8"/>
      <c r="H144" s="8"/>
      <c r="I144" s="8"/>
      <c r="J144" s="8"/>
      <c r="K144" s="8"/>
      <c r="L144" s="8"/>
      <c r="M144" s="8"/>
      <c r="N144" s="8"/>
      <c r="O144" s="8"/>
      <c r="P144" s="8"/>
      <c r="Q144" s="8"/>
      <c r="R144" s="8"/>
      <c r="S144" s="8"/>
      <c r="T144" s="8"/>
      <c r="U144" s="8"/>
      <c r="V144" s="8"/>
    </row>
    <row r="145" spans="1:36" s="10" customFormat="1" ht="15" customHeight="1" x14ac:dyDescent="0.25">
      <c r="A145" s="10" t="s">
        <v>142</v>
      </c>
      <c r="B145" s="11">
        <f>+B7+B25+B33+B39+B45+B56+B64+B71+B79+B86+B90+B96+B104+B111+B118+B125+B131+B137</f>
        <v>188693.04893694996</v>
      </c>
      <c r="C145" s="11">
        <f t="shared" ref="C145:Q145" si="134">+C7+C25+C33+C39+C45+C56+C64+C71+C79+C86+C90+C96+C104+C111+C118+C125+C131+C137</f>
        <v>132288.9098462</v>
      </c>
      <c r="D145" s="11">
        <f t="shared" si="134"/>
        <v>164312.93643289609</v>
      </c>
      <c r="E145" s="11">
        <f>SUM(B145:D145)</f>
        <v>485294.89521604602</v>
      </c>
      <c r="F145" s="11">
        <f t="shared" si="134"/>
        <v>231712.19115062992</v>
      </c>
      <c r="G145" s="11">
        <f t="shared" si="134"/>
        <v>212274.81882327996</v>
      </c>
      <c r="H145" s="11">
        <f t="shared" si="134"/>
        <v>169110.51023478003</v>
      </c>
      <c r="I145" s="11">
        <f>SUM(F145:H145)</f>
        <v>613097.52020868985</v>
      </c>
      <c r="J145" s="11">
        <f t="shared" ref="J145" si="135">+E145+I145</f>
        <v>1098392.4154247358</v>
      </c>
      <c r="K145" s="11">
        <f t="shared" si="134"/>
        <v>193411.10937798294</v>
      </c>
      <c r="L145" s="11">
        <f t="shared" si="134"/>
        <v>223456.79710318998</v>
      </c>
      <c r="M145" s="11">
        <f t="shared" si="134"/>
        <v>166172.06089642996</v>
      </c>
      <c r="N145" s="11">
        <f>SUM(K145:M145)</f>
        <v>583039.96737760282</v>
      </c>
      <c r="O145" s="11">
        <f t="shared" si="134"/>
        <v>183107.96241840001</v>
      </c>
      <c r="P145" s="11">
        <f t="shared" si="134"/>
        <v>229486.60101022999</v>
      </c>
      <c r="Q145" s="11">
        <f t="shared" si="134"/>
        <v>174565.44562359998</v>
      </c>
      <c r="R145" s="11">
        <f>SUM(O145:Q145)</f>
        <v>587160.00905223005</v>
      </c>
      <c r="S145" s="11">
        <f t="shared" ref="S145" si="136">+N145+R145</f>
        <v>1170199.9764298329</v>
      </c>
      <c r="T145" s="11">
        <f>+J145+S145</f>
        <v>2268592.3918545684</v>
      </c>
      <c r="U145" s="11"/>
      <c r="V145" s="11"/>
    </row>
    <row r="146" spans="1:36" ht="15" customHeight="1" x14ac:dyDescent="0.3">
      <c r="B146" s="8"/>
      <c r="C146" s="8"/>
      <c r="D146" s="8"/>
      <c r="E146" s="8"/>
      <c r="F146" s="8"/>
      <c r="G146" s="8"/>
      <c r="H146" s="8"/>
      <c r="I146" s="8"/>
      <c r="J146" s="8"/>
      <c r="K146" s="8"/>
      <c r="L146" s="8"/>
      <c r="M146" s="8"/>
      <c r="N146" s="8"/>
      <c r="O146" s="8"/>
      <c r="P146" s="8"/>
      <c r="Q146" s="8"/>
      <c r="R146" s="8"/>
      <c r="S146" s="8"/>
      <c r="T146" s="8"/>
      <c r="U146" s="8"/>
      <c r="V146" s="8"/>
    </row>
    <row r="147" spans="1:36" s="10" customFormat="1" ht="15" customHeight="1" x14ac:dyDescent="0.25">
      <c r="A147" s="10" t="s">
        <v>143</v>
      </c>
      <c r="B147" s="11">
        <v>7004.7584232800009</v>
      </c>
      <c r="C147" s="11">
        <v>4303.0721674599999</v>
      </c>
      <c r="D147" s="11">
        <v>6781.1026304899997</v>
      </c>
      <c r="E147" s="11">
        <f>SUM(B147:D147)</f>
        <v>18088.93322123</v>
      </c>
      <c r="F147" s="11">
        <v>8295.1958335700001</v>
      </c>
      <c r="G147" s="11">
        <v>4551.5975556499998</v>
      </c>
      <c r="H147" s="11">
        <v>5515.3338419400006</v>
      </c>
      <c r="I147" s="11">
        <f>SUM(F147:H147)</f>
        <v>18362.127231160001</v>
      </c>
      <c r="J147" s="11">
        <f t="shared" ref="J147" si="137">+E147+I147</f>
        <v>36451.060452389996</v>
      </c>
      <c r="K147" s="11">
        <v>4150.2563370099997</v>
      </c>
      <c r="L147" s="11">
        <v>6185.4791582999997</v>
      </c>
      <c r="M147" s="11">
        <v>8231.5932075000001</v>
      </c>
      <c r="N147" s="11">
        <f>SUM(K147:M147)</f>
        <v>18567.328702810002</v>
      </c>
      <c r="O147" s="11">
        <v>3572.0983269500002</v>
      </c>
      <c r="P147" s="11">
        <v>8524.8042480799995</v>
      </c>
      <c r="Q147" s="11">
        <v>6823.3961394100006</v>
      </c>
      <c r="R147" s="11">
        <f>SUM(O147:Q147)</f>
        <v>18920.298714439999</v>
      </c>
      <c r="S147" s="11">
        <f t="shared" ref="S147" si="138">+N147+R147</f>
        <v>37487.627417249998</v>
      </c>
      <c r="T147" s="11">
        <f>+J147+S147</f>
        <v>73938.687869639994</v>
      </c>
      <c r="U147" s="11"/>
      <c r="V147" s="11"/>
      <c r="W147" s="15"/>
      <c r="X147" s="15"/>
      <c r="Y147" s="15"/>
      <c r="Z147" s="15"/>
      <c r="AA147" s="15"/>
      <c r="AB147" s="15"/>
      <c r="AC147" s="15"/>
      <c r="AD147" s="15"/>
      <c r="AE147" s="15"/>
      <c r="AF147" s="15"/>
      <c r="AG147" s="15"/>
      <c r="AH147" s="15"/>
      <c r="AI147" s="15"/>
      <c r="AJ147" s="15"/>
    </row>
    <row r="148" spans="1:36" s="10" customFormat="1" ht="15" customHeight="1" x14ac:dyDescent="0.2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spans="1:36" s="10" customFormat="1" ht="15" customHeight="1" x14ac:dyDescent="0.25">
      <c r="A149" s="10" t="s">
        <v>144</v>
      </c>
      <c r="B149" s="15">
        <v>77.345820379996923</v>
      </c>
      <c r="C149" s="15">
        <v>15.356049270000421</v>
      </c>
      <c r="D149" s="15">
        <v>19.943514319998794</v>
      </c>
      <c r="E149" s="15">
        <f>SUM(B149:D149)</f>
        <v>112.64538396999615</v>
      </c>
      <c r="F149" s="15">
        <v>8.9055708199990082</v>
      </c>
      <c r="G149" s="15">
        <v>26.486862210003071</v>
      </c>
      <c r="H149" s="15">
        <v>921.87493598999731</v>
      </c>
      <c r="I149" s="15">
        <f>SUM(F149:H149)</f>
        <v>957.26736901999936</v>
      </c>
      <c r="J149" s="15">
        <f t="shared" ref="J149" si="139">+E149+I149</f>
        <v>1069.9127529899956</v>
      </c>
      <c r="K149" s="15">
        <v>-63.057883292994916</v>
      </c>
      <c r="L149" s="15">
        <v>-649.9715840400014</v>
      </c>
      <c r="M149" s="15">
        <v>102.86750860000181</v>
      </c>
      <c r="N149" s="15">
        <f>SUM(K149:M149)</f>
        <v>-610.16195873299455</v>
      </c>
      <c r="O149" s="15">
        <v>98.640087580002046</v>
      </c>
      <c r="P149" s="15">
        <v>-397.09678543000166</v>
      </c>
      <c r="Q149" s="15">
        <v>-9.666141949999794</v>
      </c>
      <c r="R149" s="15">
        <f>SUM(O149:Q149)</f>
        <v>-308.12283979999938</v>
      </c>
      <c r="S149" s="15">
        <f t="shared" ref="S149" si="140">+N149+R149</f>
        <v>-918.28479853299393</v>
      </c>
      <c r="T149" s="15">
        <f>+J149+S149</f>
        <v>151.62795445700169</v>
      </c>
      <c r="U149" s="15"/>
      <c r="V149" s="15"/>
      <c r="W149" s="15"/>
      <c r="X149" s="15"/>
      <c r="Y149" s="15"/>
      <c r="Z149" s="15"/>
      <c r="AA149" s="15"/>
      <c r="AB149" s="15"/>
      <c r="AC149" s="15"/>
      <c r="AD149" s="15"/>
      <c r="AE149" s="15"/>
      <c r="AF149" s="15"/>
      <c r="AG149" s="15"/>
      <c r="AH149" s="15"/>
      <c r="AI149" s="15"/>
      <c r="AJ149" s="15"/>
    </row>
    <row r="150" spans="1:36" s="10" customFormat="1" ht="15" customHeight="1" x14ac:dyDescent="0.2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spans="1:36" s="10" customFormat="1" ht="15" customHeight="1" x14ac:dyDescent="0.25">
      <c r="A151" s="10" t="s">
        <v>145</v>
      </c>
      <c r="B151" s="15">
        <f>+B145+B147+B149</f>
        <v>195775.15318060995</v>
      </c>
      <c r="C151" s="15">
        <f t="shared" ref="C151:Q151" si="141">+C145+C147+C149</f>
        <v>136607.33806292998</v>
      </c>
      <c r="D151" s="15">
        <f t="shared" si="141"/>
        <v>171113.98257770611</v>
      </c>
      <c r="E151" s="15">
        <f>SUM(B151:D151)</f>
        <v>503496.47382124607</v>
      </c>
      <c r="F151" s="15">
        <f t="shared" si="141"/>
        <v>240016.29255501993</v>
      </c>
      <c r="G151" s="15">
        <f t="shared" si="141"/>
        <v>216852.90324113995</v>
      </c>
      <c r="H151" s="15">
        <f t="shared" si="141"/>
        <v>175547.71901271003</v>
      </c>
      <c r="I151" s="15">
        <f>SUM(F151:H151)</f>
        <v>632416.91480886994</v>
      </c>
      <c r="J151" s="15">
        <f t="shared" ref="J151" si="142">+E151+I151</f>
        <v>1135913.3886301159</v>
      </c>
      <c r="K151" s="15">
        <f t="shared" si="141"/>
        <v>197498.30783169996</v>
      </c>
      <c r="L151" s="15">
        <f t="shared" si="141"/>
        <v>228992.30467744998</v>
      </c>
      <c r="M151" s="15">
        <f t="shared" si="141"/>
        <v>174506.52161252996</v>
      </c>
      <c r="N151" s="15">
        <f>SUM(K151:M151)</f>
        <v>600997.13412167993</v>
      </c>
      <c r="O151" s="15">
        <f t="shared" si="141"/>
        <v>186778.70083293002</v>
      </c>
      <c r="P151" s="15">
        <f t="shared" si="141"/>
        <v>237614.30847287999</v>
      </c>
      <c r="Q151" s="15">
        <f t="shared" si="141"/>
        <v>181379.17562105999</v>
      </c>
      <c r="R151" s="15">
        <f>SUM(O151:Q151)</f>
        <v>605772.18492686993</v>
      </c>
      <c r="S151" s="15">
        <f t="shared" ref="S151" si="143">+N151+R151</f>
        <v>1206769.31904855</v>
      </c>
      <c r="T151" s="15">
        <f>+J151+S151</f>
        <v>2342682.7076786659</v>
      </c>
      <c r="U151" s="15"/>
      <c r="V151" s="15"/>
      <c r="W151" s="15"/>
      <c r="X151" s="15"/>
      <c r="Y151" s="15"/>
      <c r="Z151" s="15"/>
      <c r="AA151" s="15"/>
      <c r="AB151" s="15"/>
      <c r="AC151" s="15"/>
      <c r="AD151" s="15"/>
      <c r="AE151" s="15"/>
      <c r="AF151" s="15"/>
      <c r="AG151" s="15"/>
      <c r="AH151" s="15"/>
      <c r="AI151" s="15"/>
      <c r="AJ151" s="15"/>
    </row>
    <row r="152" spans="1:36" s="10" customFormat="1" ht="15" customHeight="1" x14ac:dyDescent="0.2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spans="1:36" s="10" customFormat="1" ht="15" customHeight="1" x14ac:dyDescent="0.25">
      <c r="A153" s="10" t="s">
        <v>146</v>
      </c>
      <c r="B153" s="15">
        <v>0</v>
      </c>
      <c r="C153" s="15">
        <v>0</v>
      </c>
      <c r="D153" s="15">
        <v>-729.96076805999996</v>
      </c>
      <c r="E153" s="15">
        <f>SUM(B153:D153)</f>
        <v>-729.96076805999996</v>
      </c>
      <c r="F153" s="15">
        <v>-412.53536367999999</v>
      </c>
      <c r="G153" s="15">
        <v>-234.87623747999999</v>
      </c>
      <c r="H153" s="15">
        <v>-2008.1036194799999</v>
      </c>
      <c r="I153" s="15">
        <f>SUM(F153:H153)</f>
        <v>-2655.5152206399998</v>
      </c>
      <c r="J153" s="15">
        <f t="shared" ref="J153" si="144">+E153+I153</f>
        <v>-3385.4759887</v>
      </c>
      <c r="K153" s="15">
        <v>-108.16967706</v>
      </c>
      <c r="L153" s="15">
        <v>-54.776467570000001</v>
      </c>
      <c r="M153" s="15">
        <v>-876.86954516999992</v>
      </c>
      <c r="N153" s="15">
        <f>SUM(K153:M153)</f>
        <v>-1039.8156898</v>
      </c>
      <c r="O153" s="15">
        <v>-19.781895149999997</v>
      </c>
      <c r="P153" s="15">
        <v>-471.11214545000001</v>
      </c>
      <c r="Q153" s="15">
        <v>-2092.6484275600001</v>
      </c>
      <c r="R153" s="15">
        <f>SUM(O153:Q153)</f>
        <v>-2583.5424681600002</v>
      </c>
      <c r="S153" s="15">
        <f t="shared" ref="S153" si="145">+N153+R153</f>
        <v>-3623.3581579600004</v>
      </c>
      <c r="T153" s="15">
        <f>+J153+S153</f>
        <v>-7008.8341466600004</v>
      </c>
      <c r="U153" s="15"/>
      <c r="V153" s="15"/>
      <c r="W153" s="15"/>
      <c r="X153" s="15"/>
      <c r="Y153" s="15"/>
      <c r="Z153" s="15"/>
      <c r="AA153" s="15"/>
      <c r="AB153" s="15"/>
      <c r="AC153" s="15"/>
      <c r="AD153" s="15"/>
      <c r="AE153" s="15"/>
      <c r="AF153" s="15"/>
      <c r="AG153" s="15"/>
      <c r="AH153" s="15"/>
      <c r="AI153" s="15"/>
      <c r="AJ153" s="15"/>
    </row>
    <row r="154" spans="1:36" s="10" customFormat="1" ht="15" customHeight="1" x14ac:dyDescent="0.2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spans="1:36" s="10" customFormat="1" ht="15" customHeight="1" x14ac:dyDescent="0.25">
      <c r="A155" s="10" t="s">
        <v>147</v>
      </c>
      <c r="B155" s="15">
        <f>+B151+B153</f>
        <v>195775.15318060995</v>
      </c>
      <c r="C155" s="15">
        <f t="shared" ref="C155:Q155" si="146">+C151+C153</f>
        <v>136607.33806292998</v>
      </c>
      <c r="D155" s="15">
        <f t="shared" si="146"/>
        <v>170384.0218096461</v>
      </c>
      <c r="E155" s="15">
        <f>SUM(B155:D155)</f>
        <v>502766.51305318606</v>
      </c>
      <c r="F155" s="15">
        <f t="shared" si="146"/>
        <v>239603.75719133992</v>
      </c>
      <c r="G155" s="15">
        <f t="shared" si="146"/>
        <v>216618.02700365995</v>
      </c>
      <c r="H155" s="15">
        <f t="shared" si="146"/>
        <v>173539.61539323002</v>
      </c>
      <c r="I155" s="15">
        <f>SUM(F155:H155)</f>
        <v>629761.39958822983</v>
      </c>
      <c r="J155" s="15">
        <f t="shared" ref="J155" si="147">+E155+I155</f>
        <v>1132527.9126414158</v>
      </c>
      <c r="K155" s="15">
        <f t="shared" si="146"/>
        <v>197390.13815463995</v>
      </c>
      <c r="L155" s="15">
        <f t="shared" si="146"/>
        <v>228937.52820987999</v>
      </c>
      <c r="M155" s="15">
        <f t="shared" si="146"/>
        <v>173629.65206735997</v>
      </c>
      <c r="N155" s="15">
        <f>SUM(K155:M155)</f>
        <v>599957.31843187998</v>
      </c>
      <c r="O155" s="15">
        <f t="shared" si="146"/>
        <v>186758.91893778002</v>
      </c>
      <c r="P155" s="15">
        <f t="shared" si="146"/>
        <v>237143.19632742999</v>
      </c>
      <c r="Q155" s="15">
        <f t="shared" si="146"/>
        <v>179286.52719349999</v>
      </c>
      <c r="R155" s="15">
        <f>SUM(O155:Q155)</f>
        <v>603188.64245871</v>
      </c>
      <c r="S155" s="15">
        <f t="shared" ref="S155" si="148">+N155+R155</f>
        <v>1203145.96089059</v>
      </c>
      <c r="T155" s="15">
        <f>+J155+S155</f>
        <v>2335673.8735320056</v>
      </c>
      <c r="U155" s="15"/>
      <c r="V155" s="15"/>
      <c r="W155" s="15"/>
      <c r="X155" s="15"/>
      <c r="Y155" s="15"/>
      <c r="Z155" s="15"/>
      <c r="AA155" s="15"/>
      <c r="AB155" s="15"/>
      <c r="AC155" s="15"/>
      <c r="AD155" s="15"/>
      <c r="AE155" s="15"/>
      <c r="AF155" s="15"/>
      <c r="AG155" s="15"/>
      <c r="AH155" s="15"/>
      <c r="AI155" s="15"/>
      <c r="AJ155" s="15"/>
    </row>
    <row r="156" spans="1:36" s="10" customFormat="1" ht="15" customHeight="1" thickBot="1" x14ac:dyDescent="0.3">
      <c r="A156" s="16"/>
      <c r="B156" s="17"/>
      <c r="C156" s="17"/>
      <c r="D156" s="17"/>
      <c r="E156" s="17"/>
      <c r="F156" s="17"/>
      <c r="G156" s="17"/>
      <c r="H156" s="17"/>
      <c r="I156" s="17"/>
      <c r="J156" s="17"/>
      <c r="K156" s="17"/>
      <c r="L156" s="17"/>
      <c r="M156" s="17"/>
      <c r="N156" s="17"/>
      <c r="O156" s="17"/>
      <c r="P156" s="17"/>
      <c r="Q156" s="17"/>
      <c r="R156" s="17"/>
      <c r="S156" s="17"/>
      <c r="T156" s="17"/>
      <c r="U156" s="15"/>
      <c r="V156" s="15"/>
      <c r="W156" s="15"/>
      <c r="X156" s="15"/>
      <c r="Y156" s="15"/>
      <c r="Z156" s="15"/>
      <c r="AA156" s="15"/>
      <c r="AB156" s="15"/>
      <c r="AC156" s="15"/>
      <c r="AD156" s="15"/>
      <c r="AE156" s="15"/>
      <c r="AF156" s="15"/>
      <c r="AG156" s="15"/>
      <c r="AH156" s="15"/>
      <c r="AI156" s="15"/>
      <c r="AJ156" s="15"/>
    </row>
    <row r="157" spans="1:36" s="10" customFormat="1" ht="15" customHeight="1" thickTop="1" x14ac:dyDescent="0.25">
      <c r="A157" s="18" t="s">
        <v>148</v>
      </c>
      <c r="B157" s="19"/>
      <c r="C157" s="19"/>
      <c r="D157" s="19"/>
      <c r="E157" s="19"/>
      <c r="F157" s="19"/>
      <c r="G157" s="19"/>
      <c r="H157" s="19"/>
      <c r="I157" s="19"/>
      <c r="J157" s="19"/>
      <c r="K157" s="19"/>
      <c r="L157" s="19"/>
      <c r="M157" s="19"/>
      <c r="N157" s="19"/>
      <c r="O157" s="19"/>
      <c r="P157" s="19"/>
      <c r="Q157" s="19"/>
      <c r="R157" s="19"/>
      <c r="S157" s="19"/>
      <c r="T157" s="19"/>
      <c r="U157" s="15"/>
      <c r="V157" s="15"/>
      <c r="W157" s="15"/>
      <c r="X157" s="15"/>
      <c r="Y157" s="15"/>
      <c r="Z157" s="15"/>
      <c r="AA157" s="15"/>
      <c r="AB157" s="15"/>
      <c r="AC157" s="15"/>
      <c r="AD157" s="15"/>
      <c r="AE157" s="15"/>
      <c r="AF157" s="15"/>
      <c r="AG157" s="15"/>
      <c r="AH157" s="15"/>
      <c r="AI157" s="15"/>
      <c r="AJ157" s="15"/>
    </row>
    <row r="158" spans="1:36" s="10" customFormat="1" ht="15" customHeight="1" x14ac:dyDescent="0.25">
      <c r="A158" s="18"/>
      <c r="B158" s="19"/>
      <c r="C158" s="19"/>
      <c r="D158" s="19"/>
      <c r="E158" s="19"/>
      <c r="F158" s="19"/>
      <c r="G158" s="19"/>
      <c r="H158" s="19"/>
      <c r="I158" s="19"/>
      <c r="J158" s="19"/>
      <c r="K158" s="19"/>
      <c r="L158" s="19"/>
      <c r="M158" s="19"/>
      <c r="N158" s="19"/>
      <c r="O158" s="19"/>
      <c r="P158" s="19"/>
      <c r="Q158" s="19"/>
      <c r="R158" s="19"/>
      <c r="S158" s="19"/>
      <c r="T158" s="19"/>
      <c r="U158" s="15"/>
      <c r="V158" s="15"/>
      <c r="W158" s="15"/>
      <c r="X158" s="15"/>
      <c r="Y158" s="15"/>
      <c r="Z158" s="15"/>
      <c r="AA158" s="15"/>
      <c r="AB158" s="15"/>
      <c r="AC158" s="15"/>
      <c r="AD158" s="15"/>
      <c r="AE158" s="15"/>
      <c r="AF158" s="15"/>
      <c r="AG158" s="15"/>
      <c r="AH158" s="15"/>
      <c r="AI158" s="15"/>
      <c r="AJ158" s="15"/>
    </row>
    <row r="159" spans="1:36" s="10" customFormat="1" ht="15" customHeight="1" x14ac:dyDescent="0.3">
      <c r="A159" s="20" t="s">
        <v>149</v>
      </c>
      <c r="B159" s="21"/>
      <c r="C159" s="21"/>
      <c r="D159" s="21"/>
      <c r="E159" s="21"/>
      <c r="F159" s="21"/>
      <c r="G159" s="21"/>
      <c r="H159" s="21"/>
      <c r="I159" s="21"/>
      <c r="J159" s="21"/>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spans="1:36" s="10" customFormat="1" ht="15" customHeight="1" x14ac:dyDescent="0.3">
      <c r="A160" s="20" t="s">
        <v>179</v>
      </c>
      <c r="B160" s="22"/>
      <c r="C160" s="22"/>
      <c r="D160" s="22"/>
      <c r="E160" s="22"/>
      <c r="F160" s="22"/>
      <c r="G160" s="22"/>
      <c r="H160" s="22"/>
      <c r="I160" s="22"/>
      <c r="J160" s="22"/>
    </row>
    <row r="161" spans="1:10" ht="15" customHeight="1" x14ac:dyDescent="0.3">
      <c r="A161" s="23" t="s">
        <v>150</v>
      </c>
      <c r="B161" s="24"/>
      <c r="C161" s="24"/>
      <c r="D161" s="24"/>
      <c r="E161" s="24"/>
      <c r="F161" s="24"/>
      <c r="G161" s="24"/>
      <c r="H161" s="24"/>
      <c r="I161" s="24"/>
      <c r="J161" s="24"/>
    </row>
    <row r="162" spans="1:10" s="24" customFormat="1" ht="17.100000000000001" customHeight="1" x14ac:dyDescent="0.3">
      <c r="A162" s="25" t="s">
        <v>151</v>
      </c>
    </row>
    <row r="163" spans="1:10" s="24" customFormat="1" ht="17.100000000000001" customHeight="1" x14ac:dyDescent="0.3">
      <c r="A163" s="25" t="s">
        <v>152</v>
      </c>
    </row>
    <row r="164" spans="1:10" s="24" customFormat="1" ht="17.100000000000001" customHeight="1" x14ac:dyDescent="0.3">
      <c r="A164" s="25" t="s">
        <v>153</v>
      </c>
    </row>
    <row r="165" spans="1:10" s="24" customFormat="1" ht="17.100000000000001" customHeight="1" x14ac:dyDescent="0.3">
      <c r="A165" s="25" t="s">
        <v>154</v>
      </c>
    </row>
    <row r="166" spans="1:10" s="24" customFormat="1" ht="17.100000000000001" customHeight="1" x14ac:dyDescent="0.3">
      <c r="A166" s="25" t="s">
        <v>155</v>
      </c>
    </row>
    <row r="167" spans="1:10" s="24" customFormat="1" ht="15.95" customHeight="1" x14ac:dyDescent="0.3">
      <c r="A167" s="55" t="s">
        <v>156</v>
      </c>
      <c r="B167" s="55"/>
      <c r="C167" s="55"/>
      <c r="D167" s="55"/>
      <c r="E167" s="55"/>
      <c r="F167" s="55"/>
      <c r="G167" s="55"/>
      <c r="H167" s="55"/>
      <c r="I167" s="55"/>
      <c r="J167" s="55"/>
    </row>
    <row r="168" spans="1:10" s="24" customFormat="1" ht="15.95" customHeight="1" x14ac:dyDescent="0.3">
      <c r="A168" s="55"/>
      <c r="B168" s="55"/>
      <c r="C168" s="55"/>
      <c r="D168" s="55"/>
      <c r="E168" s="55"/>
      <c r="F168" s="55"/>
      <c r="G168" s="55"/>
      <c r="H168" s="55"/>
      <c r="I168" s="55"/>
      <c r="J168" s="55"/>
    </row>
    <row r="169" spans="1:10" s="24" customFormat="1" ht="17.100000000000001" customHeight="1" x14ac:dyDescent="0.3">
      <c r="A169" s="25" t="s">
        <v>157</v>
      </c>
    </row>
    <row r="170" spans="1:10" s="24" customFormat="1" ht="17.100000000000001" customHeight="1" x14ac:dyDescent="0.3">
      <c r="A170" s="25" t="s">
        <v>158</v>
      </c>
    </row>
    <row r="171" spans="1:10" s="24" customFormat="1" ht="15.95" customHeight="1" x14ac:dyDescent="0.3">
      <c r="A171" s="55" t="s">
        <v>159</v>
      </c>
      <c r="B171" s="55"/>
      <c r="C171" s="55"/>
      <c r="D171" s="55"/>
      <c r="E171" s="55"/>
      <c r="F171" s="55"/>
      <c r="G171" s="55"/>
      <c r="H171" s="55"/>
      <c r="I171" s="55"/>
      <c r="J171" s="55"/>
    </row>
    <row r="172" spans="1:10" s="24" customFormat="1" ht="15.95" customHeight="1" x14ac:dyDescent="0.3">
      <c r="A172" s="55"/>
      <c r="B172" s="55"/>
      <c r="C172" s="55"/>
      <c r="D172" s="55"/>
      <c r="E172" s="55"/>
      <c r="F172" s="55"/>
      <c r="G172" s="55"/>
      <c r="H172" s="55"/>
      <c r="I172" s="55"/>
      <c r="J172" s="55"/>
    </row>
    <row r="173" spans="1:10" s="24" customFormat="1" ht="17.100000000000001" customHeight="1" x14ac:dyDescent="0.3">
      <c r="A173" s="25" t="s">
        <v>160</v>
      </c>
    </row>
    <row r="174" spans="1:10" s="24" customFormat="1" ht="17.100000000000001" customHeight="1" x14ac:dyDescent="0.3">
      <c r="A174" s="25" t="s">
        <v>161</v>
      </c>
    </row>
    <row r="175" spans="1:10" s="24" customFormat="1" ht="17.100000000000001" customHeight="1" x14ac:dyDescent="0.3">
      <c r="A175" s="25" t="s">
        <v>162</v>
      </c>
      <c r="B175" s="25"/>
      <c r="C175" s="25"/>
      <c r="D175" s="25"/>
      <c r="E175" s="25"/>
      <c r="F175" s="25"/>
      <c r="G175" s="25"/>
      <c r="H175" s="25"/>
      <c r="I175" s="25"/>
      <c r="J175" s="25"/>
    </row>
    <row r="176" spans="1:10" s="24" customFormat="1" ht="17.100000000000001" customHeight="1" x14ac:dyDescent="0.3">
      <c r="A176" s="25" t="s">
        <v>163</v>
      </c>
    </row>
    <row r="177" spans="1:1" s="24" customFormat="1" ht="17.100000000000001" customHeight="1" x14ac:dyDescent="0.3">
      <c r="A177" s="25" t="s">
        <v>164</v>
      </c>
    </row>
    <row r="178" spans="1:1" s="24" customFormat="1" ht="13.5" x14ac:dyDescent="0.3"/>
    <row r="179" spans="1:1" s="24" customFormat="1" ht="13.5" x14ac:dyDescent="0.3"/>
    <row r="180" spans="1:1" s="24" customFormat="1" x14ac:dyDescent="0.3">
      <c r="A180" s="1"/>
    </row>
    <row r="181" spans="1:1" s="24" customFormat="1" ht="13.5" x14ac:dyDescent="0.3"/>
    <row r="182" spans="1:1" s="24" customFormat="1" ht="13.5" x14ac:dyDescent="0.3"/>
    <row r="183" spans="1:1" s="24" customFormat="1" ht="13.5" x14ac:dyDescent="0.3"/>
    <row r="184" spans="1:1" s="24" customFormat="1" ht="13.5" x14ac:dyDescent="0.3"/>
  </sheetData>
  <mergeCells count="2">
    <mergeCell ref="A167:J168"/>
    <mergeCell ref="A171:J172"/>
  </mergeCells>
  <printOptions horizontalCentered="1"/>
  <pageMargins left="0.2" right="0.2" top="0.5" bottom="0.5" header="0.3" footer="0.3"/>
  <pageSetup paperSize="14" scale="85" orientation="landscape" r:id="rId1"/>
  <headerFooter>
    <oddFooter>&amp;C&amp;"Century Gothic,Regular"&amp;8Page &amp;P of &amp;N</oddFooter>
  </headerFooter>
  <rowBreaks count="3" manualBreakCount="3">
    <brk id="78" max="16383" man="1"/>
    <brk id="110" max="16383" man="1"/>
    <brk id="14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AF065-E93F-4234-A6C1-4FD60DDE744B}">
  <dimension ref="A1:AJ184"/>
  <sheetViews>
    <sheetView workbookViewId="0">
      <selection activeCell="A3" sqref="A3"/>
    </sheetView>
  </sheetViews>
  <sheetFormatPr defaultRowHeight="14.25" x14ac:dyDescent="0.3"/>
  <cols>
    <col min="1" max="1" width="50.625" style="3" customWidth="1"/>
    <col min="2" max="20" width="11.625" style="3" customWidth="1"/>
    <col min="21" max="16384" width="9" style="3"/>
  </cols>
  <sheetData>
    <row r="1" spans="1:22" x14ac:dyDescent="0.3">
      <c r="A1" s="1" t="s">
        <v>0</v>
      </c>
      <c r="B1" s="1"/>
      <c r="C1" s="1"/>
      <c r="D1" s="1"/>
      <c r="E1" s="1"/>
      <c r="F1" s="1"/>
      <c r="G1" s="1"/>
      <c r="H1" s="1"/>
      <c r="I1" s="1"/>
      <c r="J1" s="1"/>
      <c r="K1" s="1"/>
      <c r="L1" s="1"/>
      <c r="M1" s="1"/>
      <c r="N1" s="1"/>
      <c r="O1" s="1"/>
      <c r="P1" s="1"/>
      <c r="Q1" s="1"/>
      <c r="R1" s="2"/>
      <c r="S1" s="2"/>
    </row>
    <row r="2" spans="1:22" x14ac:dyDescent="0.3">
      <c r="A2" s="1" t="s">
        <v>180</v>
      </c>
      <c r="B2" s="1"/>
      <c r="C2" s="1"/>
      <c r="D2" s="1"/>
      <c r="E2" s="1"/>
      <c r="F2" s="1"/>
      <c r="G2" s="1"/>
      <c r="H2" s="1"/>
      <c r="I2" s="1"/>
      <c r="J2" s="1"/>
      <c r="K2" s="1"/>
      <c r="L2" s="1"/>
      <c r="M2" s="1"/>
      <c r="N2" s="1"/>
      <c r="O2" s="1"/>
      <c r="P2" s="1"/>
      <c r="Q2" s="1"/>
      <c r="R2" s="2"/>
      <c r="S2" s="2"/>
    </row>
    <row r="3" spans="1:22" x14ac:dyDescent="0.3">
      <c r="A3" s="1" t="s">
        <v>1</v>
      </c>
      <c r="B3" s="1"/>
      <c r="C3" s="1"/>
      <c r="D3" s="1"/>
      <c r="E3" s="1"/>
      <c r="F3" s="1"/>
      <c r="G3" s="1"/>
      <c r="H3" s="1"/>
      <c r="I3" s="1"/>
      <c r="J3" s="1"/>
      <c r="K3" s="1"/>
      <c r="L3" s="1"/>
      <c r="M3" s="1"/>
      <c r="N3" s="1"/>
      <c r="O3" s="1"/>
      <c r="P3" s="1"/>
      <c r="Q3" s="1"/>
      <c r="R3" s="2"/>
      <c r="S3" s="2"/>
    </row>
    <row r="4" spans="1:22" ht="15" thickBot="1" x14ac:dyDescent="0.35"/>
    <row r="5" spans="1:22" s="7" customFormat="1" ht="15" thickTop="1" thickBot="1" x14ac:dyDescent="0.3">
      <c r="A5" s="4" t="s">
        <v>2</v>
      </c>
      <c r="B5" s="5" t="s">
        <v>3</v>
      </c>
      <c r="C5" s="5" t="s">
        <v>4</v>
      </c>
      <c r="D5" s="5" t="s">
        <v>5</v>
      </c>
      <c r="E5" s="5" t="s">
        <v>6</v>
      </c>
      <c r="F5" s="5" t="s">
        <v>7</v>
      </c>
      <c r="G5" s="5" t="s">
        <v>8</v>
      </c>
      <c r="H5" s="5" t="s">
        <v>9</v>
      </c>
      <c r="I5" s="5" t="s">
        <v>10</v>
      </c>
      <c r="J5" s="5" t="s">
        <v>11</v>
      </c>
      <c r="K5" s="5" t="s">
        <v>12</v>
      </c>
      <c r="L5" s="5" t="s">
        <v>13</v>
      </c>
      <c r="M5" s="5" t="s">
        <v>14</v>
      </c>
      <c r="N5" s="5" t="s">
        <v>15</v>
      </c>
      <c r="O5" s="5" t="s">
        <v>16</v>
      </c>
      <c r="P5" s="5" t="s">
        <v>17</v>
      </c>
      <c r="Q5" s="6" t="s">
        <v>18</v>
      </c>
      <c r="R5" s="5" t="s">
        <v>19</v>
      </c>
      <c r="S5" s="5" t="s">
        <v>20</v>
      </c>
      <c r="T5" s="5" t="s">
        <v>21</v>
      </c>
    </row>
    <row r="6" spans="1:22" s="9" customFormat="1" ht="15" thickTop="1" x14ac:dyDescent="0.3">
      <c r="A6" s="3"/>
      <c r="B6" s="8"/>
      <c r="C6" s="8"/>
      <c r="D6" s="8"/>
      <c r="E6" s="8"/>
      <c r="F6" s="8"/>
      <c r="G6" s="8"/>
      <c r="H6" s="8"/>
      <c r="I6" s="8"/>
      <c r="J6" s="8"/>
      <c r="K6" s="8"/>
      <c r="L6" s="8"/>
      <c r="M6" s="8"/>
      <c r="N6" s="8"/>
      <c r="O6" s="8"/>
      <c r="P6" s="8"/>
      <c r="Q6" s="8"/>
      <c r="R6" s="8"/>
      <c r="S6" s="8"/>
      <c r="T6" s="8"/>
      <c r="U6" s="8"/>
      <c r="V6" s="8"/>
    </row>
    <row r="7" spans="1:22" s="10" customFormat="1" ht="15" customHeight="1" x14ac:dyDescent="0.25">
      <c r="A7" s="10" t="s">
        <v>22</v>
      </c>
      <c r="B7" s="11">
        <f>SUM(B8:B23)</f>
        <v>187086.99968881998</v>
      </c>
      <c r="C7" s="11">
        <f t="shared" ref="C7:Q7" si="0">SUM(C8:C23)</f>
        <v>96656.358296980005</v>
      </c>
      <c r="D7" s="11">
        <f t="shared" si="0"/>
        <v>105531.73663825997</v>
      </c>
      <c r="E7" s="11">
        <f>SUM(B7:D7)</f>
        <v>389275.09462405997</v>
      </c>
      <c r="F7" s="11">
        <f t="shared" si="0"/>
        <v>273089.41700025997</v>
      </c>
      <c r="G7" s="11">
        <f t="shared" si="0"/>
        <v>169189.28328911</v>
      </c>
      <c r="H7" s="11">
        <f t="shared" si="0"/>
        <v>126967.28835456996</v>
      </c>
      <c r="I7" s="11">
        <f>SUM(F7:H7)</f>
        <v>569245.98864393996</v>
      </c>
      <c r="J7" s="11">
        <f>+E7+I7</f>
        <v>958521.08326799993</v>
      </c>
      <c r="K7" s="11">
        <f t="shared" si="0"/>
        <v>223389.39677066996</v>
      </c>
      <c r="L7" s="11">
        <f t="shared" si="0"/>
        <v>169631.99777953001</v>
      </c>
      <c r="M7" s="11">
        <f t="shared" si="0"/>
        <v>112828.20593705999</v>
      </c>
      <c r="N7" s="11">
        <f>SUM(K7:M7)</f>
        <v>505849.60048725997</v>
      </c>
      <c r="O7" s="11">
        <f t="shared" si="0"/>
        <v>220800.03151417998</v>
      </c>
      <c r="P7" s="11">
        <f t="shared" si="0"/>
        <v>167954.93317850999</v>
      </c>
      <c r="Q7" s="11">
        <f t="shared" si="0"/>
        <v>129700.07232141</v>
      </c>
      <c r="R7" s="11">
        <f>SUM(O7:Q7)</f>
        <v>518455.03701409994</v>
      </c>
      <c r="S7" s="11">
        <f>+N7+R7</f>
        <v>1024304.6375013599</v>
      </c>
      <c r="T7" s="11">
        <f>+J7+S7</f>
        <v>1982825.7207693597</v>
      </c>
      <c r="U7" s="11"/>
      <c r="V7" s="11"/>
    </row>
    <row r="8" spans="1:22" ht="15" customHeight="1" x14ac:dyDescent="0.3">
      <c r="A8" s="12" t="s">
        <v>23</v>
      </c>
      <c r="B8" s="8">
        <v>714.68098276999967</v>
      </c>
      <c r="C8" s="8">
        <v>335.89249524000002</v>
      </c>
      <c r="D8" s="8">
        <v>643.99555996999879</v>
      </c>
      <c r="E8" s="8">
        <f t="shared" ref="E8:E23" si="1">SUM(B8:D8)</f>
        <v>1694.5690379799985</v>
      </c>
      <c r="F8" s="8">
        <v>995.17017882999994</v>
      </c>
      <c r="G8" s="8">
        <v>514.86682499000005</v>
      </c>
      <c r="H8" s="8">
        <v>416.39263330999995</v>
      </c>
      <c r="I8" s="8">
        <f t="shared" ref="I8:I23" si="2">SUM(F8:H8)</f>
        <v>1926.4296371299997</v>
      </c>
      <c r="J8" s="8">
        <f t="shared" ref="J8:J71" si="3">+E8+I8</f>
        <v>3620.9986751099982</v>
      </c>
      <c r="K8" s="8">
        <v>838.01766169999848</v>
      </c>
      <c r="L8" s="8">
        <v>527.40048553000054</v>
      </c>
      <c r="M8" s="8">
        <v>401.28021543999995</v>
      </c>
      <c r="N8" s="8">
        <f t="shared" ref="N8:N23" si="4">SUM(K8:M8)</f>
        <v>1766.6983626699989</v>
      </c>
      <c r="O8" s="8">
        <v>1023.4951266300033</v>
      </c>
      <c r="P8" s="8">
        <v>605.57749060999981</v>
      </c>
      <c r="Q8" s="8">
        <v>472.34735587999984</v>
      </c>
      <c r="R8" s="8">
        <f t="shared" ref="R8:R23" si="5">SUM(O8:Q8)</f>
        <v>2101.4199731200029</v>
      </c>
      <c r="S8" s="8">
        <f t="shared" ref="S8:S71" si="6">+N8+R8</f>
        <v>3868.1183357900018</v>
      </c>
      <c r="T8" s="8">
        <f t="shared" ref="T8:T23" si="7">+J8+S8</f>
        <v>7489.1170108999995</v>
      </c>
      <c r="U8" s="8"/>
      <c r="V8" s="8"/>
    </row>
    <row r="9" spans="1:22" ht="15" customHeight="1" x14ac:dyDescent="0.3">
      <c r="A9" s="12" t="s">
        <v>24</v>
      </c>
      <c r="B9" s="8">
        <v>528.96964628000057</v>
      </c>
      <c r="C9" s="8">
        <v>322.66905061</v>
      </c>
      <c r="D9" s="8">
        <v>457.26500799999997</v>
      </c>
      <c r="E9" s="8">
        <f t="shared" si="1"/>
        <v>1308.9037048900004</v>
      </c>
      <c r="F9" s="8">
        <v>1174.86780202</v>
      </c>
      <c r="G9" s="8">
        <v>471.63115639000011</v>
      </c>
      <c r="H9" s="8">
        <v>395.45895785000016</v>
      </c>
      <c r="I9" s="8">
        <f t="shared" si="2"/>
        <v>2041.9579162600003</v>
      </c>
      <c r="J9" s="8">
        <f t="shared" si="3"/>
        <v>3350.8616211500007</v>
      </c>
      <c r="K9" s="8">
        <v>815.61020009000038</v>
      </c>
      <c r="L9" s="8">
        <v>550.11004375000039</v>
      </c>
      <c r="M9" s="8">
        <v>381.41581653000014</v>
      </c>
      <c r="N9" s="8">
        <f t="shared" si="4"/>
        <v>1747.1360603700009</v>
      </c>
      <c r="O9" s="8">
        <v>803.4910663099995</v>
      </c>
      <c r="P9" s="8">
        <v>535.14179407999995</v>
      </c>
      <c r="Q9" s="8">
        <v>344.42208630000027</v>
      </c>
      <c r="R9" s="8">
        <f t="shared" si="5"/>
        <v>1683.0549466899997</v>
      </c>
      <c r="S9" s="8">
        <f t="shared" si="6"/>
        <v>3430.1910070600006</v>
      </c>
      <c r="T9" s="8">
        <f t="shared" si="7"/>
        <v>6781.0526282100018</v>
      </c>
      <c r="U9" s="8"/>
      <c r="V9" s="8"/>
    </row>
    <row r="10" spans="1:22" ht="15" customHeight="1" x14ac:dyDescent="0.3">
      <c r="A10" s="12" t="s">
        <v>25</v>
      </c>
      <c r="B10" s="8">
        <v>11913.822894000001</v>
      </c>
      <c r="C10" s="8">
        <v>6167.2502905499987</v>
      </c>
      <c r="D10" s="8">
        <v>8816.784909009999</v>
      </c>
      <c r="E10" s="8">
        <f t="shared" si="1"/>
        <v>26897.858093559997</v>
      </c>
      <c r="F10" s="8">
        <v>18691.084207949993</v>
      </c>
      <c r="G10" s="8">
        <v>9834.7764371300036</v>
      </c>
      <c r="H10" s="8">
        <v>9337.6814570900024</v>
      </c>
      <c r="I10" s="8">
        <f t="shared" si="2"/>
        <v>37863.542102170002</v>
      </c>
      <c r="J10" s="8">
        <f t="shared" si="3"/>
        <v>64761.400195729999</v>
      </c>
      <c r="K10" s="8">
        <v>15983.88864189</v>
      </c>
      <c r="L10" s="8">
        <v>11344.262674129994</v>
      </c>
      <c r="M10" s="8">
        <v>6824.9454952399974</v>
      </c>
      <c r="N10" s="8">
        <f t="shared" si="4"/>
        <v>34153.096811259995</v>
      </c>
      <c r="O10" s="8">
        <v>13871.370201980008</v>
      </c>
      <c r="P10" s="8">
        <v>11712.591139169996</v>
      </c>
      <c r="Q10" s="8">
        <v>7564.8322841400004</v>
      </c>
      <c r="R10" s="8">
        <f t="shared" si="5"/>
        <v>33148.793625290004</v>
      </c>
      <c r="S10" s="8">
        <f t="shared" si="6"/>
        <v>67301.890436549991</v>
      </c>
      <c r="T10" s="8">
        <f t="shared" si="7"/>
        <v>132063.29063228</v>
      </c>
      <c r="U10" s="8"/>
      <c r="V10" s="8"/>
    </row>
    <row r="11" spans="1:22" ht="15" customHeight="1" x14ac:dyDescent="0.3">
      <c r="A11" s="12" t="s">
        <v>26</v>
      </c>
      <c r="B11" s="8">
        <v>392.6081286299999</v>
      </c>
      <c r="C11" s="8">
        <v>176.49098002999997</v>
      </c>
      <c r="D11" s="8">
        <v>284.87923642999999</v>
      </c>
      <c r="E11" s="8">
        <f t="shared" si="1"/>
        <v>853.97834508999983</v>
      </c>
      <c r="F11" s="8">
        <v>618.76902402000019</v>
      </c>
      <c r="G11" s="8">
        <v>283.92158002000002</v>
      </c>
      <c r="H11" s="8">
        <v>217.48903966999995</v>
      </c>
      <c r="I11" s="8">
        <f t="shared" si="2"/>
        <v>1120.1796437100002</v>
      </c>
      <c r="J11" s="8">
        <f t="shared" si="3"/>
        <v>1974.1579888000001</v>
      </c>
      <c r="K11" s="8">
        <v>531.57181949999983</v>
      </c>
      <c r="L11" s="8">
        <v>296.34557376000004</v>
      </c>
      <c r="M11" s="8">
        <v>222.18682844999998</v>
      </c>
      <c r="N11" s="8">
        <f t="shared" si="4"/>
        <v>1050.1042217099998</v>
      </c>
      <c r="O11" s="8">
        <v>589.91387371000064</v>
      </c>
      <c r="P11" s="8">
        <v>325.5980893599999</v>
      </c>
      <c r="Q11" s="8">
        <v>266.69106067000013</v>
      </c>
      <c r="R11" s="8">
        <f t="shared" si="5"/>
        <v>1182.2030237400006</v>
      </c>
      <c r="S11" s="8">
        <f t="shared" si="6"/>
        <v>2232.3072454500007</v>
      </c>
      <c r="T11" s="8">
        <f t="shared" si="7"/>
        <v>4206.4652342500012</v>
      </c>
      <c r="U11" s="8"/>
      <c r="V11" s="8"/>
    </row>
    <row r="12" spans="1:22" ht="15" customHeight="1" x14ac:dyDescent="0.3">
      <c r="A12" s="12" t="s">
        <v>27</v>
      </c>
      <c r="B12" s="8">
        <v>3006.2385792600007</v>
      </c>
      <c r="C12" s="8">
        <v>1070.6803639699999</v>
      </c>
      <c r="D12" s="8">
        <v>1247.3355051199999</v>
      </c>
      <c r="E12" s="8">
        <f t="shared" si="1"/>
        <v>5324.2544483500005</v>
      </c>
      <c r="F12" s="8">
        <v>3574.3276750900004</v>
      </c>
      <c r="G12" s="8">
        <v>2626.9868985099997</v>
      </c>
      <c r="H12" s="8">
        <v>1918.7263433900002</v>
      </c>
      <c r="I12" s="8">
        <f t="shared" si="2"/>
        <v>8120.0409169900013</v>
      </c>
      <c r="J12" s="8">
        <f t="shared" si="3"/>
        <v>13444.295365340002</v>
      </c>
      <c r="K12" s="8">
        <v>3173.8413666499991</v>
      </c>
      <c r="L12" s="8">
        <v>1869.8701686199988</v>
      </c>
      <c r="M12" s="8">
        <v>1475.5266666599987</v>
      </c>
      <c r="N12" s="8">
        <f t="shared" si="4"/>
        <v>6519.2382019299966</v>
      </c>
      <c r="O12" s="8">
        <v>3148.4827957500002</v>
      </c>
      <c r="P12" s="8">
        <v>2146.0373371799983</v>
      </c>
      <c r="Q12" s="8">
        <v>1521.3160926300004</v>
      </c>
      <c r="R12" s="8">
        <f t="shared" si="5"/>
        <v>6815.8362255599986</v>
      </c>
      <c r="S12" s="8">
        <f t="shared" si="6"/>
        <v>13335.074427489995</v>
      </c>
      <c r="T12" s="8">
        <f t="shared" si="7"/>
        <v>26779.369792829995</v>
      </c>
      <c r="U12" s="8"/>
      <c r="V12" s="8"/>
    </row>
    <row r="13" spans="1:22" ht="15" customHeight="1" x14ac:dyDescent="0.3">
      <c r="A13" s="12" t="s">
        <v>28</v>
      </c>
      <c r="B13" s="8">
        <v>5536.4570077499984</v>
      </c>
      <c r="C13" s="8">
        <v>3025.2766990200012</v>
      </c>
      <c r="D13" s="8">
        <v>3248.1984751300006</v>
      </c>
      <c r="E13" s="8">
        <f t="shared" si="1"/>
        <v>11809.9321819</v>
      </c>
      <c r="F13" s="8">
        <v>6755.7960935399979</v>
      </c>
      <c r="G13" s="8">
        <v>4405.8806115799989</v>
      </c>
      <c r="H13" s="8">
        <v>3815.8834993600003</v>
      </c>
      <c r="I13" s="8">
        <f t="shared" si="2"/>
        <v>14977.560204479996</v>
      </c>
      <c r="J13" s="8">
        <f t="shared" si="3"/>
        <v>26787.492386379996</v>
      </c>
      <c r="K13" s="8">
        <v>5218.6869075799987</v>
      </c>
      <c r="L13" s="8">
        <v>4355.6379439899993</v>
      </c>
      <c r="M13" s="8">
        <v>3513.2313875299992</v>
      </c>
      <c r="N13" s="8">
        <f t="shared" si="4"/>
        <v>13087.556239099997</v>
      </c>
      <c r="O13" s="8">
        <v>6194.5490986900004</v>
      </c>
      <c r="P13" s="8">
        <v>4266.595023339999</v>
      </c>
      <c r="Q13" s="8">
        <v>4565.0657002799971</v>
      </c>
      <c r="R13" s="8">
        <f t="shared" si="5"/>
        <v>15026.209822309997</v>
      </c>
      <c r="S13" s="8">
        <f t="shared" si="6"/>
        <v>28113.766061409995</v>
      </c>
      <c r="T13" s="8">
        <f t="shared" si="7"/>
        <v>54901.258447789995</v>
      </c>
      <c r="U13" s="8"/>
      <c r="V13" s="8"/>
    </row>
    <row r="14" spans="1:22" ht="18" customHeight="1" x14ac:dyDescent="0.3">
      <c r="A14" s="12" t="s">
        <v>29</v>
      </c>
      <c r="B14" s="8">
        <v>796.53143322999915</v>
      </c>
      <c r="C14" s="8">
        <v>488.13614834000015</v>
      </c>
      <c r="D14" s="8">
        <v>648.3106700099994</v>
      </c>
      <c r="E14" s="8">
        <f t="shared" si="1"/>
        <v>1932.9782515799989</v>
      </c>
      <c r="F14" s="8">
        <v>1327.8609052200006</v>
      </c>
      <c r="G14" s="8">
        <v>744.94837376999976</v>
      </c>
      <c r="H14" s="8">
        <v>578.88471698000012</v>
      </c>
      <c r="I14" s="8">
        <f t="shared" si="2"/>
        <v>2651.6939959700003</v>
      </c>
      <c r="J14" s="8">
        <f t="shared" si="3"/>
        <v>4584.6722475499992</v>
      </c>
      <c r="K14" s="8">
        <v>972.79994340000042</v>
      </c>
      <c r="L14" s="8">
        <v>750.58095233000029</v>
      </c>
      <c r="M14" s="8">
        <v>537.92751863999979</v>
      </c>
      <c r="N14" s="8">
        <f t="shared" si="4"/>
        <v>2261.3084143700007</v>
      </c>
      <c r="O14" s="8">
        <v>1049.0281337400002</v>
      </c>
      <c r="P14" s="8">
        <v>800.62870793000002</v>
      </c>
      <c r="Q14" s="8">
        <v>757.22814668999945</v>
      </c>
      <c r="R14" s="8">
        <f t="shared" si="5"/>
        <v>2606.8849883599996</v>
      </c>
      <c r="S14" s="8">
        <f t="shared" si="6"/>
        <v>4868.1934027300003</v>
      </c>
      <c r="T14" s="8">
        <f t="shared" si="7"/>
        <v>9452.8656502800004</v>
      </c>
      <c r="U14" s="8"/>
      <c r="V14" s="8"/>
    </row>
    <row r="15" spans="1:22" ht="15" customHeight="1" x14ac:dyDescent="0.3">
      <c r="A15" s="12" t="s">
        <v>30</v>
      </c>
      <c r="B15" s="8">
        <v>1276.4151195499999</v>
      </c>
      <c r="C15" s="8">
        <v>823.46553583000036</v>
      </c>
      <c r="D15" s="8">
        <v>1041.5416172799987</v>
      </c>
      <c r="E15" s="8">
        <f t="shared" si="1"/>
        <v>3141.4222726599992</v>
      </c>
      <c r="F15" s="8">
        <v>3093.5396806999984</v>
      </c>
      <c r="G15" s="8">
        <v>1119.1483268599998</v>
      </c>
      <c r="H15" s="8">
        <v>899.79372436999961</v>
      </c>
      <c r="I15" s="8">
        <f t="shared" si="2"/>
        <v>5112.4817319299982</v>
      </c>
      <c r="J15" s="8">
        <f t="shared" si="3"/>
        <v>8253.9040045899965</v>
      </c>
      <c r="K15" s="8">
        <v>1665.0217343099989</v>
      </c>
      <c r="L15" s="8">
        <v>1159.5645546200003</v>
      </c>
      <c r="M15" s="8">
        <v>857.96821704999968</v>
      </c>
      <c r="N15" s="8">
        <f t="shared" si="4"/>
        <v>3682.5545059799988</v>
      </c>
      <c r="O15" s="8">
        <v>1549.5015074500016</v>
      </c>
      <c r="P15" s="8">
        <v>1310.1529264800006</v>
      </c>
      <c r="Q15" s="8">
        <v>1409.1265303399998</v>
      </c>
      <c r="R15" s="8">
        <f t="shared" si="5"/>
        <v>4268.7809642700022</v>
      </c>
      <c r="S15" s="8">
        <f t="shared" si="6"/>
        <v>7951.335470250001</v>
      </c>
      <c r="T15" s="8">
        <f t="shared" si="7"/>
        <v>16205.239474839997</v>
      </c>
      <c r="U15" s="8"/>
      <c r="V15" s="8"/>
    </row>
    <row r="16" spans="1:22" ht="15" customHeight="1" x14ac:dyDescent="0.3">
      <c r="A16" s="12" t="s">
        <v>31</v>
      </c>
      <c r="B16" s="8">
        <v>1301.5995688299988</v>
      </c>
      <c r="C16" s="8">
        <v>1358.0004179299997</v>
      </c>
      <c r="D16" s="8">
        <v>1128.8199045200001</v>
      </c>
      <c r="E16" s="8">
        <f t="shared" si="1"/>
        <v>3788.4198912799984</v>
      </c>
      <c r="F16" s="8">
        <v>3294.1104476899982</v>
      </c>
      <c r="G16" s="8">
        <v>1520.9485379400003</v>
      </c>
      <c r="H16" s="8">
        <v>1102.1888996299997</v>
      </c>
      <c r="I16" s="8">
        <f t="shared" si="2"/>
        <v>5917.2478852599979</v>
      </c>
      <c r="J16" s="8">
        <f t="shared" si="3"/>
        <v>9705.6677765399963</v>
      </c>
      <c r="K16" s="8">
        <v>1983.1157034900023</v>
      </c>
      <c r="L16" s="8">
        <v>1454.9940835299988</v>
      </c>
      <c r="M16" s="8">
        <v>1153.8127502400007</v>
      </c>
      <c r="N16" s="8">
        <f t="shared" si="4"/>
        <v>4591.9225372600013</v>
      </c>
      <c r="O16" s="8">
        <v>2041.3481353900017</v>
      </c>
      <c r="P16" s="8">
        <v>1619.2012917699992</v>
      </c>
      <c r="Q16" s="8">
        <v>1116.8012580900011</v>
      </c>
      <c r="R16" s="8">
        <f t="shared" si="5"/>
        <v>4777.3506852500022</v>
      </c>
      <c r="S16" s="8">
        <f t="shared" si="6"/>
        <v>9369.2732225100044</v>
      </c>
      <c r="T16" s="8">
        <f t="shared" si="7"/>
        <v>19074.940999049999</v>
      </c>
      <c r="U16" s="8"/>
      <c r="V16" s="8"/>
    </row>
    <row r="17" spans="1:22" ht="15" customHeight="1" x14ac:dyDescent="0.3">
      <c r="A17" s="12" t="s">
        <v>32</v>
      </c>
      <c r="B17" s="8">
        <v>3698.4326164599947</v>
      </c>
      <c r="C17" s="8">
        <v>992.51737315999969</v>
      </c>
      <c r="D17" s="8">
        <v>1030.1197258400005</v>
      </c>
      <c r="E17" s="8">
        <f t="shared" si="1"/>
        <v>5721.0697154599948</v>
      </c>
      <c r="F17" s="8">
        <v>3509.3776384499974</v>
      </c>
      <c r="G17" s="8">
        <v>1638.8113933800012</v>
      </c>
      <c r="H17" s="8">
        <v>1272.1362345300004</v>
      </c>
      <c r="I17" s="8">
        <f t="shared" si="2"/>
        <v>6420.3252663599987</v>
      </c>
      <c r="J17" s="8">
        <f t="shared" si="3"/>
        <v>12141.394981819994</v>
      </c>
      <c r="K17" s="8">
        <v>3179.861802810005</v>
      </c>
      <c r="L17" s="8">
        <v>1932.8292772499992</v>
      </c>
      <c r="M17" s="8">
        <v>1267.9211452100003</v>
      </c>
      <c r="N17" s="8">
        <f t="shared" si="4"/>
        <v>6380.6122252700043</v>
      </c>
      <c r="O17" s="8">
        <v>2604.0519290300008</v>
      </c>
      <c r="P17" s="8">
        <v>1708.8637140600006</v>
      </c>
      <c r="Q17" s="8">
        <v>2220.8393889699996</v>
      </c>
      <c r="R17" s="8">
        <f t="shared" si="5"/>
        <v>6533.7550320600003</v>
      </c>
      <c r="S17" s="8">
        <f t="shared" si="6"/>
        <v>12914.367257330005</v>
      </c>
      <c r="T17" s="8">
        <f t="shared" si="7"/>
        <v>25055.762239149997</v>
      </c>
      <c r="U17" s="8"/>
      <c r="V17" s="8"/>
    </row>
    <row r="18" spans="1:22" ht="15" customHeight="1" x14ac:dyDescent="0.3">
      <c r="A18" s="12" t="s">
        <v>33</v>
      </c>
      <c r="B18" s="8">
        <v>4535.0266873300025</v>
      </c>
      <c r="C18" s="8">
        <v>2105.5559696999999</v>
      </c>
      <c r="D18" s="8">
        <v>2488.9257883799978</v>
      </c>
      <c r="E18" s="8">
        <f t="shared" si="1"/>
        <v>9129.5084454099997</v>
      </c>
      <c r="F18" s="8">
        <v>6657.780126670018</v>
      </c>
      <c r="G18" s="8">
        <v>3323.244682100003</v>
      </c>
      <c r="H18" s="8">
        <v>2739.7041425200032</v>
      </c>
      <c r="I18" s="8">
        <f t="shared" si="2"/>
        <v>12720.728951290024</v>
      </c>
      <c r="J18" s="8">
        <f t="shared" si="3"/>
        <v>21850.237396700024</v>
      </c>
      <c r="K18" s="8">
        <v>5376.3372406499902</v>
      </c>
      <c r="L18" s="8">
        <v>3666.0477339000067</v>
      </c>
      <c r="M18" s="8">
        <v>2353.7846287300003</v>
      </c>
      <c r="N18" s="8">
        <f t="shared" si="4"/>
        <v>11396.169603279997</v>
      </c>
      <c r="O18" s="8">
        <v>5736.3355891599958</v>
      </c>
      <c r="P18" s="8">
        <v>3789.1832287100001</v>
      </c>
      <c r="Q18" s="8">
        <v>2671.130355770003</v>
      </c>
      <c r="R18" s="8">
        <f t="shared" si="5"/>
        <v>12196.649173639998</v>
      </c>
      <c r="S18" s="8">
        <f t="shared" si="6"/>
        <v>23592.818776919994</v>
      </c>
      <c r="T18" s="8">
        <f t="shared" si="7"/>
        <v>45443.056173620018</v>
      </c>
      <c r="U18" s="8"/>
      <c r="V18" s="8"/>
    </row>
    <row r="19" spans="1:22" ht="15" customHeight="1" x14ac:dyDescent="0.3">
      <c r="A19" s="12" t="s">
        <v>34</v>
      </c>
      <c r="B19" s="8">
        <v>9279.748225469988</v>
      </c>
      <c r="C19" s="8">
        <v>4244.5556773699973</v>
      </c>
      <c r="D19" s="8">
        <v>5436.8796674699934</v>
      </c>
      <c r="E19" s="8">
        <f t="shared" si="1"/>
        <v>18961.183570309979</v>
      </c>
      <c r="F19" s="8">
        <v>11208.498702279998</v>
      </c>
      <c r="G19" s="8">
        <v>6622.7048182099943</v>
      </c>
      <c r="H19" s="8">
        <v>6472.2852489099996</v>
      </c>
      <c r="I19" s="8">
        <f t="shared" si="2"/>
        <v>24303.488769399992</v>
      </c>
      <c r="J19" s="8">
        <f t="shared" si="3"/>
        <v>43264.67233970997</v>
      </c>
      <c r="K19" s="8">
        <v>9240.1123158700011</v>
      </c>
      <c r="L19" s="8">
        <v>7249.519049399998</v>
      </c>
      <c r="M19" s="8">
        <v>5701.2449550099991</v>
      </c>
      <c r="N19" s="8">
        <f t="shared" si="4"/>
        <v>22190.876320279996</v>
      </c>
      <c r="O19" s="8">
        <v>10398.587314120003</v>
      </c>
      <c r="P19" s="8">
        <v>7732.3605101499998</v>
      </c>
      <c r="Q19" s="8">
        <v>6836.1258508500005</v>
      </c>
      <c r="R19" s="8">
        <f t="shared" si="5"/>
        <v>24967.073675120002</v>
      </c>
      <c r="S19" s="8">
        <f t="shared" si="6"/>
        <v>47157.949995399998</v>
      </c>
      <c r="T19" s="8">
        <f t="shared" si="7"/>
        <v>90422.622335109976</v>
      </c>
      <c r="U19" s="8"/>
      <c r="V19" s="8"/>
    </row>
    <row r="20" spans="1:22" ht="15" customHeight="1" x14ac:dyDescent="0.3">
      <c r="A20" s="12" t="s">
        <v>35</v>
      </c>
      <c r="B20" s="8">
        <v>673.17747007000003</v>
      </c>
      <c r="C20" s="8">
        <v>361.35703762000009</v>
      </c>
      <c r="D20" s="8">
        <v>485.67843026000025</v>
      </c>
      <c r="E20" s="8">
        <f t="shared" si="1"/>
        <v>1520.2129379500002</v>
      </c>
      <c r="F20" s="8">
        <v>1271.6824275099998</v>
      </c>
      <c r="G20" s="8">
        <v>542.1586209699999</v>
      </c>
      <c r="H20" s="8">
        <v>364.20140227000007</v>
      </c>
      <c r="I20" s="8">
        <f t="shared" si="2"/>
        <v>2178.0424507499997</v>
      </c>
      <c r="J20" s="8">
        <f t="shared" si="3"/>
        <v>3698.2553886999999</v>
      </c>
      <c r="K20" s="8">
        <v>910.30694237999887</v>
      </c>
      <c r="L20" s="8">
        <v>522.57466380999983</v>
      </c>
      <c r="M20" s="8">
        <v>358.54535324999989</v>
      </c>
      <c r="N20" s="8">
        <f t="shared" si="4"/>
        <v>1791.4269594399987</v>
      </c>
      <c r="O20" s="8">
        <v>988.11062151999943</v>
      </c>
      <c r="P20" s="8">
        <v>635.39307603999907</v>
      </c>
      <c r="Q20" s="8">
        <v>388.24898669999959</v>
      </c>
      <c r="R20" s="8">
        <f t="shared" si="5"/>
        <v>2011.7526842599982</v>
      </c>
      <c r="S20" s="8">
        <f t="shared" si="6"/>
        <v>3803.1796436999966</v>
      </c>
      <c r="T20" s="8">
        <f t="shared" si="7"/>
        <v>7501.435032399997</v>
      </c>
      <c r="U20" s="8"/>
      <c r="V20" s="8"/>
    </row>
    <row r="21" spans="1:22" ht="15" customHeight="1" x14ac:dyDescent="0.3">
      <c r="A21" s="12" t="s">
        <v>36</v>
      </c>
      <c r="B21" s="8">
        <v>6939.2132241400213</v>
      </c>
      <c r="C21" s="8">
        <v>3660.3117087300047</v>
      </c>
      <c r="D21" s="8">
        <v>4289.5893993299997</v>
      </c>
      <c r="E21" s="8">
        <f t="shared" si="1"/>
        <v>14889.114332200026</v>
      </c>
      <c r="F21" s="8">
        <v>9564.1325345700152</v>
      </c>
      <c r="G21" s="8">
        <v>6447.9799709399977</v>
      </c>
      <c r="H21" s="8">
        <v>4171.348212029965</v>
      </c>
      <c r="I21" s="8">
        <f t="shared" si="2"/>
        <v>20183.46071753998</v>
      </c>
      <c r="J21" s="8">
        <f t="shared" si="3"/>
        <v>35072.575049740008</v>
      </c>
      <c r="K21" s="8">
        <v>7931.3926932399872</v>
      </c>
      <c r="L21" s="8">
        <v>6460.2399242800029</v>
      </c>
      <c r="M21" s="8">
        <v>4227.3857468300002</v>
      </c>
      <c r="N21" s="8">
        <f t="shared" si="4"/>
        <v>18619.018364349991</v>
      </c>
      <c r="O21" s="8">
        <v>8463.2672373699861</v>
      </c>
      <c r="P21" s="8">
        <v>6280.1402951900063</v>
      </c>
      <c r="Q21" s="8">
        <v>5046.1478039699987</v>
      </c>
      <c r="R21" s="8">
        <f t="shared" si="5"/>
        <v>19789.555336529989</v>
      </c>
      <c r="S21" s="8">
        <f t="shared" si="6"/>
        <v>38408.573700879977</v>
      </c>
      <c r="T21" s="8">
        <f t="shared" si="7"/>
        <v>73481.148750619992</v>
      </c>
      <c r="U21" s="8"/>
      <c r="V21" s="8"/>
    </row>
    <row r="22" spans="1:22" ht="15" customHeight="1" x14ac:dyDescent="0.3">
      <c r="A22" s="12" t="s">
        <v>37</v>
      </c>
      <c r="B22" s="8">
        <v>555.97740320999981</v>
      </c>
      <c r="C22" s="8">
        <v>366.86807941999996</v>
      </c>
      <c r="D22" s="8">
        <v>501.60369750000007</v>
      </c>
      <c r="E22" s="8">
        <f t="shared" si="1"/>
        <v>1424.4491801299998</v>
      </c>
      <c r="F22" s="8">
        <v>883.40402296999957</v>
      </c>
      <c r="G22" s="8">
        <v>440.35013901000013</v>
      </c>
      <c r="H22" s="8">
        <v>402.24903248999988</v>
      </c>
      <c r="I22" s="8">
        <f t="shared" si="2"/>
        <v>1726.0031944699995</v>
      </c>
      <c r="J22" s="8">
        <f t="shared" si="3"/>
        <v>3150.4523745999995</v>
      </c>
      <c r="K22" s="8">
        <v>788.04238017000034</v>
      </c>
      <c r="L22" s="8">
        <v>530.44001375000005</v>
      </c>
      <c r="M22" s="8">
        <v>357.36548658999988</v>
      </c>
      <c r="N22" s="8">
        <f t="shared" si="4"/>
        <v>1675.8478805100003</v>
      </c>
      <c r="O22" s="8">
        <v>840.39895761999958</v>
      </c>
      <c r="P22" s="8">
        <v>515.26594749999981</v>
      </c>
      <c r="Q22" s="8">
        <v>397.15886524999996</v>
      </c>
      <c r="R22" s="8">
        <f t="shared" si="5"/>
        <v>1752.8237703699992</v>
      </c>
      <c r="S22" s="8">
        <f t="shared" si="6"/>
        <v>3428.6716508799996</v>
      </c>
      <c r="T22" s="8">
        <f t="shared" si="7"/>
        <v>6579.1240254799995</v>
      </c>
      <c r="U22" s="8"/>
      <c r="V22" s="8"/>
    </row>
    <row r="23" spans="1:22" ht="18" customHeight="1" x14ac:dyDescent="0.3">
      <c r="A23" s="12" t="s">
        <v>38</v>
      </c>
      <c r="B23" s="8">
        <v>135938.10070183998</v>
      </c>
      <c r="C23" s="8">
        <v>71157.330469459994</v>
      </c>
      <c r="D23" s="8">
        <v>73781.809044009991</v>
      </c>
      <c r="E23" s="8">
        <f t="shared" si="1"/>
        <v>280877.24021530995</v>
      </c>
      <c r="F23" s="8">
        <v>200469.01553274997</v>
      </c>
      <c r="G23" s="8">
        <v>128650.92491731001</v>
      </c>
      <c r="H23" s="8">
        <v>92862.864810169995</v>
      </c>
      <c r="I23" s="8">
        <f t="shared" si="2"/>
        <v>421982.80526022997</v>
      </c>
      <c r="J23" s="8">
        <f t="shared" si="3"/>
        <v>702860.04547553998</v>
      </c>
      <c r="K23" s="8">
        <v>164780.78941693998</v>
      </c>
      <c r="L23" s="8">
        <v>126961.58063688</v>
      </c>
      <c r="M23" s="8">
        <v>83193.663725659993</v>
      </c>
      <c r="N23" s="8">
        <f t="shared" si="4"/>
        <v>374936.03377947997</v>
      </c>
      <c r="O23" s="8">
        <v>161498.09992570998</v>
      </c>
      <c r="P23" s="8">
        <v>123972.20260694002</v>
      </c>
      <c r="Q23" s="8">
        <v>94122.590554880007</v>
      </c>
      <c r="R23" s="8">
        <f t="shared" si="5"/>
        <v>379592.89308753004</v>
      </c>
      <c r="S23" s="8">
        <f t="shared" si="6"/>
        <v>754528.92686701007</v>
      </c>
      <c r="T23" s="8">
        <f t="shared" si="7"/>
        <v>1457388.9723425501</v>
      </c>
      <c r="U23" s="8"/>
      <c r="V23" s="8"/>
    </row>
    <row r="24" spans="1:22" s="10" customFormat="1" ht="15" customHeight="1" x14ac:dyDescent="0.3">
      <c r="A24" s="3"/>
      <c r="B24" s="11"/>
      <c r="C24" s="11"/>
      <c r="D24" s="11"/>
      <c r="E24" s="11"/>
      <c r="F24" s="11"/>
      <c r="G24" s="11"/>
      <c r="H24" s="11"/>
      <c r="I24" s="11"/>
      <c r="J24" s="11"/>
      <c r="K24" s="11"/>
      <c r="L24" s="11"/>
      <c r="M24" s="11"/>
      <c r="N24" s="11"/>
      <c r="O24" s="11"/>
      <c r="P24" s="11"/>
      <c r="Q24" s="11"/>
      <c r="R24" s="11"/>
      <c r="S24" s="11"/>
      <c r="T24" s="11"/>
      <c r="U24" s="11"/>
      <c r="V24" s="11"/>
    </row>
    <row r="25" spans="1:22" s="10" customFormat="1" ht="15" customHeight="1" x14ac:dyDescent="0.25">
      <c r="A25" s="10" t="s">
        <v>39</v>
      </c>
      <c r="B25" s="11">
        <f>SUM(B26:B31)</f>
        <v>885.58974476000026</v>
      </c>
      <c r="C25" s="11">
        <f t="shared" ref="C25:Q25" si="8">SUM(C26:C31)</f>
        <v>540.52557263999961</v>
      </c>
      <c r="D25" s="11">
        <f t="shared" si="8"/>
        <v>754.22315720999995</v>
      </c>
      <c r="E25" s="11">
        <f t="shared" ref="E25:E31" si="9">SUM(B25:D25)</f>
        <v>2180.33847461</v>
      </c>
      <c r="F25" s="11">
        <f t="shared" si="8"/>
        <v>1003.8307965800001</v>
      </c>
      <c r="G25" s="11">
        <f t="shared" si="8"/>
        <v>780.55368326000018</v>
      </c>
      <c r="H25" s="11">
        <f t="shared" si="8"/>
        <v>727.43094182999994</v>
      </c>
      <c r="I25" s="11">
        <f t="shared" ref="I25:I31" si="10">SUM(F25:H25)</f>
        <v>2511.8154216700004</v>
      </c>
      <c r="J25" s="11">
        <f t="shared" si="3"/>
        <v>4692.1538962800005</v>
      </c>
      <c r="K25" s="11">
        <f t="shared" si="8"/>
        <v>1046.1015082500001</v>
      </c>
      <c r="L25" s="11">
        <f t="shared" si="8"/>
        <v>820.51438154999983</v>
      </c>
      <c r="M25" s="11">
        <f t="shared" si="8"/>
        <v>788.4274384099997</v>
      </c>
      <c r="N25" s="11">
        <f t="shared" ref="N25:N31" si="11">SUM(K25:M25)</f>
        <v>2655.0433282099993</v>
      </c>
      <c r="O25" s="11">
        <f t="shared" si="8"/>
        <v>1113.0730094200001</v>
      </c>
      <c r="P25" s="11">
        <f t="shared" si="8"/>
        <v>729.39666348999981</v>
      </c>
      <c r="Q25" s="11">
        <f t="shared" si="8"/>
        <v>1171.9826435229998</v>
      </c>
      <c r="R25" s="11">
        <f t="shared" ref="R25:R31" si="12">SUM(O25:Q25)</f>
        <v>3014.4523164329994</v>
      </c>
      <c r="S25" s="11">
        <f t="shared" si="6"/>
        <v>5669.4956446429987</v>
      </c>
      <c r="T25" s="11">
        <f t="shared" ref="T25:T31" si="13">+J25+S25</f>
        <v>10361.649540922999</v>
      </c>
      <c r="U25" s="11"/>
      <c r="V25" s="11"/>
    </row>
    <row r="26" spans="1:22" ht="15" customHeight="1" x14ac:dyDescent="0.3">
      <c r="A26" s="12" t="s">
        <v>40</v>
      </c>
      <c r="B26" s="8">
        <v>92.683928449999968</v>
      </c>
      <c r="C26" s="8">
        <v>98.762192539999987</v>
      </c>
      <c r="D26" s="8">
        <v>109.65915773000002</v>
      </c>
      <c r="E26" s="8">
        <f t="shared" si="9"/>
        <v>301.10527871999994</v>
      </c>
      <c r="F26" s="8">
        <v>94.506345180000011</v>
      </c>
      <c r="G26" s="8">
        <v>74.342742879999989</v>
      </c>
      <c r="H26" s="8">
        <v>105.62973442000001</v>
      </c>
      <c r="I26" s="8">
        <f t="shared" si="10"/>
        <v>274.47882247999996</v>
      </c>
      <c r="J26" s="8">
        <f t="shared" si="3"/>
        <v>575.58410119999985</v>
      </c>
      <c r="K26" s="8">
        <v>215.88641896999999</v>
      </c>
      <c r="L26" s="8">
        <v>132.75811230000002</v>
      </c>
      <c r="M26" s="8">
        <v>129.95012628000001</v>
      </c>
      <c r="N26" s="8">
        <f t="shared" si="11"/>
        <v>478.59465755000002</v>
      </c>
      <c r="O26" s="8">
        <v>119.8118125</v>
      </c>
      <c r="P26" s="8">
        <v>51.761627189999999</v>
      </c>
      <c r="Q26" s="8">
        <v>308.19182084999994</v>
      </c>
      <c r="R26" s="8">
        <f t="shared" si="12"/>
        <v>479.76526053999993</v>
      </c>
      <c r="S26" s="8">
        <f t="shared" si="6"/>
        <v>958.35991808999995</v>
      </c>
      <c r="T26" s="8">
        <f t="shared" si="13"/>
        <v>1533.9440192899997</v>
      </c>
      <c r="U26" s="8"/>
      <c r="V26" s="8"/>
    </row>
    <row r="27" spans="1:22" ht="15" customHeight="1" x14ac:dyDescent="0.3">
      <c r="A27" s="12" t="s">
        <v>41</v>
      </c>
      <c r="B27" s="8">
        <v>148.32286043000002</v>
      </c>
      <c r="C27" s="8">
        <v>69.092866509999993</v>
      </c>
      <c r="D27" s="8">
        <v>80.607825630000008</v>
      </c>
      <c r="E27" s="8">
        <f t="shared" si="9"/>
        <v>298.02355256999999</v>
      </c>
      <c r="F27" s="8">
        <v>160.03824843000001</v>
      </c>
      <c r="G27" s="8">
        <v>119.99120150000002</v>
      </c>
      <c r="H27" s="8">
        <v>95.978819779999995</v>
      </c>
      <c r="I27" s="8">
        <f t="shared" si="10"/>
        <v>376.00826971000004</v>
      </c>
      <c r="J27" s="8">
        <f t="shared" si="3"/>
        <v>674.03182228000003</v>
      </c>
      <c r="K27" s="8">
        <v>205.62826826</v>
      </c>
      <c r="L27" s="8">
        <v>136.46188687</v>
      </c>
      <c r="M27" s="8">
        <v>130.39091972999998</v>
      </c>
      <c r="N27" s="8">
        <f t="shared" si="11"/>
        <v>472.48107485999992</v>
      </c>
      <c r="O27" s="8">
        <v>171.38467866999997</v>
      </c>
      <c r="P27" s="8">
        <v>79.264810530000005</v>
      </c>
      <c r="Q27" s="8">
        <v>150.25170781999998</v>
      </c>
      <c r="R27" s="8">
        <f t="shared" si="12"/>
        <v>400.90119701999993</v>
      </c>
      <c r="S27" s="8">
        <f t="shared" si="6"/>
        <v>873.38227187999985</v>
      </c>
      <c r="T27" s="8">
        <f t="shared" si="13"/>
        <v>1547.4140941599999</v>
      </c>
      <c r="U27" s="8"/>
      <c r="V27" s="8"/>
    </row>
    <row r="28" spans="1:22" ht="15" customHeight="1" x14ac:dyDescent="0.3">
      <c r="A28" s="12" t="s">
        <v>42</v>
      </c>
      <c r="B28" s="8">
        <v>129.02570387000006</v>
      </c>
      <c r="C28" s="8">
        <v>98.645676840000021</v>
      </c>
      <c r="D28" s="8">
        <v>116.70949194999999</v>
      </c>
      <c r="E28" s="8">
        <f t="shared" si="9"/>
        <v>344.38087266000008</v>
      </c>
      <c r="F28" s="8">
        <v>132.73596697000002</v>
      </c>
      <c r="G28" s="8">
        <v>105.71798717999998</v>
      </c>
      <c r="H28" s="8">
        <v>130.7492479900001</v>
      </c>
      <c r="I28" s="8">
        <f t="shared" si="10"/>
        <v>369.20320214000014</v>
      </c>
      <c r="J28" s="8">
        <f t="shared" si="3"/>
        <v>713.58407480000028</v>
      </c>
      <c r="K28" s="8">
        <v>128.60633987</v>
      </c>
      <c r="L28" s="8">
        <v>129.72612381000002</v>
      </c>
      <c r="M28" s="8">
        <v>107.28828064999999</v>
      </c>
      <c r="N28" s="8">
        <f t="shared" si="11"/>
        <v>365.62074433000004</v>
      </c>
      <c r="O28" s="8">
        <v>134.47922578000001</v>
      </c>
      <c r="P28" s="8">
        <v>118.23448629999996</v>
      </c>
      <c r="Q28" s="8">
        <v>149.15485489</v>
      </c>
      <c r="R28" s="8">
        <f t="shared" si="12"/>
        <v>401.86856696999996</v>
      </c>
      <c r="S28" s="8">
        <f t="shared" si="6"/>
        <v>767.48931130000005</v>
      </c>
      <c r="T28" s="8">
        <f t="shared" si="13"/>
        <v>1481.0733861000003</v>
      </c>
      <c r="U28" s="8"/>
      <c r="V28" s="8"/>
    </row>
    <row r="29" spans="1:22" ht="15" customHeight="1" x14ac:dyDescent="0.3">
      <c r="A29" s="12" t="s">
        <v>43</v>
      </c>
      <c r="B29" s="8">
        <v>56.032316170000001</v>
      </c>
      <c r="C29" s="8">
        <v>35.451594909999997</v>
      </c>
      <c r="D29" s="8">
        <v>41.867582490000004</v>
      </c>
      <c r="E29" s="8">
        <f t="shared" si="9"/>
        <v>133.35149357</v>
      </c>
      <c r="F29" s="8">
        <v>44.05365244</v>
      </c>
      <c r="G29" s="8">
        <v>46.102677319999998</v>
      </c>
      <c r="H29" s="8">
        <v>36.899166150000006</v>
      </c>
      <c r="I29" s="8">
        <f t="shared" si="10"/>
        <v>127.05549591000002</v>
      </c>
      <c r="J29" s="8">
        <f t="shared" si="3"/>
        <v>260.40698947999999</v>
      </c>
      <c r="K29" s="8">
        <v>42.461421869999995</v>
      </c>
      <c r="L29" s="8">
        <v>50.755032509999999</v>
      </c>
      <c r="M29" s="8">
        <v>38.687501920000003</v>
      </c>
      <c r="N29" s="8">
        <f t="shared" si="11"/>
        <v>131.9039563</v>
      </c>
      <c r="O29" s="8">
        <v>56.251551190000001</v>
      </c>
      <c r="P29" s="8">
        <v>35.609505169999998</v>
      </c>
      <c r="Q29" s="8">
        <v>65.474608869999997</v>
      </c>
      <c r="R29" s="8">
        <f t="shared" si="12"/>
        <v>157.33566522999999</v>
      </c>
      <c r="S29" s="8">
        <f t="shared" si="6"/>
        <v>289.23962153000002</v>
      </c>
      <c r="T29" s="8">
        <f t="shared" si="13"/>
        <v>549.64661101000002</v>
      </c>
      <c r="U29" s="8"/>
      <c r="V29" s="8"/>
    </row>
    <row r="30" spans="1:22" ht="15" customHeight="1" x14ac:dyDescent="0.3">
      <c r="A30" s="12" t="s">
        <v>44</v>
      </c>
      <c r="B30" s="8">
        <v>61.269839130000001</v>
      </c>
      <c r="C30" s="8">
        <v>35.417168849999996</v>
      </c>
      <c r="D30" s="8">
        <v>34.986951260000005</v>
      </c>
      <c r="E30" s="8">
        <f t="shared" si="9"/>
        <v>131.67395924000002</v>
      </c>
      <c r="F30" s="8">
        <v>60.257854590000001</v>
      </c>
      <c r="G30" s="8">
        <v>51.240043710000002</v>
      </c>
      <c r="H30" s="8">
        <v>44.82315011</v>
      </c>
      <c r="I30" s="8">
        <f t="shared" si="10"/>
        <v>156.32104841</v>
      </c>
      <c r="J30" s="8">
        <f t="shared" si="3"/>
        <v>287.99500765000005</v>
      </c>
      <c r="K30" s="8">
        <v>57.276807379999994</v>
      </c>
      <c r="L30" s="8">
        <v>36.995689149999997</v>
      </c>
      <c r="M30" s="8">
        <v>43.452777600000005</v>
      </c>
      <c r="N30" s="8">
        <f t="shared" si="11"/>
        <v>137.72527413</v>
      </c>
      <c r="O30" s="8">
        <v>60.151865610000002</v>
      </c>
      <c r="P30" s="8">
        <v>36.654439769999996</v>
      </c>
      <c r="Q30" s="8">
        <v>85.986569122999882</v>
      </c>
      <c r="R30" s="8">
        <f t="shared" si="12"/>
        <v>182.79287450299989</v>
      </c>
      <c r="S30" s="8">
        <f t="shared" si="6"/>
        <v>320.5181486329999</v>
      </c>
      <c r="T30" s="8">
        <f t="shared" si="13"/>
        <v>608.51315628299994</v>
      </c>
      <c r="U30" s="8"/>
      <c r="V30" s="8"/>
    </row>
    <row r="31" spans="1:22" ht="15" customHeight="1" x14ac:dyDescent="0.3">
      <c r="A31" s="12" t="s">
        <v>45</v>
      </c>
      <c r="B31" s="8">
        <v>398.25509671000026</v>
      </c>
      <c r="C31" s="8">
        <v>203.15607298999967</v>
      </c>
      <c r="D31" s="8">
        <v>370.39214814999997</v>
      </c>
      <c r="E31" s="8">
        <f t="shared" si="9"/>
        <v>971.80331784999998</v>
      </c>
      <c r="F31" s="8">
        <v>512.23872897000001</v>
      </c>
      <c r="G31" s="8">
        <v>383.15903067000022</v>
      </c>
      <c r="H31" s="8">
        <v>313.35082337999989</v>
      </c>
      <c r="I31" s="8">
        <f t="shared" si="10"/>
        <v>1208.7485830200001</v>
      </c>
      <c r="J31" s="8">
        <f t="shared" si="3"/>
        <v>2180.5519008700003</v>
      </c>
      <c r="K31" s="8">
        <v>396.24225190000004</v>
      </c>
      <c r="L31" s="8">
        <v>333.81753690999983</v>
      </c>
      <c r="M31" s="8">
        <v>338.65783222999966</v>
      </c>
      <c r="N31" s="8">
        <f t="shared" si="11"/>
        <v>1068.7176210399996</v>
      </c>
      <c r="O31" s="8">
        <v>570.99387567000019</v>
      </c>
      <c r="P31" s="8">
        <v>407.87179452999982</v>
      </c>
      <c r="Q31" s="8">
        <v>412.92308197000006</v>
      </c>
      <c r="R31" s="8">
        <f t="shared" si="12"/>
        <v>1391.7887521700002</v>
      </c>
      <c r="S31" s="8">
        <f t="shared" si="6"/>
        <v>2460.5063732099998</v>
      </c>
      <c r="T31" s="8">
        <f t="shared" si="13"/>
        <v>4641.05827408</v>
      </c>
      <c r="U31" s="8"/>
      <c r="V31" s="8"/>
    </row>
    <row r="32" spans="1:22" s="10" customFormat="1" ht="15" customHeight="1" x14ac:dyDescent="0.3">
      <c r="A32" s="3"/>
      <c r="B32" s="11"/>
      <c r="C32" s="11"/>
      <c r="D32" s="11"/>
      <c r="E32" s="11"/>
      <c r="F32" s="11"/>
      <c r="G32" s="11"/>
      <c r="H32" s="11"/>
      <c r="I32" s="11"/>
      <c r="J32" s="11"/>
      <c r="K32" s="11"/>
      <c r="L32" s="11"/>
      <c r="M32" s="11"/>
      <c r="N32" s="11"/>
      <c r="O32" s="11"/>
      <c r="P32" s="11"/>
      <c r="Q32" s="11"/>
      <c r="R32" s="11"/>
      <c r="S32" s="11"/>
      <c r="T32" s="11"/>
      <c r="U32" s="11"/>
      <c r="V32" s="11"/>
    </row>
    <row r="33" spans="1:22" s="10" customFormat="1" ht="15" customHeight="1" x14ac:dyDescent="0.25">
      <c r="A33" s="10" t="s">
        <v>46</v>
      </c>
      <c r="B33" s="11">
        <f>SUM(B34:B37)</f>
        <v>1989.1747634800001</v>
      </c>
      <c r="C33" s="11">
        <f t="shared" ref="C33:Q33" si="14">SUM(C34:C37)</f>
        <v>1000.9163099199999</v>
      </c>
      <c r="D33" s="11">
        <f t="shared" si="14"/>
        <v>1322.5463699400002</v>
      </c>
      <c r="E33" s="11">
        <f t="shared" ref="E33:E37" si="15">SUM(B33:D33)</f>
        <v>4312.6374433399997</v>
      </c>
      <c r="F33" s="11">
        <f t="shared" si="14"/>
        <v>1980.7245199999998</v>
      </c>
      <c r="G33" s="11">
        <f t="shared" si="14"/>
        <v>1548.6409866200001</v>
      </c>
      <c r="H33" s="11">
        <f t="shared" si="14"/>
        <v>1438.0966904899999</v>
      </c>
      <c r="I33" s="11">
        <f t="shared" ref="I33:I37" si="16">SUM(F33:H33)</f>
        <v>4967.4621971099996</v>
      </c>
      <c r="J33" s="11">
        <f t="shared" si="3"/>
        <v>9280.0996404500002</v>
      </c>
      <c r="K33" s="11">
        <f t="shared" si="14"/>
        <v>1929.73996485</v>
      </c>
      <c r="L33" s="11">
        <f t="shared" si="14"/>
        <v>1734.5306295199998</v>
      </c>
      <c r="M33" s="11">
        <f t="shared" si="14"/>
        <v>1330.0799731299999</v>
      </c>
      <c r="N33" s="11">
        <f t="shared" ref="N33:N37" si="17">SUM(K33:M33)</f>
        <v>4994.3505674999997</v>
      </c>
      <c r="O33" s="11">
        <f t="shared" si="14"/>
        <v>2121.6890774600001</v>
      </c>
      <c r="P33" s="11">
        <f t="shared" si="14"/>
        <v>1568.4700230399997</v>
      </c>
      <c r="Q33" s="11">
        <f t="shared" si="14"/>
        <v>1367.9410342399999</v>
      </c>
      <c r="R33" s="11">
        <f t="shared" ref="R33:R37" si="18">SUM(O33:Q33)</f>
        <v>5058.1001347399997</v>
      </c>
      <c r="S33" s="11">
        <f t="shared" si="6"/>
        <v>10052.450702239999</v>
      </c>
      <c r="T33" s="11">
        <f t="shared" ref="T33:T37" si="19">+J33+S33</f>
        <v>19332.55034269</v>
      </c>
      <c r="U33" s="11"/>
      <c r="V33" s="11"/>
    </row>
    <row r="34" spans="1:22" ht="15" customHeight="1" x14ac:dyDescent="0.3">
      <c r="A34" s="12" t="s">
        <v>47</v>
      </c>
      <c r="B34" s="8">
        <v>471.89482696999988</v>
      </c>
      <c r="C34" s="8">
        <v>133.85881030000004</v>
      </c>
      <c r="D34" s="8">
        <v>257.00387099</v>
      </c>
      <c r="E34" s="8">
        <f t="shared" si="15"/>
        <v>862.7575082599999</v>
      </c>
      <c r="F34" s="8">
        <v>238.74702654999996</v>
      </c>
      <c r="G34" s="8">
        <v>240.43259355000001</v>
      </c>
      <c r="H34" s="8">
        <v>240.11249798999989</v>
      </c>
      <c r="I34" s="8">
        <f t="shared" si="16"/>
        <v>719.2921180899998</v>
      </c>
      <c r="J34" s="8">
        <f t="shared" si="3"/>
        <v>1582.0496263499997</v>
      </c>
      <c r="K34" s="8">
        <v>317.18409631999987</v>
      </c>
      <c r="L34" s="8">
        <v>276.39659480999995</v>
      </c>
      <c r="M34" s="8">
        <v>187.35057450000002</v>
      </c>
      <c r="N34" s="8">
        <f t="shared" si="17"/>
        <v>780.93126562999987</v>
      </c>
      <c r="O34" s="8">
        <v>356.35977740000021</v>
      </c>
      <c r="P34" s="8">
        <v>255.70818161</v>
      </c>
      <c r="Q34" s="8">
        <v>263.78005654000003</v>
      </c>
      <c r="R34" s="8">
        <f t="shared" si="18"/>
        <v>875.84801555000024</v>
      </c>
      <c r="S34" s="8">
        <f t="shared" si="6"/>
        <v>1656.77928118</v>
      </c>
      <c r="T34" s="8">
        <f t="shared" si="19"/>
        <v>3238.8289075299999</v>
      </c>
      <c r="U34" s="8"/>
      <c r="V34" s="8"/>
    </row>
    <row r="35" spans="1:22" ht="15" customHeight="1" x14ac:dyDescent="0.3">
      <c r="A35" s="12" t="s">
        <v>48</v>
      </c>
      <c r="B35" s="8">
        <v>333.92452272000014</v>
      </c>
      <c r="C35" s="8">
        <v>149.37288627999999</v>
      </c>
      <c r="D35" s="8">
        <v>162.37444779000009</v>
      </c>
      <c r="E35" s="8">
        <f t="shared" si="15"/>
        <v>645.67185679000022</v>
      </c>
      <c r="F35" s="8">
        <v>319.51034777999996</v>
      </c>
      <c r="G35" s="8">
        <v>203.13585041000005</v>
      </c>
      <c r="H35" s="8">
        <v>219.73790772000007</v>
      </c>
      <c r="I35" s="8">
        <f t="shared" si="16"/>
        <v>742.38410591000002</v>
      </c>
      <c r="J35" s="8">
        <f t="shared" si="3"/>
        <v>1388.0559627000002</v>
      </c>
      <c r="K35" s="8">
        <v>276.26350848000004</v>
      </c>
      <c r="L35" s="8">
        <v>212.60292488999997</v>
      </c>
      <c r="M35" s="8">
        <v>213.64228074000007</v>
      </c>
      <c r="N35" s="8">
        <f t="shared" si="17"/>
        <v>702.50871411000003</v>
      </c>
      <c r="O35" s="8">
        <v>289.60190265000006</v>
      </c>
      <c r="P35" s="8">
        <v>225.18758608000002</v>
      </c>
      <c r="Q35" s="8">
        <v>195.45796815000008</v>
      </c>
      <c r="R35" s="8">
        <f t="shared" si="18"/>
        <v>710.24745688000019</v>
      </c>
      <c r="S35" s="8">
        <f t="shared" si="6"/>
        <v>1412.7561709900001</v>
      </c>
      <c r="T35" s="8">
        <f t="shared" si="19"/>
        <v>2800.8121336900003</v>
      </c>
      <c r="U35" s="8"/>
      <c r="V35" s="8"/>
    </row>
    <row r="36" spans="1:22" ht="15" customHeight="1" x14ac:dyDescent="0.3">
      <c r="A36" s="12" t="s">
        <v>49</v>
      </c>
      <c r="B36" s="8">
        <v>376.82620801000013</v>
      </c>
      <c r="C36" s="8">
        <v>198.14608935999993</v>
      </c>
      <c r="D36" s="8">
        <v>266.9314765900001</v>
      </c>
      <c r="E36" s="8">
        <f t="shared" si="15"/>
        <v>841.90377396000019</v>
      </c>
      <c r="F36" s="8">
        <v>479.81536729999993</v>
      </c>
      <c r="G36" s="8">
        <v>396.42041654000002</v>
      </c>
      <c r="H36" s="8">
        <v>360.45701782999993</v>
      </c>
      <c r="I36" s="8">
        <f t="shared" si="16"/>
        <v>1236.6928016699999</v>
      </c>
      <c r="J36" s="8">
        <f t="shared" si="3"/>
        <v>2078.5965756300002</v>
      </c>
      <c r="K36" s="8">
        <v>508.27797374999989</v>
      </c>
      <c r="L36" s="8">
        <v>479.05443342999996</v>
      </c>
      <c r="M36" s="8">
        <v>337.98463566999993</v>
      </c>
      <c r="N36" s="8">
        <f t="shared" si="17"/>
        <v>1325.3170428499998</v>
      </c>
      <c r="O36" s="8">
        <v>530.22156973999984</v>
      </c>
      <c r="P36" s="8">
        <v>447.40893921999981</v>
      </c>
      <c r="Q36" s="8">
        <v>198.80398749</v>
      </c>
      <c r="R36" s="8">
        <f t="shared" si="18"/>
        <v>1176.4344964499996</v>
      </c>
      <c r="S36" s="8">
        <f t="shared" si="6"/>
        <v>2501.7515392999994</v>
      </c>
      <c r="T36" s="8">
        <f t="shared" si="19"/>
        <v>4580.3481149299996</v>
      </c>
      <c r="U36" s="8"/>
      <c r="V36" s="8"/>
    </row>
    <row r="37" spans="1:22" ht="15" customHeight="1" x14ac:dyDescent="0.3">
      <c r="A37" s="12" t="s">
        <v>50</v>
      </c>
      <c r="B37" s="8">
        <v>806.52920577999998</v>
      </c>
      <c r="C37" s="8">
        <v>519.53852397999992</v>
      </c>
      <c r="D37" s="8">
        <v>636.2365745699999</v>
      </c>
      <c r="E37" s="8">
        <f t="shared" si="15"/>
        <v>1962.3043043299999</v>
      </c>
      <c r="F37" s="8">
        <v>942.65177836999987</v>
      </c>
      <c r="G37" s="8">
        <v>708.65212611999993</v>
      </c>
      <c r="H37" s="8">
        <v>617.78926694999996</v>
      </c>
      <c r="I37" s="8">
        <f t="shared" si="16"/>
        <v>2269.0931714399994</v>
      </c>
      <c r="J37" s="8">
        <f t="shared" si="3"/>
        <v>4231.3974757699998</v>
      </c>
      <c r="K37" s="8">
        <v>828.0143863000003</v>
      </c>
      <c r="L37" s="8">
        <v>766.47667638999997</v>
      </c>
      <c r="M37" s="8">
        <v>591.10248221999984</v>
      </c>
      <c r="N37" s="8">
        <f t="shared" si="17"/>
        <v>2185.5935449100002</v>
      </c>
      <c r="O37" s="8">
        <v>945.50582767000003</v>
      </c>
      <c r="P37" s="8">
        <v>640.16531612999984</v>
      </c>
      <c r="Q37" s="8">
        <v>709.89902205999988</v>
      </c>
      <c r="R37" s="8">
        <f t="shared" si="18"/>
        <v>2295.5701658599996</v>
      </c>
      <c r="S37" s="8">
        <f t="shared" si="6"/>
        <v>4481.1637107699999</v>
      </c>
      <c r="T37" s="8">
        <f t="shared" si="19"/>
        <v>8712.5611865399987</v>
      </c>
      <c r="U37" s="8"/>
      <c r="V37" s="8"/>
    </row>
    <row r="38" spans="1:22" s="10" customFormat="1" ht="15" customHeight="1" x14ac:dyDescent="0.3">
      <c r="A38" s="3"/>
      <c r="B38" s="11"/>
      <c r="C38" s="11"/>
      <c r="D38" s="11"/>
      <c r="E38" s="11"/>
      <c r="F38" s="11"/>
      <c r="G38" s="11"/>
      <c r="H38" s="11"/>
      <c r="I38" s="11"/>
      <c r="J38" s="11"/>
      <c r="K38" s="11"/>
      <c r="L38" s="11"/>
      <c r="M38" s="11"/>
      <c r="N38" s="11"/>
      <c r="O38" s="11"/>
      <c r="P38" s="11"/>
      <c r="Q38" s="11"/>
      <c r="R38" s="11"/>
      <c r="S38" s="11"/>
      <c r="T38" s="11"/>
      <c r="U38" s="11"/>
      <c r="V38" s="11"/>
    </row>
    <row r="39" spans="1:22" s="10" customFormat="1" ht="15" customHeight="1" x14ac:dyDescent="0.25">
      <c r="A39" s="10" t="s">
        <v>51</v>
      </c>
      <c r="B39" s="11">
        <f>SUM(B40:B43)</f>
        <v>1193.4567932900002</v>
      </c>
      <c r="C39" s="11">
        <f t="shared" ref="C39:Q39" si="20">SUM(C40:C43)</f>
        <v>686.43337573999997</v>
      </c>
      <c r="D39" s="11">
        <f t="shared" si="20"/>
        <v>929.59477173999983</v>
      </c>
      <c r="E39" s="11">
        <f t="shared" ref="E39:E43" si="21">SUM(B39:D39)</f>
        <v>2809.4849407699999</v>
      </c>
      <c r="F39" s="11">
        <f t="shared" si="20"/>
        <v>1342.7357474599996</v>
      </c>
      <c r="G39" s="11">
        <f t="shared" si="20"/>
        <v>1056.0691463899998</v>
      </c>
      <c r="H39" s="11">
        <f t="shared" si="20"/>
        <v>962.64724022000019</v>
      </c>
      <c r="I39" s="11">
        <f t="shared" ref="I39:I43" si="22">SUM(F39:H39)</f>
        <v>3361.4521340699998</v>
      </c>
      <c r="J39" s="11">
        <f t="shared" si="3"/>
        <v>6170.9370748399997</v>
      </c>
      <c r="K39" s="11">
        <f t="shared" si="20"/>
        <v>1178.9633240599996</v>
      </c>
      <c r="L39" s="11">
        <f t="shared" si="20"/>
        <v>1051.3548132199999</v>
      </c>
      <c r="M39" s="11">
        <f t="shared" si="20"/>
        <v>969.66541049</v>
      </c>
      <c r="N39" s="11">
        <f t="shared" ref="N39:N43" si="23">SUM(K39:M39)</f>
        <v>3199.9835477699994</v>
      </c>
      <c r="O39" s="11">
        <f t="shared" si="20"/>
        <v>1381.3142525799999</v>
      </c>
      <c r="P39" s="11">
        <f t="shared" si="20"/>
        <v>1011.99471794</v>
      </c>
      <c r="Q39" s="11">
        <f t="shared" si="20"/>
        <v>1189.8960877099998</v>
      </c>
      <c r="R39" s="11">
        <f t="shared" ref="R39:R43" si="24">SUM(O39:Q39)</f>
        <v>3583.2050582299998</v>
      </c>
      <c r="S39" s="11">
        <f t="shared" si="6"/>
        <v>6783.1886059999997</v>
      </c>
      <c r="T39" s="11">
        <f t="shared" ref="T39:T43" si="25">+J39+S39</f>
        <v>12954.125680839999</v>
      </c>
      <c r="U39" s="11"/>
      <c r="V39" s="11"/>
    </row>
    <row r="40" spans="1:22" ht="15" customHeight="1" x14ac:dyDescent="0.3">
      <c r="A40" s="12" t="s">
        <v>52</v>
      </c>
      <c r="B40" s="8">
        <v>436.07619023000001</v>
      </c>
      <c r="C40" s="8">
        <v>292.72973748999999</v>
      </c>
      <c r="D40" s="8">
        <v>376.85316734999998</v>
      </c>
      <c r="E40" s="8">
        <f t="shared" si="21"/>
        <v>1105.6590950699999</v>
      </c>
      <c r="F40" s="8">
        <v>501.19340825</v>
      </c>
      <c r="G40" s="8">
        <v>336.36867287000001</v>
      </c>
      <c r="H40" s="8">
        <v>395.51939462000001</v>
      </c>
      <c r="I40" s="8">
        <f t="shared" si="22"/>
        <v>1233.0814757400001</v>
      </c>
      <c r="J40" s="8">
        <f t="shared" si="3"/>
        <v>2338.74057081</v>
      </c>
      <c r="K40" s="8">
        <v>443.46019464</v>
      </c>
      <c r="L40" s="8">
        <v>398.99813577000009</v>
      </c>
      <c r="M40" s="8">
        <v>388.14242875000002</v>
      </c>
      <c r="N40" s="8">
        <f t="shared" si="23"/>
        <v>1230.6007591600001</v>
      </c>
      <c r="O40" s="8">
        <v>552.22506337000004</v>
      </c>
      <c r="P40" s="8">
        <v>409.6442200300001</v>
      </c>
      <c r="Q40" s="8">
        <v>543.55003161999991</v>
      </c>
      <c r="R40" s="8">
        <f t="shared" si="24"/>
        <v>1505.4193150199999</v>
      </c>
      <c r="S40" s="8">
        <f t="shared" si="6"/>
        <v>2736.0200741799999</v>
      </c>
      <c r="T40" s="8">
        <f t="shared" si="25"/>
        <v>5074.7606449899995</v>
      </c>
      <c r="U40" s="8"/>
      <c r="V40" s="8"/>
    </row>
    <row r="41" spans="1:22" ht="15" customHeight="1" x14ac:dyDescent="0.3">
      <c r="A41" s="12" t="s">
        <v>53</v>
      </c>
      <c r="B41" s="8">
        <v>531.17914322999991</v>
      </c>
      <c r="C41" s="8">
        <v>271.90941829999997</v>
      </c>
      <c r="D41" s="8">
        <v>350.54748388999985</v>
      </c>
      <c r="E41" s="8">
        <f t="shared" si="21"/>
        <v>1153.6360454199998</v>
      </c>
      <c r="F41" s="8">
        <v>580.41164666999975</v>
      </c>
      <c r="G41" s="8">
        <v>520.72318561999987</v>
      </c>
      <c r="H41" s="8">
        <v>408.8951962700001</v>
      </c>
      <c r="I41" s="8">
        <f t="shared" si="22"/>
        <v>1510.0300285599997</v>
      </c>
      <c r="J41" s="8">
        <f t="shared" si="3"/>
        <v>2663.6660739799995</v>
      </c>
      <c r="K41" s="8">
        <v>529.8809686899998</v>
      </c>
      <c r="L41" s="8">
        <v>487.99947904999965</v>
      </c>
      <c r="M41" s="8">
        <v>412.60205497999999</v>
      </c>
      <c r="N41" s="8">
        <f t="shared" si="23"/>
        <v>1430.4825027199995</v>
      </c>
      <c r="O41" s="8">
        <v>624.84475200000008</v>
      </c>
      <c r="P41" s="8">
        <v>417.7539710399999</v>
      </c>
      <c r="Q41" s="8">
        <v>422.3435248899998</v>
      </c>
      <c r="R41" s="8">
        <f t="shared" si="24"/>
        <v>1464.9422479299999</v>
      </c>
      <c r="S41" s="8">
        <f t="shared" si="6"/>
        <v>2895.4247506499996</v>
      </c>
      <c r="T41" s="8">
        <f t="shared" si="25"/>
        <v>5559.0908246299987</v>
      </c>
      <c r="U41" s="8"/>
      <c r="V41" s="8"/>
    </row>
    <row r="42" spans="1:22" ht="15" customHeight="1" x14ac:dyDescent="0.3">
      <c r="A42" s="12" t="s">
        <v>54</v>
      </c>
      <c r="B42" s="8">
        <v>167.50943423000004</v>
      </c>
      <c r="C42" s="8">
        <v>92.579016180000011</v>
      </c>
      <c r="D42" s="8">
        <v>160.72604799000001</v>
      </c>
      <c r="E42" s="8">
        <f t="shared" si="21"/>
        <v>420.81449840000005</v>
      </c>
      <c r="F42" s="8">
        <v>218.77554128999998</v>
      </c>
      <c r="G42" s="8">
        <v>161.05578481999999</v>
      </c>
      <c r="H42" s="8">
        <v>108.61247207000002</v>
      </c>
      <c r="I42" s="8">
        <f t="shared" si="22"/>
        <v>488.44379817999999</v>
      </c>
      <c r="J42" s="8">
        <f t="shared" si="3"/>
        <v>909.25829657999998</v>
      </c>
      <c r="K42" s="8">
        <v>166.23406673999997</v>
      </c>
      <c r="L42" s="8">
        <v>123.90161360999998</v>
      </c>
      <c r="M42" s="8">
        <v>113.69807152000003</v>
      </c>
      <c r="N42" s="8">
        <f t="shared" si="23"/>
        <v>403.83375187000001</v>
      </c>
      <c r="O42" s="8">
        <v>151.73805724000005</v>
      </c>
      <c r="P42" s="8">
        <v>140.04908017000002</v>
      </c>
      <c r="Q42" s="8">
        <v>169.54977812000001</v>
      </c>
      <c r="R42" s="8">
        <f t="shared" si="24"/>
        <v>461.33691553000006</v>
      </c>
      <c r="S42" s="8">
        <f t="shared" si="6"/>
        <v>865.17066740000007</v>
      </c>
      <c r="T42" s="8">
        <f t="shared" si="25"/>
        <v>1774.4289639799999</v>
      </c>
      <c r="U42" s="8"/>
      <c r="V42" s="8"/>
    </row>
    <row r="43" spans="1:22" ht="15" customHeight="1" x14ac:dyDescent="0.3">
      <c r="A43" s="12" t="s">
        <v>55</v>
      </c>
      <c r="B43" s="8">
        <v>58.692025600000008</v>
      </c>
      <c r="C43" s="8">
        <v>29.215203770000002</v>
      </c>
      <c r="D43" s="8">
        <v>41.468072510000006</v>
      </c>
      <c r="E43" s="8">
        <f t="shared" si="21"/>
        <v>129.37530188000002</v>
      </c>
      <c r="F43" s="8">
        <v>42.355151249999992</v>
      </c>
      <c r="G43" s="8">
        <v>37.921503080000001</v>
      </c>
      <c r="H43" s="8">
        <v>49.620177260000006</v>
      </c>
      <c r="I43" s="8">
        <f t="shared" si="22"/>
        <v>129.89683158999998</v>
      </c>
      <c r="J43" s="8">
        <f t="shared" si="3"/>
        <v>259.27213346999997</v>
      </c>
      <c r="K43" s="8">
        <v>39.388093989999994</v>
      </c>
      <c r="L43" s="8">
        <v>40.455584790000003</v>
      </c>
      <c r="M43" s="8">
        <v>55.222855240000008</v>
      </c>
      <c r="N43" s="8">
        <f t="shared" si="23"/>
        <v>135.06653402000001</v>
      </c>
      <c r="O43" s="8">
        <v>52.506379970000005</v>
      </c>
      <c r="P43" s="8">
        <v>44.547446700000002</v>
      </c>
      <c r="Q43" s="8">
        <v>54.452753080000008</v>
      </c>
      <c r="R43" s="8">
        <f t="shared" si="24"/>
        <v>151.50657975000001</v>
      </c>
      <c r="S43" s="8">
        <f t="shared" si="6"/>
        <v>286.57311377000002</v>
      </c>
      <c r="T43" s="8">
        <f t="shared" si="25"/>
        <v>545.84524723999994</v>
      </c>
      <c r="U43" s="8"/>
      <c r="V43" s="8"/>
    </row>
    <row r="44" spans="1:22" s="10" customFormat="1" ht="15" customHeight="1" x14ac:dyDescent="0.3">
      <c r="A44" s="3"/>
      <c r="B44" s="11"/>
      <c r="C44" s="11"/>
      <c r="D44" s="11"/>
      <c r="E44" s="11"/>
      <c r="F44" s="11"/>
      <c r="G44" s="11"/>
      <c r="H44" s="11"/>
      <c r="I44" s="11"/>
      <c r="J44" s="11"/>
      <c r="K44" s="11"/>
      <c r="L44" s="11"/>
      <c r="M44" s="11"/>
      <c r="N44" s="11"/>
      <c r="O44" s="11"/>
      <c r="P44" s="11"/>
      <c r="Q44" s="11"/>
      <c r="R44" s="11"/>
      <c r="S44" s="11"/>
      <c r="T44" s="11"/>
      <c r="U44" s="11"/>
      <c r="V44" s="11"/>
    </row>
    <row r="45" spans="1:22" s="10" customFormat="1" ht="15" customHeight="1" x14ac:dyDescent="0.25">
      <c r="A45" s="10" t="s">
        <v>56</v>
      </c>
      <c r="B45" s="11">
        <f>SUM(B46:B54)</f>
        <v>6070.7073604499983</v>
      </c>
      <c r="C45" s="11">
        <f t="shared" ref="C45:Q45" si="26">SUM(C46:C54)</f>
        <v>3454.1309583199995</v>
      </c>
      <c r="D45" s="11">
        <f t="shared" si="26"/>
        <v>4848.533066259999</v>
      </c>
      <c r="E45" s="11">
        <f t="shared" ref="E45:E54" si="27">SUM(B45:D45)</f>
        <v>14373.371385029997</v>
      </c>
      <c r="F45" s="11">
        <f t="shared" si="26"/>
        <v>8030.5447065200005</v>
      </c>
      <c r="G45" s="11">
        <f t="shared" si="26"/>
        <v>5746.7243576099982</v>
      </c>
      <c r="H45" s="11">
        <f t="shared" si="26"/>
        <v>5106.5923154699994</v>
      </c>
      <c r="I45" s="11">
        <f t="shared" ref="I45:I54" si="28">SUM(F45:H45)</f>
        <v>18883.861379599999</v>
      </c>
      <c r="J45" s="11">
        <f t="shared" si="3"/>
        <v>33257.232764629996</v>
      </c>
      <c r="K45" s="11">
        <f t="shared" si="26"/>
        <v>6527.2729262800012</v>
      </c>
      <c r="L45" s="11">
        <f t="shared" si="26"/>
        <v>5552.9517116100005</v>
      </c>
      <c r="M45" s="11">
        <f t="shared" si="26"/>
        <v>4477.4843370799999</v>
      </c>
      <c r="N45" s="11">
        <f t="shared" ref="N45:N54" si="29">SUM(K45:M45)</f>
        <v>16557.708974970003</v>
      </c>
      <c r="O45" s="11">
        <f t="shared" si="26"/>
        <v>7094.496938690002</v>
      </c>
      <c r="P45" s="11">
        <f t="shared" si="26"/>
        <v>5598.8610785099991</v>
      </c>
      <c r="Q45" s="11">
        <f t="shared" si="26"/>
        <v>4731.1646391900013</v>
      </c>
      <c r="R45" s="11">
        <f t="shared" ref="R45:R54" si="30">SUM(O45:Q45)</f>
        <v>17424.52265639</v>
      </c>
      <c r="S45" s="11">
        <f t="shared" si="6"/>
        <v>33982.231631360002</v>
      </c>
      <c r="T45" s="11">
        <f t="shared" ref="T45:T54" si="31">+J45+S45</f>
        <v>67239.464395989999</v>
      </c>
      <c r="U45" s="11"/>
      <c r="V45" s="11"/>
    </row>
    <row r="46" spans="1:22" ht="15" customHeight="1" x14ac:dyDescent="0.3">
      <c r="A46" s="12" t="s">
        <v>57</v>
      </c>
      <c r="B46" s="8">
        <v>94.389661539999992</v>
      </c>
      <c r="C46" s="8">
        <v>48.19152098</v>
      </c>
      <c r="D46" s="8">
        <v>45.253385810000005</v>
      </c>
      <c r="E46" s="8">
        <f t="shared" si="27"/>
        <v>187.83456833</v>
      </c>
      <c r="F46" s="8">
        <v>76.651508630000009</v>
      </c>
      <c r="G46" s="8">
        <v>55.550535390000007</v>
      </c>
      <c r="H46" s="8">
        <v>79.438941789999987</v>
      </c>
      <c r="I46" s="8">
        <f t="shared" si="28"/>
        <v>211.64098581000002</v>
      </c>
      <c r="J46" s="8">
        <f t="shared" si="3"/>
        <v>399.47555413999999</v>
      </c>
      <c r="K46" s="8">
        <v>61.927681890000002</v>
      </c>
      <c r="L46" s="8">
        <v>68.890073749999999</v>
      </c>
      <c r="M46" s="8">
        <v>61.527058820000008</v>
      </c>
      <c r="N46" s="8">
        <f t="shared" si="29"/>
        <v>192.34481446000001</v>
      </c>
      <c r="O46" s="8">
        <v>76.733501160000003</v>
      </c>
      <c r="P46" s="8">
        <v>66.780064979999992</v>
      </c>
      <c r="Q46" s="8">
        <v>79.668581390000014</v>
      </c>
      <c r="R46" s="8">
        <f t="shared" si="30"/>
        <v>223.18214753000001</v>
      </c>
      <c r="S46" s="8">
        <f t="shared" si="6"/>
        <v>415.52696199000002</v>
      </c>
      <c r="T46" s="8">
        <f t="shared" si="31"/>
        <v>815.00251613</v>
      </c>
      <c r="U46" s="8"/>
      <c r="V46" s="8"/>
    </row>
    <row r="47" spans="1:22" ht="15" customHeight="1" x14ac:dyDescent="0.3">
      <c r="A47" s="12" t="s">
        <v>58</v>
      </c>
      <c r="B47" s="8">
        <v>567.27918522999994</v>
      </c>
      <c r="C47" s="8">
        <v>307.66566986000004</v>
      </c>
      <c r="D47" s="8">
        <v>320.14753325999999</v>
      </c>
      <c r="E47" s="8">
        <f t="shared" si="27"/>
        <v>1195.09238835</v>
      </c>
      <c r="F47" s="8">
        <v>541.75404840999988</v>
      </c>
      <c r="G47" s="8">
        <v>345.15045626999984</v>
      </c>
      <c r="H47" s="8">
        <v>368.70354550999974</v>
      </c>
      <c r="I47" s="8">
        <f t="shared" si="28"/>
        <v>1255.6080501899994</v>
      </c>
      <c r="J47" s="8">
        <f t="shared" si="3"/>
        <v>2450.7004385399996</v>
      </c>
      <c r="K47" s="8">
        <v>509.45153289999973</v>
      </c>
      <c r="L47" s="8">
        <v>361.5484411299999</v>
      </c>
      <c r="M47" s="8">
        <v>270.21822340000006</v>
      </c>
      <c r="N47" s="8">
        <f t="shared" si="29"/>
        <v>1141.2181974299997</v>
      </c>
      <c r="O47" s="8">
        <v>623.14626763000035</v>
      </c>
      <c r="P47" s="8">
        <v>422.63550303000022</v>
      </c>
      <c r="Q47" s="8">
        <v>378.97852885000009</v>
      </c>
      <c r="R47" s="8">
        <f t="shared" si="30"/>
        <v>1424.7602995100006</v>
      </c>
      <c r="S47" s="8">
        <f t="shared" si="6"/>
        <v>2565.9784969400002</v>
      </c>
      <c r="T47" s="8">
        <f t="shared" si="31"/>
        <v>5016.6789354800003</v>
      </c>
      <c r="U47" s="8"/>
      <c r="V47" s="8"/>
    </row>
    <row r="48" spans="1:22" ht="15" customHeight="1" x14ac:dyDescent="0.3">
      <c r="A48" s="12" t="s">
        <v>59</v>
      </c>
      <c r="B48" s="8">
        <v>1673.7722987599993</v>
      </c>
      <c r="C48" s="8">
        <v>809.38543234999997</v>
      </c>
      <c r="D48" s="8">
        <v>1453.4621009099999</v>
      </c>
      <c r="E48" s="8">
        <f t="shared" si="27"/>
        <v>3936.6198320199992</v>
      </c>
      <c r="F48" s="8">
        <v>2124.02741943</v>
      </c>
      <c r="G48" s="8">
        <v>1302.6603976900001</v>
      </c>
      <c r="H48" s="8">
        <v>1336.7640800999998</v>
      </c>
      <c r="I48" s="8">
        <f t="shared" si="28"/>
        <v>4763.4518972200003</v>
      </c>
      <c r="J48" s="8">
        <f t="shared" si="3"/>
        <v>8700.0717292400004</v>
      </c>
      <c r="K48" s="8">
        <v>1812.5046698600004</v>
      </c>
      <c r="L48" s="8">
        <v>1238.9191473900009</v>
      </c>
      <c r="M48" s="8">
        <v>1143.7660737100002</v>
      </c>
      <c r="N48" s="8">
        <f t="shared" si="29"/>
        <v>4195.1898909600013</v>
      </c>
      <c r="O48" s="8">
        <v>1922.9539327000002</v>
      </c>
      <c r="P48" s="8">
        <v>1406.7673021999999</v>
      </c>
      <c r="Q48" s="8">
        <v>1347.400832960001</v>
      </c>
      <c r="R48" s="8">
        <f t="shared" si="30"/>
        <v>4677.1220678600012</v>
      </c>
      <c r="S48" s="8">
        <f t="shared" si="6"/>
        <v>8872.3119588200025</v>
      </c>
      <c r="T48" s="8">
        <f t="shared" si="31"/>
        <v>17572.383688060003</v>
      </c>
      <c r="U48" s="8"/>
      <c r="V48" s="8"/>
    </row>
    <row r="49" spans="1:22" ht="15" customHeight="1" x14ac:dyDescent="0.3">
      <c r="A49" s="12" t="s">
        <v>60</v>
      </c>
      <c r="B49" s="8">
        <v>691.95119804000012</v>
      </c>
      <c r="C49" s="8">
        <v>339.93727877000015</v>
      </c>
      <c r="D49" s="8">
        <v>526.72024815000009</v>
      </c>
      <c r="E49" s="8">
        <f t="shared" si="27"/>
        <v>1558.6087249600002</v>
      </c>
      <c r="F49" s="8">
        <v>732.15235416000019</v>
      </c>
      <c r="G49" s="8">
        <v>523.18697279000003</v>
      </c>
      <c r="H49" s="8">
        <v>620.33240016000002</v>
      </c>
      <c r="I49" s="8">
        <f t="shared" si="28"/>
        <v>1875.6717271100001</v>
      </c>
      <c r="J49" s="8">
        <f t="shared" si="3"/>
        <v>3434.2804520700001</v>
      </c>
      <c r="K49" s="8">
        <v>551.17974542999991</v>
      </c>
      <c r="L49" s="8">
        <v>558.95668724999996</v>
      </c>
      <c r="M49" s="8">
        <v>546.12195082000017</v>
      </c>
      <c r="N49" s="8">
        <f t="shared" si="29"/>
        <v>1656.2583835</v>
      </c>
      <c r="O49" s="8">
        <v>767.35851224999988</v>
      </c>
      <c r="P49" s="8">
        <v>533.42201592000004</v>
      </c>
      <c r="Q49" s="8">
        <v>606.87216142000011</v>
      </c>
      <c r="R49" s="8">
        <f t="shared" si="30"/>
        <v>1907.6526895899999</v>
      </c>
      <c r="S49" s="8">
        <f t="shared" si="6"/>
        <v>3563.9110730900002</v>
      </c>
      <c r="T49" s="8">
        <f t="shared" si="31"/>
        <v>6998.1915251600003</v>
      </c>
      <c r="U49" s="8"/>
      <c r="V49" s="8"/>
    </row>
    <row r="50" spans="1:22" ht="18" customHeight="1" x14ac:dyDescent="0.3">
      <c r="A50" s="12" t="s">
        <v>61</v>
      </c>
      <c r="B50" s="8">
        <v>1275.71777905</v>
      </c>
      <c r="C50" s="8">
        <v>679.24198569000009</v>
      </c>
      <c r="D50" s="8">
        <v>991.23975241000016</v>
      </c>
      <c r="E50" s="8">
        <f t="shared" si="27"/>
        <v>2946.1995171500002</v>
      </c>
      <c r="F50" s="8">
        <v>1749.8413179300001</v>
      </c>
      <c r="G50" s="8">
        <v>1180.0440631399997</v>
      </c>
      <c r="H50" s="8">
        <v>1008.5861463699996</v>
      </c>
      <c r="I50" s="8">
        <f t="shared" si="28"/>
        <v>3938.4715274399996</v>
      </c>
      <c r="J50" s="8">
        <f t="shared" si="3"/>
        <v>6884.6710445899998</v>
      </c>
      <c r="K50" s="8">
        <v>1529.6760997100005</v>
      </c>
      <c r="L50" s="8">
        <v>1249.0343444400005</v>
      </c>
      <c r="M50" s="8">
        <v>1024.1539321299999</v>
      </c>
      <c r="N50" s="8">
        <f t="shared" si="29"/>
        <v>3802.8643762800011</v>
      </c>
      <c r="O50" s="8">
        <v>1596.551679520001</v>
      </c>
      <c r="P50" s="8">
        <v>1187.6810364099999</v>
      </c>
      <c r="Q50" s="8">
        <v>970.39697336000029</v>
      </c>
      <c r="R50" s="8">
        <f t="shared" si="30"/>
        <v>3754.6296892900014</v>
      </c>
      <c r="S50" s="8">
        <f t="shared" si="6"/>
        <v>7557.4940655700029</v>
      </c>
      <c r="T50" s="8">
        <f t="shared" si="31"/>
        <v>14442.165110160004</v>
      </c>
      <c r="U50" s="8"/>
      <c r="V50" s="8"/>
    </row>
    <row r="51" spans="1:22" ht="15" customHeight="1" x14ac:dyDescent="0.3">
      <c r="A51" s="12" t="s">
        <v>62</v>
      </c>
      <c r="B51" s="8">
        <v>516.24733929999979</v>
      </c>
      <c r="C51" s="8">
        <v>356.68720479000001</v>
      </c>
      <c r="D51" s="8">
        <v>434.69609202000004</v>
      </c>
      <c r="E51" s="8">
        <f t="shared" si="27"/>
        <v>1307.6306361099998</v>
      </c>
      <c r="F51" s="8">
        <v>655.59432184999969</v>
      </c>
      <c r="G51" s="8">
        <v>496.09678447999994</v>
      </c>
      <c r="H51" s="8">
        <v>452.76035136999997</v>
      </c>
      <c r="I51" s="8">
        <f t="shared" si="28"/>
        <v>1604.4514576999995</v>
      </c>
      <c r="J51" s="8">
        <f t="shared" si="3"/>
        <v>2912.0820938099996</v>
      </c>
      <c r="K51" s="8">
        <v>522.55203316999973</v>
      </c>
      <c r="L51" s="8">
        <v>404.67869449999989</v>
      </c>
      <c r="M51" s="8">
        <v>431.19014173000005</v>
      </c>
      <c r="N51" s="8">
        <f t="shared" si="29"/>
        <v>1358.4208693999997</v>
      </c>
      <c r="O51" s="8">
        <v>572.03515838000033</v>
      </c>
      <c r="P51" s="8">
        <v>443.42885793999994</v>
      </c>
      <c r="Q51" s="8">
        <v>577.4918871000001</v>
      </c>
      <c r="R51" s="8">
        <f t="shared" si="30"/>
        <v>1592.9559034200004</v>
      </c>
      <c r="S51" s="8">
        <f t="shared" si="6"/>
        <v>2951.37677282</v>
      </c>
      <c r="T51" s="8">
        <f t="shared" si="31"/>
        <v>5863.4588666299996</v>
      </c>
      <c r="U51" s="8"/>
      <c r="V51" s="8"/>
    </row>
    <row r="52" spans="1:22" ht="18" customHeight="1" x14ac:dyDescent="0.3">
      <c r="A52" s="12" t="s">
        <v>63</v>
      </c>
      <c r="B52" s="8">
        <v>248.42667091000007</v>
      </c>
      <c r="C52" s="8">
        <v>117.75993841999997</v>
      </c>
      <c r="D52" s="8">
        <v>133.17794559999999</v>
      </c>
      <c r="E52" s="8">
        <f t="shared" si="27"/>
        <v>499.36455493</v>
      </c>
      <c r="F52" s="8">
        <v>279.69878612000008</v>
      </c>
      <c r="G52" s="8">
        <v>225.98042397999998</v>
      </c>
      <c r="H52" s="8">
        <v>135.40356858000001</v>
      </c>
      <c r="I52" s="8">
        <f t="shared" si="28"/>
        <v>641.08277868000005</v>
      </c>
      <c r="J52" s="8">
        <f t="shared" si="3"/>
        <v>1140.44733361</v>
      </c>
      <c r="K52" s="8">
        <v>162.68424268000007</v>
      </c>
      <c r="L52" s="8">
        <v>171.80606134999999</v>
      </c>
      <c r="M52" s="8">
        <v>114.38880798999998</v>
      </c>
      <c r="N52" s="8">
        <f t="shared" si="29"/>
        <v>448.87911202000004</v>
      </c>
      <c r="O52" s="8">
        <v>155.15748467000006</v>
      </c>
      <c r="P52" s="8">
        <v>179.98747131999997</v>
      </c>
      <c r="Q52" s="8">
        <v>85.676201229999975</v>
      </c>
      <c r="R52" s="8">
        <f t="shared" si="30"/>
        <v>420.82115722000003</v>
      </c>
      <c r="S52" s="8">
        <f t="shared" si="6"/>
        <v>869.70026924000013</v>
      </c>
      <c r="T52" s="8">
        <f t="shared" si="31"/>
        <v>2010.1476028500001</v>
      </c>
      <c r="U52" s="8"/>
      <c r="V52" s="8"/>
    </row>
    <row r="53" spans="1:22" ht="15" customHeight="1" x14ac:dyDescent="0.3">
      <c r="A53" s="12" t="s">
        <v>64</v>
      </c>
      <c r="B53" s="8">
        <v>776.72580676999917</v>
      </c>
      <c r="C53" s="8">
        <v>658.57532278999975</v>
      </c>
      <c r="D53" s="8">
        <v>722.73396791999983</v>
      </c>
      <c r="E53" s="8">
        <f t="shared" si="27"/>
        <v>2158.035097479999</v>
      </c>
      <c r="F53" s="8">
        <v>1545.8187055200001</v>
      </c>
      <c r="G53" s="8">
        <v>1415.5288936399995</v>
      </c>
      <c r="H53" s="8">
        <v>786.59581971</v>
      </c>
      <c r="I53" s="8">
        <f t="shared" si="28"/>
        <v>3747.9434188699997</v>
      </c>
      <c r="J53" s="8">
        <f t="shared" si="3"/>
        <v>5905.9785163499982</v>
      </c>
      <c r="K53" s="8">
        <v>1140.4846139700001</v>
      </c>
      <c r="L53" s="8">
        <v>1324.6567087799995</v>
      </c>
      <c r="M53" s="8">
        <v>686.55092913999943</v>
      </c>
      <c r="N53" s="8">
        <f t="shared" si="29"/>
        <v>3151.6922518899992</v>
      </c>
      <c r="O53" s="8">
        <v>1059.0189529799998</v>
      </c>
      <c r="P53" s="8">
        <v>1162.3892338899993</v>
      </c>
      <c r="Q53" s="8">
        <v>445.04078475999995</v>
      </c>
      <c r="R53" s="8">
        <f t="shared" si="30"/>
        <v>2666.4489716299991</v>
      </c>
      <c r="S53" s="8">
        <f t="shared" si="6"/>
        <v>5818.1412235199987</v>
      </c>
      <c r="T53" s="8">
        <f t="shared" si="31"/>
        <v>11724.119739869997</v>
      </c>
      <c r="U53" s="8"/>
      <c r="V53" s="8"/>
    </row>
    <row r="54" spans="1:22" ht="15" customHeight="1" x14ac:dyDescent="0.3">
      <c r="A54" s="12" t="s">
        <v>65</v>
      </c>
      <c r="B54" s="8">
        <v>226.19742084999987</v>
      </c>
      <c r="C54" s="8">
        <v>136.68660466999998</v>
      </c>
      <c r="D54" s="8">
        <v>221.10204018000002</v>
      </c>
      <c r="E54" s="8">
        <f t="shared" si="27"/>
        <v>583.98606569999993</v>
      </c>
      <c r="F54" s="8">
        <v>325.00624447000001</v>
      </c>
      <c r="G54" s="8">
        <v>202.52583023</v>
      </c>
      <c r="H54" s="8">
        <v>318.00746187999999</v>
      </c>
      <c r="I54" s="8">
        <f t="shared" si="28"/>
        <v>845.53953658</v>
      </c>
      <c r="J54" s="8">
        <f t="shared" si="3"/>
        <v>1429.5256022799999</v>
      </c>
      <c r="K54" s="8">
        <v>236.81230667000014</v>
      </c>
      <c r="L54" s="8">
        <v>174.46155301999997</v>
      </c>
      <c r="M54" s="8">
        <v>199.56721933999995</v>
      </c>
      <c r="N54" s="8">
        <f t="shared" si="29"/>
        <v>610.84107903000006</v>
      </c>
      <c r="O54" s="8">
        <v>321.54144939999975</v>
      </c>
      <c r="P54" s="8">
        <v>195.76959281999996</v>
      </c>
      <c r="Q54" s="8">
        <v>239.63868812000001</v>
      </c>
      <c r="R54" s="8">
        <f t="shared" si="30"/>
        <v>756.94973033999975</v>
      </c>
      <c r="S54" s="8">
        <f t="shared" si="6"/>
        <v>1367.7908093699998</v>
      </c>
      <c r="T54" s="8">
        <f t="shared" si="31"/>
        <v>2797.3164116499997</v>
      </c>
      <c r="U54" s="8"/>
      <c r="V54" s="8"/>
    </row>
    <row r="55" spans="1:22" s="10" customFormat="1" ht="15" customHeight="1" x14ac:dyDescent="0.3">
      <c r="A55" s="3"/>
      <c r="B55" s="11"/>
      <c r="C55" s="11"/>
      <c r="D55" s="11"/>
      <c r="E55" s="11"/>
      <c r="F55" s="11"/>
      <c r="G55" s="11"/>
      <c r="H55" s="11"/>
      <c r="I55" s="11"/>
      <c r="J55" s="11"/>
      <c r="K55" s="11"/>
      <c r="L55" s="11"/>
      <c r="M55" s="11"/>
      <c r="N55" s="11"/>
      <c r="O55" s="11"/>
      <c r="P55" s="11"/>
      <c r="Q55" s="11"/>
      <c r="R55" s="11"/>
      <c r="S55" s="11"/>
      <c r="T55" s="11"/>
      <c r="U55" s="11"/>
      <c r="V55" s="11"/>
    </row>
    <row r="56" spans="1:22" s="10" customFormat="1" ht="15" customHeight="1" x14ac:dyDescent="0.25">
      <c r="A56" s="10" t="s">
        <v>66</v>
      </c>
      <c r="B56" s="11">
        <f>SUM(B57:B62)</f>
        <v>9071.3071111699937</v>
      </c>
      <c r="C56" s="11">
        <f t="shared" ref="C56:Q56" si="32">SUM(C57:C62)</f>
        <v>4832.4706343899988</v>
      </c>
      <c r="D56" s="11">
        <f t="shared" si="32"/>
        <v>6881.7701851699949</v>
      </c>
      <c r="E56" s="11">
        <f t="shared" ref="E56:E62" si="33">SUM(B56:D56)</f>
        <v>20785.54793072999</v>
      </c>
      <c r="F56" s="11">
        <f t="shared" si="32"/>
        <v>11957.448648629997</v>
      </c>
      <c r="G56" s="11">
        <f t="shared" si="32"/>
        <v>9032.3277718899972</v>
      </c>
      <c r="H56" s="11">
        <f t="shared" si="32"/>
        <v>7009.0160803699973</v>
      </c>
      <c r="I56" s="11">
        <f t="shared" ref="I56:I62" si="34">SUM(F56:H56)</f>
        <v>27998.792500889991</v>
      </c>
      <c r="J56" s="11">
        <f t="shared" si="3"/>
        <v>48784.340431619981</v>
      </c>
      <c r="K56" s="11">
        <f t="shared" si="32"/>
        <v>9806.0854755899982</v>
      </c>
      <c r="L56" s="11">
        <f t="shared" si="32"/>
        <v>7999.4251767999986</v>
      </c>
      <c r="M56" s="11">
        <f t="shared" si="32"/>
        <v>5893.2649894199985</v>
      </c>
      <c r="N56" s="11">
        <f t="shared" ref="N56:N62" si="35">SUM(K56:M56)</f>
        <v>23698.775641809996</v>
      </c>
      <c r="O56" s="11">
        <f t="shared" si="32"/>
        <v>10465.582471490001</v>
      </c>
      <c r="P56" s="11">
        <f t="shared" si="32"/>
        <v>8102.734011380001</v>
      </c>
      <c r="Q56" s="11">
        <f t="shared" si="32"/>
        <v>7143.9767582699997</v>
      </c>
      <c r="R56" s="11">
        <f t="shared" ref="R56:R62" si="36">SUM(O56:Q56)</f>
        <v>25712.293241140003</v>
      </c>
      <c r="S56" s="11">
        <f t="shared" si="6"/>
        <v>49411.06888295</v>
      </c>
      <c r="T56" s="11">
        <f t="shared" ref="T56:T62" si="37">+J56+S56</f>
        <v>98195.409314569988</v>
      </c>
      <c r="U56" s="11"/>
      <c r="V56" s="11"/>
    </row>
    <row r="57" spans="1:22" ht="15" customHeight="1" x14ac:dyDescent="0.3">
      <c r="A57" s="12" t="s">
        <v>67</v>
      </c>
      <c r="B57" s="8">
        <v>1967.7158454999974</v>
      </c>
      <c r="C57" s="8">
        <v>1111.4136709500003</v>
      </c>
      <c r="D57" s="8">
        <v>1551.5571068700006</v>
      </c>
      <c r="E57" s="8">
        <f t="shared" si="33"/>
        <v>4630.686623319998</v>
      </c>
      <c r="F57" s="8">
        <v>2595.5188293600004</v>
      </c>
      <c r="G57" s="8">
        <v>2106.1282856499997</v>
      </c>
      <c r="H57" s="8">
        <v>1430.4043001000002</v>
      </c>
      <c r="I57" s="8">
        <f t="shared" si="34"/>
        <v>6132.0514151100006</v>
      </c>
      <c r="J57" s="8">
        <f t="shared" si="3"/>
        <v>10762.738038429998</v>
      </c>
      <c r="K57" s="8">
        <v>2077.7214425199986</v>
      </c>
      <c r="L57" s="8">
        <v>2005.93185012</v>
      </c>
      <c r="M57" s="8">
        <v>1289.4584444299999</v>
      </c>
      <c r="N57" s="8">
        <f t="shared" si="35"/>
        <v>5373.1117370699985</v>
      </c>
      <c r="O57" s="8">
        <v>2100.0914303000013</v>
      </c>
      <c r="P57" s="8">
        <v>1875.8102911999999</v>
      </c>
      <c r="Q57" s="8">
        <v>1398.6917884699997</v>
      </c>
      <c r="R57" s="8">
        <f t="shared" si="36"/>
        <v>5374.5935099700009</v>
      </c>
      <c r="S57" s="8">
        <f t="shared" si="6"/>
        <v>10747.705247039999</v>
      </c>
      <c r="T57" s="8">
        <f t="shared" si="37"/>
        <v>21510.443285469999</v>
      </c>
      <c r="U57" s="8"/>
      <c r="V57" s="8"/>
    </row>
    <row r="58" spans="1:22" ht="15" customHeight="1" x14ac:dyDescent="0.3">
      <c r="A58" s="12" t="s">
        <v>68</v>
      </c>
      <c r="B58" s="8">
        <v>2782.6913733699985</v>
      </c>
      <c r="C58" s="8">
        <v>1405.6706267199991</v>
      </c>
      <c r="D58" s="8">
        <v>2322.6804432799972</v>
      </c>
      <c r="E58" s="8">
        <f t="shared" si="33"/>
        <v>6511.0424433699945</v>
      </c>
      <c r="F58" s="8">
        <v>3297.6298388599967</v>
      </c>
      <c r="G58" s="8">
        <v>2939.3851313099995</v>
      </c>
      <c r="H58" s="8">
        <v>2640.5373975199982</v>
      </c>
      <c r="I58" s="8">
        <f t="shared" si="34"/>
        <v>8877.5523676899938</v>
      </c>
      <c r="J58" s="8">
        <f t="shared" si="3"/>
        <v>15388.594811059989</v>
      </c>
      <c r="K58" s="8">
        <v>3070.5120216699988</v>
      </c>
      <c r="L58" s="8">
        <v>2200.9882103299992</v>
      </c>
      <c r="M58" s="8">
        <v>1794.5280990499987</v>
      </c>
      <c r="N58" s="8">
        <f t="shared" si="35"/>
        <v>7066.0283310499972</v>
      </c>
      <c r="O58" s="8">
        <v>3022.9055803100027</v>
      </c>
      <c r="P58" s="8">
        <v>2242.6665188899997</v>
      </c>
      <c r="Q58" s="8">
        <v>2045.6900484299995</v>
      </c>
      <c r="R58" s="8">
        <f t="shared" si="36"/>
        <v>7311.2621476300019</v>
      </c>
      <c r="S58" s="8">
        <f t="shared" si="6"/>
        <v>14377.290478679999</v>
      </c>
      <c r="T58" s="8">
        <f t="shared" si="37"/>
        <v>29765.885289739988</v>
      </c>
      <c r="U58" s="8"/>
      <c r="V58" s="8"/>
    </row>
    <row r="59" spans="1:22" ht="15" customHeight="1" x14ac:dyDescent="0.3">
      <c r="A59" s="12" t="s">
        <v>69</v>
      </c>
      <c r="B59" s="8">
        <v>2974.6165794399976</v>
      </c>
      <c r="C59" s="8">
        <v>1618.828883919999</v>
      </c>
      <c r="D59" s="8">
        <v>2085.1923919699984</v>
      </c>
      <c r="E59" s="8">
        <f t="shared" si="33"/>
        <v>6678.6378553299946</v>
      </c>
      <c r="F59" s="8">
        <v>4314.7433684199996</v>
      </c>
      <c r="G59" s="8">
        <v>2832.3440884399979</v>
      </c>
      <c r="H59" s="8">
        <v>1982.6087173399997</v>
      </c>
      <c r="I59" s="8">
        <f t="shared" si="34"/>
        <v>9129.6961741999967</v>
      </c>
      <c r="J59" s="8">
        <f t="shared" si="3"/>
        <v>15808.334029529991</v>
      </c>
      <c r="K59" s="8">
        <v>3221.14130742</v>
      </c>
      <c r="L59" s="8">
        <v>2674.5642339599999</v>
      </c>
      <c r="M59" s="8">
        <v>1816.6044017900003</v>
      </c>
      <c r="N59" s="8">
        <f t="shared" si="35"/>
        <v>7712.3099431700002</v>
      </c>
      <c r="O59" s="8">
        <v>3649.7006868499975</v>
      </c>
      <c r="P59" s="8">
        <v>2843.7779832300002</v>
      </c>
      <c r="Q59" s="8">
        <v>2463.0310337400006</v>
      </c>
      <c r="R59" s="8">
        <f t="shared" si="36"/>
        <v>8956.5097038199983</v>
      </c>
      <c r="S59" s="8">
        <f t="shared" si="6"/>
        <v>16668.819646989999</v>
      </c>
      <c r="T59" s="8">
        <f t="shared" si="37"/>
        <v>32477.153676519993</v>
      </c>
      <c r="U59" s="8"/>
      <c r="V59" s="8"/>
    </row>
    <row r="60" spans="1:22" ht="15" customHeight="1" x14ac:dyDescent="0.3">
      <c r="A60" s="12" t="s">
        <v>70</v>
      </c>
      <c r="B60" s="8">
        <v>100.08815727</v>
      </c>
      <c r="C60" s="8">
        <v>49.911527349999993</v>
      </c>
      <c r="D60" s="8">
        <v>63.887092700000011</v>
      </c>
      <c r="E60" s="8">
        <f t="shared" si="33"/>
        <v>213.88677731999999</v>
      </c>
      <c r="F60" s="8">
        <v>166.72699899999995</v>
      </c>
      <c r="G60" s="8">
        <v>108.18633348</v>
      </c>
      <c r="H60" s="8">
        <v>76.990538130000004</v>
      </c>
      <c r="I60" s="8">
        <f t="shared" si="34"/>
        <v>351.90387060999996</v>
      </c>
      <c r="J60" s="8">
        <f t="shared" si="3"/>
        <v>565.79064792999998</v>
      </c>
      <c r="K60" s="8">
        <v>140.55560186000002</v>
      </c>
      <c r="L60" s="8">
        <v>94.20470554000002</v>
      </c>
      <c r="M60" s="8">
        <v>107.90365707999999</v>
      </c>
      <c r="N60" s="8">
        <f t="shared" si="35"/>
        <v>342.66396448</v>
      </c>
      <c r="O60" s="8">
        <v>121.11953140000004</v>
      </c>
      <c r="P60" s="8">
        <v>80.214188550000046</v>
      </c>
      <c r="Q60" s="8">
        <v>123.12145802000001</v>
      </c>
      <c r="R60" s="8">
        <f t="shared" si="36"/>
        <v>324.45517797000014</v>
      </c>
      <c r="S60" s="8">
        <f t="shared" si="6"/>
        <v>667.11914245000014</v>
      </c>
      <c r="T60" s="8">
        <f t="shared" si="37"/>
        <v>1232.9097903800002</v>
      </c>
      <c r="U60" s="8"/>
      <c r="V60" s="8"/>
    </row>
    <row r="61" spans="1:22" ht="18" customHeight="1" x14ac:dyDescent="0.3">
      <c r="A61" s="12" t="s">
        <v>71</v>
      </c>
      <c r="B61" s="8">
        <v>706.68912487000046</v>
      </c>
      <c r="C61" s="8">
        <v>357.89259764999997</v>
      </c>
      <c r="D61" s="8">
        <v>456.97789048000004</v>
      </c>
      <c r="E61" s="8">
        <f t="shared" si="33"/>
        <v>1521.5596130000004</v>
      </c>
      <c r="F61" s="8">
        <v>955.84590800999979</v>
      </c>
      <c r="G61" s="8">
        <v>546.93013713999983</v>
      </c>
      <c r="H61" s="8">
        <v>480.09140278999962</v>
      </c>
      <c r="I61" s="8">
        <f t="shared" si="34"/>
        <v>1982.8674479399992</v>
      </c>
      <c r="J61" s="8">
        <f t="shared" si="3"/>
        <v>3504.4270609399996</v>
      </c>
      <c r="K61" s="8">
        <v>720.16631109000002</v>
      </c>
      <c r="L61" s="8">
        <v>550.4291058699996</v>
      </c>
      <c r="M61" s="8">
        <v>457.39438146999993</v>
      </c>
      <c r="N61" s="8">
        <f t="shared" si="35"/>
        <v>1727.9897984299994</v>
      </c>
      <c r="O61" s="8">
        <v>964.04372928000066</v>
      </c>
      <c r="P61" s="8">
        <v>565.76491051999994</v>
      </c>
      <c r="Q61" s="8">
        <v>549.77343578999989</v>
      </c>
      <c r="R61" s="8">
        <f t="shared" si="36"/>
        <v>2079.5820755900004</v>
      </c>
      <c r="S61" s="8">
        <f t="shared" si="6"/>
        <v>3807.57187402</v>
      </c>
      <c r="T61" s="8">
        <f t="shared" si="37"/>
        <v>7311.99893496</v>
      </c>
      <c r="U61" s="8"/>
      <c r="V61" s="8"/>
    </row>
    <row r="62" spans="1:22" ht="18" customHeight="1" x14ac:dyDescent="0.3">
      <c r="A62" s="12" t="s">
        <v>72</v>
      </c>
      <c r="B62" s="8">
        <v>539.50603072000001</v>
      </c>
      <c r="C62" s="8">
        <v>288.75332780000008</v>
      </c>
      <c r="D62" s="8">
        <v>401.47525987000017</v>
      </c>
      <c r="E62" s="8">
        <f t="shared" si="33"/>
        <v>1229.7346183900004</v>
      </c>
      <c r="F62" s="8">
        <v>626.9837049799994</v>
      </c>
      <c r="G62" s="8">
        <v>499.35379587</v>
      </c>
      <c r="H62" s="8">
        <v>398.38372448999996</v>
      </c>
      <c r="I62" s="8">
        <f t="shared" si="34"/>
        <v>1524.7212253399994</v>
      </c>
      <c r="J62" s="8">
        <f t="shared" si="3"/>
        <v>2754.4558437299997</v>
      </c>
      <c r="K62" s="8">
        <v>575.98879103000013</v>
      </c>
      <c r="L62" s="8">
        <v>473.30707098000011</v>
      </c>
      <c r="M62" s="8">
        <v>427.37600560000004</v>
      </c>
      <c r="N62" s="8">
        <f t="shared" si="35"/>
        <v>1476.6718676100004</v>
      </c>
      <c r="O62" s="8">
        <v>607.72151335000035</v>
      </c>
      <c r="P62" s="8">
        <v>494.5001189900002</v>
      </c>
      <c r="Q62" s="8">
        <v>563.66899381999997</v>
      </c>
      <c r="R62" s="8">
        <f t="shared" si="36"/>
        <v>1665.8906261600005</v>
      </c>
      <c r="S62" s="8">
        <f t="shared" si="6"/>
        <v>3142.5624937700009</v>
      </c>
      <c r="T62" s="8">
        <f t="shared" si="37"/>
        <v>5897.0183375000006</v>
      </c>
      <c r="U62" s="8"/>
      <c r="V62" s="8"/>
    </row>
    <row r="63" spans="1:22" s="10" customFormat="1" ht="15" customHeight="1" x14ac:dyDescent="0.3">
      <c r="A63" s="3"/>
      <c r="B63" s="11"/>
      <c r="C63" s="11"/>
      <c r="D63" s="11"/>
      <c r="E63" s="11"/>
      <c r="F63" s="11"/>
      <c r="G63" s="11"/>
      <c r="H63" s="11"/>
      <c r="I63" s="11"/>
      <c r="J63" s="11"/>
      <c r="K63" s="11"/>
      <c r="L63" s="11"/>
      <c r="M63" s="11"/>
      <c r="N63" s="11"/>
      <c r="O63" s="11"/>
      <c r="P63" s="11"/>
      <c r="Q63" s="11"/>
      <c r="R63" s="11"/>
      <c r="S63" s="11"/>
      <c r="T63" s="11"/>
      <c r="U63" s="11"/>
      <c r="V63" s="11"/>
    </row>
    <row r="64" spans="1:22" s="10" customFormat="1" ht="15" customHeight="1" x14ac:dyDescent="0.25">
      <c r="A64" s="10" t="s">
        <v>73</v>
      </c>
      <c r="B64" s="11">
        <f>SUM(B65:B69)</f>
        <v>957.2466429000001</v>
      </c>
      <c r="C64" s="11">
        <f t="shared" ref="C64:Q64" si="38">SUM(C65:C69)</f>
        <v>433.71057542</v>
      </c>
      <c r="D64" s="11">
        <f t="shared" si="38"/>
        <v>595.38153388000001</v>
      </c>
      <c r="E64" s="11">
        <f t="shared" ref="E64:E69" si="39">SUM(B64:D64)</f>
        <v>1986.3387522</v>
      </c>
      <c r="F64" s="11">
        <f t="shared" si="38"/>
        <v>1083.37895252</v>
      </c>
      <c r="G64" s="11">
        <f t="shared" si="38"/>
        <v>802.96698789000004</v>
      </c>
      <c r="H64" s="11">
        <f t="shared" si="38"/>
        <v>721.73699783000006</v>
      </c>
      <c r="I64" s="11">
        <f t="shared" ref="I64:I69" si="40">SUM(F64:H64)</f>
        <v>2608.0829382399997</v>
      </c>
      <c r="J64" s="11">
        <f t="shared" si="3"/>
        <v>4594.42169044</v>
      </c>
      <c r="K64" s="11">
        <f t="shared" si="38"/>
        <v>941.12931743000081</v>
      </c>
      <c r="L64" s="11">
        <f t="shared" si="38"/>
        <v>661.17336943999999</v>
      </c>
      <c r="M64" s="11">
        <f t="shared" si="38"/>
        <v>612.37785254999994</v>
      </c>
      <c r="N64" s="11">
        <f t="shared" ref="N64:N69" si="41">SUM(K64:M64)</f>
        <v>2214.680539420001</v>
      </c>
      <c r="O64" s="11">
        <f t="shared" si="38"/>
        <v>964.00847901000043</v>
      </c>
      <c r="P64" s="11">
        <f t="shared" si="38"/>
        <v>635.20898515999988</v>
      </c>
      <c r="Q64" s="11">
        <f t="shared" si="38"/>
        <v>685.64765879000004</v>
      </c>
      <c r="R64" s="11">
        <f t="shared" ref="R64:R69" si="42">SUM(O64:Q64)</f>
        <v>2284.8651229600005</v>
      </c>
      <c r="S64" s="11">
        <f t="shared" si="6"/>
        <v>4499.5456623800019</v>
      </c>
      <c r="T64" s="11">
        <f t="shared" ref="T64:T69" si="43">+J64+S64</f>
        <v>9093.9673528200019</v>
      </c>
      <c r="U64" s="11"/>
      <c r="V64" s="11"/>
    </row>
    <row r="65" spans="1:22" ht="15" customHeight="1" x14ac:dyDescent="0.3">
      <c r="A65" s="12" t="s">
        <v>74</v>
      </c>
      <c r="B65" s="8">
        <v>50.312189209999985</v>
      </c>
      <c r="C65" s="8">
        <v>27.60690632</v>
      </c>
      <c r="D65" s="8">
        <v>38.132361409999994</v>
      </c>
      <c r="E65" s="8">
        <f t="shared" si="39"/>
        <v>116.05145693999998</v>
      </c>
      <c r="F65" s="8">
        <v>66.298206289999996</v>
      </c>
      <c r="G65" s="8">
        <v>87.8887608</v>
      </c>
      <c r="H65" s="8">
        <v>56.136843829999997</v>
      </c>
      <c r="I65" s="8">
        <f t="shared" si="40"/>
        <v>210.32381092</v>
      </c>
      <c r="J65" s="8">
        <f t="shared" si="3"/>
        <v>326.37526786000001</v>
      </c>
      <c r="K65" s="8">
        <v>64.976121609999979</v>
      </c>
      <c r="L65" s="8">
        <v>22.547392290000001</v>
      </c>
      <c r="M65" s="8">
        <v>62.197724919999999</v>
      </c>
      <c r="N65" s="8">
        <f t="shared" si="41"/>
        <v>149.72123882</v>
      </c>
      <c r="O65" s="8">
        <v>65.906814929999982</v>
      </c>
      <c r="P65" s="8">
        <v>42.085195210000009</v>
      </c>
      <c r="Q65" s="8">
        <v>51.334011809999986</v>
      </c>
      <c r="R65" s="8">
        <f t="shared" si="42"/>
        <v>159.32602194999998</v>
      </c>
      <c r="S65" s="8">
        <f t="shared" si="6"/>
        <v>309.04726076999998</v>
      </c>
      <c r="T65" s="8">
        <f t="shared" si="43"/>
        <v>635.42252862999999</v>
      </c>
      <c r="U65" s="8"/>
      <c r="V65" s="8"/>
    </row>
    <row r="66" spans="1:22" ht="15" customHeight="1" x14ac:dyDescent="0.3">
      <c r="A66" s="12" t="s">
        <v>75</v>
      </c>
      <c r="B66" s="8">
        <v>91.72201604</v>
      </c>
      <c r="C66" s="8">
        <v>68.670515129999998</v>
      </c>
      <c r="D66" s="8">
        <v>70.453435689999992</v>
      </c>
      <c r="E66" s="8">
        <f t="shared" si="39"/>
        <v>230.84596685999998</v>
      </c>
      <c r="F66" s="8">
        <v>113.99129810999999</v>
      </c>
      <c r="G66" s="8">
        <v>91.410788150000002</v>
      </c>
      <c r="H66" s="8">
        <v>63.444144910000013</v>
      </c>
      <c r="I66" s="8">
        <f t="shared" si="40"/>
        <v>268.84623117000001</v>
      </c>
      <c r="J66" s="8">
        <f t="shared" si="3"/>
        <v>499.69219802999999</v>
      </c>
      <c r="K66" s="8">
        <v>89.310735520000037</v>
      </c>
      <c r="L66" s="8">
        <v>78.553399259999992</v>
      </c>
      <c r="M66" s="8">
        <v>69.342327430000012</v>
      </c>
      <c r="N66" s="8">
        <f t="shared" si="41"/>
        <v>237.20646221000004</v>
      </c>
      <c r="O66" s="8">
        <v>106.39819184000004</v>
      </c>
      <c r="P66" s="8">
        <v>81.088181569999989</v>
      </c>
      <c r="Q66" s="8">
        <v>82.159702580000044</v>
      </c>
      <c r="R66" s="8">
        <f t="shared" si="42"/>
        <v>269.6460759900001</v>
      </c>
      <c r="S66" s="8">
        <f t="shared" si="6"/>
        <v>506.85253820000014</v>
      </c>
      <c r="T66" s="8">
        <f t="shared" si="43"/>
        <v>1006.5447362300001</v>
      </c>
      <c r="U66" s="8"/>
      <c r="V66" s="8"/>
    </row>
    <row r="67" spans="1:22" ht="15" customHeight="1" x14ac:dyDescent="0.3">
      <c r="A67" s="12" t="s">
        <v>76</v>
      </c>
      <c r="B67" s="8">
        <v>228.21393154000003</v>
      </c>
      <c r="C67" s="8">
        <v>112.30244530000002</v>
      </c>
      <c r="D67" s="8">
        <v>173.66294794000001</v>
      </c>
      <c r="E67" s="8">
        <f t="shared" si="39"/>
        <v>514.17932478</v>
      </c>
      <c r="F67" s="8">
        <v>326.00772670000015</v>
      </c>
      <c r="G67" s="8">
        <v>252.07741976000003</v>
      </c>
      <c r="H67" s="8">
        <v>186.20359751000004</v>
      </c>
      <c r="I67" s="8">
        <f t="shared" si="40"/>
        <v>764.28874397000016</v>
      </c>
      <c r="J67" s="8">
        <f t="shared" si="3"/>
        <v>1278.4680687500002</v>
      </c>
      <c r="K67" s="8">
        <v>257.24731602000014</v>
      </c>
      <c r="L67" s="8">
        <v>182.91702544</v>
      </c>
      <c r="M67" s="8">
        <v>182.32601646999998</v>
      </c>
      <c r="N67" s="8">
        <f t="shared" si="41"/>
        <v>622.49035793000019</v>
      </c>
      <c r="O67" s="8">
        <v>237.42868698000007</v>
      </c>
      <c r="P67" s="8">
        <v>186.99560809999994</v>
      </c>
      <c r="Q67" s="8">
        <v>171.75329730999997</v>
      </c>
      <c r="R67" s="8">
        <f t="shared" si="42"/>
        <v>596.17759238999997</v>
      </c>
      <c r="S67" s="8">
        <f t="shared" si="6"/>
        <v>1218.6679503200003</v>
      </c>
      <c r="T67" s="8">
        <f t="shared" si="43"/>
        <v>2497.1360190700007</v>
      </c>
      <c r="U67" s="8"/>
      <c r="V67" s="8"/>
    </row>
    <row r="68" spans="1:22" ht="15" customHeight="1" x14ac:dyDescent="0.3">
      <c r="A68" s="12" t="s">
        <v>77</v>
      </c>
      <c r="B68" s="8">
        <v>426.52260113000011</v>
      </c>
      <c r="C68" s="8">
        <v>193.09857046999994</v>
      </c>
      <c r="D68" s="8">
        <v>272.67224533000007</v>
      </c>
      <c r="E68" s="8">
        <f t="shared" si="39"/>
        <v>892.29341693000015</v>
      </c>
      <c r="F68" s="8">
        <v>499.85455746999992</v>
      </c>
      <c r="G68" s="8">
        <v>312.24208287999994</v>
      </c>
      <c r="H68" s="8">
        <v>275.99131378999994</v>
      </c>
      <c r="I68" s="8">
        <f t="shared" si="40"/>
        <v>1088.08795414</v>
      </c>
      <c r="J68" s="8">
        <f t="shared" si="3"/>
        <v>1980.3813710700001</v>
      </c>
      <c r="K68" s="8">
        <v>366.67933691000059</v>
      </c>
      <c r="L68" s="8">
        <v>333.31110022999991</v>
      </c>
      <c r="M68" s="8">
        <v>257.36419424999997</v>
      </c>
      <c r="N68" s="8">
        <f t="shared" si="41"/>
        <v>957.35463139000046</v>
      </c>
      <c r="O68" s="8">
        <v>408.74399291000026</v>
      </c>
      <c r="P68" s="8">
        <v>286.98770471999995</v>
      </c>
      <c r="Q68" s="8">
        <v>341.33557347999994</v>
      </c>
      <c r="R68" s="8">
        <f t="shared" si="42"/>
        <v>1037.0672711100001</v>
      </c>
      <c r="S68" s="8">
        <f t="shared" si="6"/>
        <v>1994.4219025000007</v>
      </c>
      <c r="T68" s="8">
        <f t="shared" si="43"/>
        <v>3974.8032735700008</v>
      </c>
      <c r="U68" s="8"/>
      <c r="V68" s="8"/>
    </row>
    <row r="69" spans="1:22" ht="15" customHeight="1" x14ac:dyDescent="0.3">
      <c r="A69" s="12" t="s">
        <v>78</v>
      </c>
      <c r="B69" s="8">
        <v>160.47590498</v>
      </c>
      <c r="C69" s="8">
        <v>32.032138199999999</v>
      </c>
      <c r="D69" s="8">
        <v>40.460543509999994</v>
      </c>
      <c r="E69" s="8">
        <f t="shared" si="39"/>
        <v>232.96858669</v>
      </c>
      <c r="F69" s="8">
        <v>77.227163949999991</v>
      </c>
      <c r="G69" s="8">
        <v>59.347936299999994</v>
      </c>
      <c r="H69" s="8">
        <v>139.96109779</v>
      </c>
      <c r="I69" s="8">
        <f t="shared" si="40"/>
        <v>276.53619803999999</v>
      </c>
      <c r="J69" s="8">
        <f t="shared" si="3"/>
        <v>509.50478472999998</v>
      </c>
      <c r="K69" s="8">
        <v>162.91580737000001</v>
      </c>
      <c r="L69" s="8">
        <v>43.844452220000001</v>
      </c>
      <c r="M69" s="8">
        <v>41.147589480000008</v>
      </c>
      <c r="N69" s="8">
        <f t="shared" si="41"/>
        <v>247.90784907</v>
      </c>
      <c r="O69" s="8">
        <v>145.53079235000001</v>
      </c>
      <c r="P69" s="8">
        <v>38.052295559999997</v>
      </c>
      <c r="Q69" s="8">
        <v>39.065073609999999</v>
      </c>
      <c r="R69" s="8">
        <f t="shared" si="42"/>
        <v>222.64816152000003</v>
      </c>
      <c r="S69" s="8">
        <f t="shared" si="6"/>
        <v>470.55601059000003</v>
      </c>
      <c r="T69" s="8">
        <f t="shared" si="43"/>
        <v>980.06079532000001</v>
      </c>
      <c r="U69" s="8"/>
      <c r="V69" s="8"/>
    </row>
    <row r="70" spans="1:22" s="10" customFormat="1" ht="15" customHeight="1" x14ac:dyDescent="0.3">
      <c r="A70" s="3"/>
      <c r="B70" s="11"/>
      <c r="C70" s="11"/>
      <c r="D70" s="11"/>
      <c r="E70" s="11"/>
      <c r="F70" s="11"/>
      <c r="G70" s="11"/>
      <c r="H70" s="11"/>
      <c r="I70" s="11"/>
      <c r="J70" s="11"/>
      <c r="K70" s="11"/>
      <c r="L70" s="11"/>
      <c r="M70" s="11"/>
      <c r="N70" s="11"/>
      <c r="O70" s="11"/>
      <c r="P70" s="11"/>
      <c r="Q70" s="11"/>
      <c r="R70" s="11"/>
      <c r="S70" s="11"/>
      <c r="T70" s="11"/>
      <c r="U70" s="11"/>
      <c r="V70" s="11"/>
    </row>
    <row r="71" spans="1:22" s="10" customFormat="1" ht="15" customHeight="1" x14ac:dyDescent="0.25">
      <c r="A71" s="10" t="s">
        <v>79</v>
      </c>
      <c r="B71" s="11">
        <f>SUM(B72:B77)</f>
        <v>1672.2049067300002</v>
      </c>
      <c r="C71" s="11">
        <f t="shared" ref="C71:Q71" si="44">SUM(C72:C77)</f>
        <v>885.66061163000006</v>
      </c>
      <c r="D71" s="11">
        <f t="shared" si="44"/>
        <v>1084.0935092</v>
      </c>
      <c r="E71" s="11">
        <f t="shared" ref="E71:E77" si="45">SUM(B71:D71)</f>
        <v>3641.9590275600003</v>
      </c>
      <c r="F71" s="11">
        <f t="shared" si="44"/>
        <v>1679.6099711509999</v>
      </c>
      <c r="G71" s="11">
        <f t="shared" si="44"/>
        <v>1275.93176705</v>
      </c>
      <c r="H71" s="11">
        <f t="shared" si="44"/>
        <v>1390.3318829899999</v>
      </c>
      <c r="I71" s="11">
        <f t="shared" ref="I71:I77" si="46">SUM(F71:H71)</f>
        <v>4345.873621191</v>
      </c>
      <c r="J71" s="11">
        <f t="shared" si="3"/>
        <v>7987.8326487510003</v>
      </c>
      <c r="K71" s="11">
        <f t="shared" si="44"/>
        <v>1818.6505179300007</v>
      </c>
      <c r="L71" s="11">
        <f t="shared" si="44"/>
        <v>1287.2944652399999</v>
      </c>
      <c r="M71" s="11">
        <f t="shared" si="44"/>
        <v>1412.1259781099998</v>
      </c>
      <c r="N71" s="11">
        <f t="shared" ref="N71:N77" si="47">SUM(K71:M71)</f>
        <v>4518.0709612800001</v>
      </c>
      <c r="O71" s="11">
        <f t="shared" si="44"/>
        <v>1816.0567250099998</v>
      </c>
      <c r="P71" s="11">
        <f t="shared" si="44"/>
        <v>1308.2120964199999</v>
      </c>
      <c r="Q71" s="11">
        <f t="shared" si="44"/>
        <v>1775.47847069</v>
      </c>
      <c r="R71" s="11">
        <f t="shared" ref="R71:R77" si="48">SUM(O71:Q71)</f>
        <v>4899.7472921199997</v>
      </c>
      <c r="S71" s="11">
        <f t="shared" si="6"/>
        <v>9417.8182534000007</v>
      </c>
      <c r="T71" s="11">
        <f t="shared" ref="T71:T77" si="49">+J71+S71</f>
        <v>17405.650902150999</v>
      </c>
      <c r="U71" s="11"/>
      <c r="V71" s="11"/>
    </row>
    <row r="72" spans="1:22" ht="15" customHeight="1" x14ac:dyDescent="0.3">
      <c r="A72" s="12" t="s">
        <v>80</v>
      </c>
      <c r="B72" s="8">
        <v>509.60014590999981</v>
      </c>
      <c r="C72" s="8">
        <v>350.32297320000004</v>
      </c>
      <c r="D72" s="8">
        <v>358.78606701000012</v>
      </c>
      <c r="E72" s="8">
        <f t="shared" si="45"/>
        <v>1218.7091861199999</v>
      </c>
      <c r="F72" s="8">
        <v>569.85403954999992</v>
      </c>
      <c r="G72" s="8">
        <v>418.74071050999999</v>
      </c>
      <c r="H72" s="8">
        <v>576.45375123999997</v>
      </c>
      <c r="I72" s="8">
        <f t="shared" si="46"/>
        <v>1565.0485012999998</v>
      </c>
      <c r="J72" s="8">
        <f t="shared" ref="J72:J77" si="50">+E72+I72</f>
        <v>2783.7576874199995</v>
      </c>
      <c r="K72" s="8">
        <v>657.0449647600002</v>
      </c>
      <c r="L72" s="8">
        <v>455.10353675999988</v>
      </c>
      <c r="M72" s="8">
        <v>585.29664065999987</v>
      </c>
      <c r="N72" s="8">
        <f t="shared" si="47"/>
        <v>1697.4451421799999</v>
      </c>
      <c r="O72" s="8">
        <v>584.06319097000005</v>
      </c>
      <c r="P72" s="8">
        <v>395.99056153000004</v>
      </c>
      <c r="Q72" s="8">
        <v>759.63338180999995</v>
      </c>
      <c r="R72" s="8">
        <f t="shared" si="48"/>
        <v>1739.6871343100001</v>
      </c>
      <c r="S72" s="8">
        <f t="shared" ref="S72:S77" si="51">+N72+R72</f>
        <v>3437.1322764900001</v>
      </c>
      <c r="T72" s="8">
        <f t="shared" si="49"/>
        <v>6220.88996391</v>
      </c>
      <c r="U72" s="8"/>
      <c r="V72" s="8"/>
    </row>
    <row r="73" spans="1:22" ht="15" customHeight="1" x14ac:dyDescent="0.3">
      <c r="A73" s="12" t="s">
        <v>81</v>
      </c>
      <c r="B73" s="8">
        <v>107.14743394</v>
      </c>
      <c r="C73" s="8">
        <v>70.304293950000002</v>
      </c>
      <c r="D73" s="8">
        <v>92.992643029999996</v>
      </c>
      <c r="E73" s="8">
        <f t="shared" si="45"/>
        <v>270.44437091999998</v>
      </c>
      <c r="F73" s="8">
        <v>138.52156290000005</v>
      </c>
      <c r="G73" s="8">
        <v>95.645907099999988</v>
      </c>
      <c r="H73" s="8">
        <v>90.682282359999974</v>
      </c>
      <c r="I73" s="8">
        <f t="shared" si="46"/>
        <v>324.84975236000002</v>
      </c>
      <c r="J73" s="8">
        <f t="shared" si="50"/>
        <v>595.29412328000001</v>
      </c>
      <c r="K73" s="8">
        <v>110.6105059300001</v>
      </c>
      <c r="L73" s="8">
        <v>124.43220395</v>
      </c>
      <c r="M73" s="8">
        <v>95.682614829999991</v>
      </c>
      <c r="N73" s="8">
        <f t="shared" si="47"/>
        <v>330.72532471000011</v>
      </c>
      <c r="O73" s="8">
        <v>140.1486698300001</v>
      </c>
      <c r="P73" s="8">
        <v>87.689949870000007</v>
      </c>
      <c r="Q73" s="8">
        <v>165.83861752999996</v>
      </c>
      <c r="R73" s="8">
        <f t="shared" si="48"/>
        <v>393.67723723000006</v>
      </c>
      <c r="S73" s="8">
        <f t="shared" si="51"/>
        <v>724.40256194000017</v>
      </c>
      <c r="T73" s="8">
        <f t="shared" si="49"/>
        <v>1319.6966852200003</v>
      </c>
      <c r="U73" s="8"/>
      <c r="V73" s="8"/>
    </row>
    <row r="74" spans="1:22" ht="15" customHeight="1" x14ac:dyDescent="0.3">
      <c r="A74" s="12" t="s">
        <v>82</v>
      </c>
      <c r="B74" s="8">
        <v>606.92369563000011</v>
      </c>
      <c r="C74" s="8">
        <v>252.52961650999993</v>
      </c>
      <c r="D74" s="8">
        <v>400.64195211999998</v>
      </c>
      <c r="E74" s="8">
        <f t="shared" si="45"/>
        <v>1260.09526426</v>
      </c>
      <c r="F74" s="8">
        <v>579.6918154</v>
      </c>
      <c r="G74" s="8">
        <v>424.86968804999998</v>
      </c>
      <c r="H74" s="8">
        <v>406.45407329999995</v>
      </c>
      <c r="I74" s="8">
        <f t="shared" si="46"/>
        <v>1411.0155767499998</v>
      </c>
      <c r="J74" s="8">
        <f t="shared" si="50"/>
        <v>2671.1108410099996</v>
      </c>
      <c r="K74" s="8">
        <v>649.42499958000019</v>
      </c>
      <c r="L74" s="8">
        <v>399.94753522999997</v>
      </c>
      <c r="M74" s="8">
        <v>390.10291179999984</v>
      </c>
      <c r="N74" s="8">
        <f t="shared" si="47"/>
        <v>1439.4754466100001</v>
      </c>
      <c r="O74" s="8">
        <v>619.75354779999964</v>
      </c>
      <c r="P74" s="8">
        <v>471.40585051999994</v>
      </c>
      <c r="Q74" s="8">
        <v>441.67504794000001</v>
      </c>
      <c r="R74" s="8">
        <f t="shared" si="48"/>
        <v>1532.8344462599996</v>
      </c>
      <c r="S74" s="8">
        <f t="shared" si="51"/>
        <v>2972.3098928699997</v>
      </c>
      <c r="T74" s="8">
        <f t="shared" si="49"/>
        <v>5643.4207338799988</v>
      </c>
      <c r="U74" s="8"/>
      <c r="V74" s="8"/>
    </row>
    <row r="75" spans="1:22" ht="15" customHeight="1" x14ac:dyDescent="0.3">
      <c r="A75" s="12" t="s">
        <v>83</v>
      </c>
      <c r="B75" s="8">
        <v>105.32325006999997</v>
      </c>
      <c r="C75" s="8">
        <v>46.174943080000006</v>
      </c>
      <c r="D75" s="8">
        <v>58.604083289999991</v>
      </c>
      <c r="E75" s="8">
        <f t="shared" si="45"/>
        <v>210.10227643999997</v>
      </c>
      <c r="F75" s="8">
        <v>82.412434549999986</v>
      </c>
      <c r="G75" s="8">
        <v>69.728580510000015</v>
      </c>
      <c r="H75" s="8">
        <v>53.560347989999997</v>
      </c>
      <c r="I75" s="8">
        <f t="shared" si="46"/>
        <v>205.70136305</v>
      </c>
      <c r="J75" s="8">
        <f t="shared" si="50"/>
        <v>415.80363948999997</v>
      </c>
      <c r="K75" s="8">
        <v>86.793123620000017</v>
      </c>
      <c r="L75" s="8">
        <v>60.82839731</v>
      </c>
      <c r="M75" s="8">
        <v>60.501954760000004</v>
      </c>
      <c r="N75" s="8">
        <f t="shared" si="47"/>
        <v>208.12347569000002</v>
      </c>
      <c r="O75" s="8">
        <v>85.426961050000017</v>
      </c>
      <c r="P75" s="8">
        <v>66.967118679999999</v>
      </c>
      <c r="Q75" s="8">
        <v>65.346184530000016</v>
      </c>
      <c r="R75" s="8">
        <f t="shared" si="48"/>
        <v>217.74026426000003</v>
      </c>
      <c r="S75" s="8">
        <f t="shared" si="51"/>
        <v>425.86373995000008</v>
      </c>
      <c r="T75" s="8">
        <f t="shared" si="49"/>
        <v>841.6673794400001</v>
      </c>
      <c r="U75" s="8"/>
      <c r="V75" s="8"/>
    </row>
    <row r="76" spans="1:22" ht="15" customHeight="1" x14ac:dyDescent="0.3">
      <c r="A76" s="12" t="s">
        <v>84</v>
      </c>
      <c r="B76" s="8">
        <v>184.58356337000001</v>
      </c>
      <c r="C76" s="8">
        <v>62.340550749999991</v>
      </c>
      <c r="D76" s="8">
        <v>67.849815199999995</v>
      </c>
      <c r="E76" s="8">
        <f t="shared" si="45"/>
        <v>314.77392931999998</v>
      </c>
      <c r="F76" s="8">
        <v>115.94636644100001</v>
      </c>
      <c r="G76" s="8">
        <v>107.78642343</v>
      </c>
      <c r="H76" s="8">
        <v>111.95045033000001</v>
      </c>
      <c r="I76" s="8">
        <f t="shared" si="46"/>
        <v>335.68324020100005</v>
      </c>
      <c r="J76" s="8">
        <f t="shared" si="50"/>
        <v>650.45716952099997</v>
      </c>
      <c r="K76" s="8">
        <v>142.38354409000004</v>
      </c>
      <c r="L76" s="8">
        <v>85.943650180000006</v>
      </c>
      <c r="M76" s="8">
        <v>106.12588708</v>
      </c>
      <c r="N76" s="8">
        <f t="shared" si="47"/>
        <v>334.45308135000005</v>
      </c>
      <c r="O76" s="8">
        <v>172.04739094000001</v>
      </c>
      <c r="P76" s="8">
        <v>139.24030018000002</v>
      </c>
      <c r="Q76" s="8">
        <v>95.705538160000032</v>
      </c>
      <c r="R76" s="8">
        <f t="shared" si="48"/>
        <v>406.99322928000004</v>
      </c>
      <c r="S76" s="8">
        <f t="shared" si="51"/>
        <v>741.44631063000008</v>
      </c>
      <c r="T76" s="8">
        <f t="shared" si="49"/>
        <v>1391.9034801510002</v>
      </c>
      <c r="U76" s="8"/>
      <c r="V76" s="8"/>
    </row>
    <row r="77" spans="1:22" ht="15" customHeight="1" x14ac:dyDescent="0.3">
      <c r="A77" s="12" t="s">
        <v>85</v>
      </c>
      <c r="B77" s="8">
        <v>158.62681781000001</v>
      </c>
      <c r="C77" s="8">
        <v>103.98823414</v>
      </c>
      <c r="D77" s="8">
        <v>105.21894854999996</v>
      </c>
      <c r="E77" s="8">
        <f t="shared" si="45"/>
        <v>367.8340005</v>
      </c>
      <c r="F77" s="8">
        <v>193.18375230999996</v>
      </c>
      <c r="G77" s="8">
        <v>159.16045745000002</v>
      </c>
      <c r="H77" s="8">
        <v>151.23097777000001</v>
      </c>
      <c r="I77" s="8">
        <f t="shared" si="46"/>
        <v>503.57518752999999</v>
      </c>
      <c r="J77" s="8">
        <f t="shared" si="50"/>
        <v>871.40918803</v>
      </c>
      <c r="K77" s="8">
        <v>172.39337995</v>
      </c>
      <c r="L77" s="8">
        <v>161.03914180999999</v>
      </c>
      <c r="M77" s="8">
        <v>174.41596898000003</v>
      </c>
      <c r="N77" s="8">
        <f t="shared" si="47"/>
        <v>507.84849073999999</v>
      </c>
      <c r="O77" s="8">
        <v>214.61696441999996</v>
      </c>
      <c r="P77" s="8">
        <v>146.91831563999997</v>
      </c>
      <c r="Q77" s="8">
        <v>247.27970071999999</v>
      </c>
      <c r="R77" s="8">
        <f t="shared" si="48"/>
        <v>608.81498077999993</v>
      </c>
      <c r="S77" s="8">
        <f t="shared" si="51"/>
        <v>1116.6634715199998</v>
      </c>
      <c r="T77" s="8">
        <f t="shared" si="49"/>
        <v>1988.0726595499998</v>
      </c>
      <c r="U77" s="8"/>
      <c r="V77" s="8"/>
    </row>
    <row r="78" spans="1:22" s="10" customFormat="1" ht="15" customHeight="1" x14ac:dyDescent="0.3">
      <c r="A78" s="3"/>
      <c r="B78" s="11"/>
      <c r="C78" s="11"/>
      <c r="D78" s="11"/>
      <c r="E78" s="11"/>
      <c r="F78" s="11"/>
      <c r="G78" s="11"/>
      <c r="H78" s="11"/>
      <c r="I78" s="11"/>
      <c r="J78" s="11"/>
      <c r="K78" s="11"/>
      <c r="L78" s="11"/>
      <c r="M78" s="11"/>
      <c r="N78" s="11"/>
      <c r="O78" s="11"/>
      <c r="P78" s="11"/>
      <c r="Q78" s="11"/>
      <c r="R78" s="11"/>
      <c r="S78" s="11"/>
      <c r="T78" s="11"/>
      <c r="U78" s="11"/>
      <c r="V78" s="11"/>
    </row>
    <row r="79" spans="1:22" s="10" customFormat="1" ht="15" customHeight="1" x14ac:dyDescent="0.25">
      <c r="A79" s="10" t="s">
        <v>86</v>
      </c>
      <c r="B79" s="11">
        <f>SUM(B80:B84)</f>
        <v>1705.3725170400003</v>
      </c>
      <c r="C79" s="11">
        <f t="shared" ref="C79:Q79" si="52">SUM(C80:C84)</f>
        <v>813.39008120000017</v>
      </c>
      <c r="D79" s="11">
        <f t="shared" si="52"/>
        <v>1018.8068915300005</v>
      </c>
      <c r="E79" s="11">
        <f t="shared" ref="E79:E84" si="53">SUM(B79:D79)</f>
        <v>3537.5694897700009</v>
      </c>
      <c r="F79" s="11">
        <f t="shared" si="52"/>
        <v>1810.02208464</v>
      </c>
      <c r="G79" s="11">
        <f t="shared" si="52"/>
        <v>1260.4063532200003</v>
      </c>
      <c r="H79" s="11">
        <f t="shared" si="52"/>
        <v>1277.4263756900002</v>
      </c>
      <c r="I79" s="11">
        <f t="shared" ref="I79:I84" si="54">SUM(F79:H79)</f>
        <v>4347.8548135500005</v>
      </c>
      <c r="J79" s="11">
        <f t="shared" ref="J79:J84" si="55">+E79+I79</f>
        <v>7885.4243033200019</v>
      </c>
      <c r="K79" s="11">
        <f t="shared" si="52"/>
        <v>1505.9732369800008</v>
      </c>
      <c r="L79" s="11">
        <f t="shared" si="52"/>
        <v>1199.7843557300002</v>
      </c>
      <c r="M79" s="11">
        <f t="shared" si="52"/>
        <v>1252.3083320500002</v>
      </c>
      <c r="N79" s="11">
        <f t="shared" ref="N79:N84" si="56">SUM(K79:M79)</f>
        <v>3958.0659247600015</v>
      </c>
      <c r="O79" s="11">
        <f t="shared" si="52"/>
        <v>1658.5612324900017</v>
      </c>
      <c r="P79" s="11">
        <f t="shared" si="52"/>
        <v>1095.7842786000001</v>
      </c>
      <c r="Q79" s="11">
        <f t="shared" si="52"/>
        <v>1370.50383928</v>
      </c>
      <c r="R79" s="11">
        <f t="shared" ref="R79:R84" si="57">SUM(O79:Q79)</f>
        <v>4124.849350370002</v>
      </c>
      <c r="S79" s="11">
        <f t="shared" ref="S79:S84" si="58">+N79+R79</f>
        <v>8082.9152751300035</v>
      </c>
      <c r="T79" s="11">
        <f t="shared" ref="T79:T84" si="59">+J79+S79</f>
        <v>15968.339578450006</v>
      </c>
      <c r="U79" s="11"/>
      <c r="V79" s="11"/>
    </row>
    <row r="80" spans="1:22" ht="15" customHeight="1" x14ac:dyDescent="0.3">
      <c r="A80" s="12" t="s">
        <v>87</v>
      </c>
      <c r="B80" s="8">
        <v>275.77078137999996</v>
      </c>
      <c r="C80" s="8">
        <v>174.20904017000004</v>
      </c>
      <c r="D80" s="8">
        <v>140.96485042999998</v>
      </c>
      <c r="E80" s="8">
        <f t="shared" si="53"/>
        <v>590.94467197999995</v>
      </c>
      <c r="F80" s="8">
        <v>285.04975549999995</v>
      </c>
      <c r="G80" s="8">
        <v>191.40532396999993</v>
      </c>
      <c r="H80" s="8">
        <v>183.61878794</v>
      </c>
      <c r="I80" s="8">
        <f t="shared" si="54"/>
        <v>660.07386740999982</v>
      </c>
      <c r="J80" s="8">
        <f t="shared" si="55"/>
        <v>1251.0185393899997</v>
      </c>
      <c r="K80" s="8">
        <v>277.22287224000036</v>
      </c>
      <c r="L80" s="8">
        <v>187.08478997</v>
      </c>
      <c r="M80" s="8">
        <v>171.94549277000002</v>
      </c>
      <c r="N80" s="8">
        <f t="shared" si="56"/>
        <v>636.25315498000032</v>
      </c>
      <c r="O80" s="8">
        <v>284.97273191999989</v>
      </c>
      <c r="P80" s="8">
        <v>155.53533882999997</v>
      </c>
      <c r="Q80" s="8">
        <v>168.75580047999998</v>
      </c>
      <c r="R80" s="8">
        <f t="shared" si="57"/>
        <v>609.26387122999984</v>
      </c>
      <c r="S80" s="8">
        <f t="shared" si="58"/>
        <v>1245.51702621</v>
      </c>
      <c r="T80" s="8">
        <f t="shared" si="59"/>
        <v>2496.5355655999997</v>
      </c>
      <c r="U80" s="8"/>
      <c r="V80" s="8"/>
    </row>
    <row r="81" spans="1:22" ht="15" customHeight="1" x14ac:dyDescent="0.3">
      <c r="A81" s="12" t="s">
        <v>88</v>
      </c>
      <c r="B81" s="8">
        <v>102.04601036000001</v>
      </c>
      <c r="C81" s="8">
        <v>43.224457180000002</v>
      </c>
      <c r="D81" s="8">
        <v>69.574099590000003</v>
      </c>
      <c r="E81" s="8">
        <f t="shared" si="53"/>
        <v>214.84456713000003</v>
      </c>
      <c r="F81" s="8">
        <v>92.028272640000026</v>
      </c>
      <c r="G81" s="8">
        <v>89.598774450000008</v>
      </c>
      <c r="H81" s="8">
        <v>97.928307660000002</v>
      </c>
      <c r="I81" s="8">
        <f t="shared" si="54"/>
        <v>279.55535474999999</v>
      </c>
      <c r="J81" s="8">
        <f t="shared" si="55"/>
        <v>494.39992188000002</v>
      </c>
      <c r="K81" s="8">
        <v>75.714154370000017</v>
      </c>
      <c r="L81" s="8">
        <v>105.66484346</v>
      </c>
      <c r="M81" s="8">
        <v>86.312100960000009</v>
      </c>
      <c r="N81" s="8">
        <f t="shared" si="56"/>
        <v>267.69109879000001</v>
      </c>
      <c r="O81" s="8">
        <v>95.494039410000013</v>
      </c>
      <c r="P81" s="8">
        <v>79.453625779999982</v>
      </c>
      <c r="Q81" s="8">
        <v>119.35350704000003</v>
      </c>
      <c r="R81" s="8">
        <f t="shared" si="57"/>
        <v>294.30117223000002</v>
      </c>
      <c r="S81" s="8">
        <f t="shared" si="58"/>
        <v>561.99227102000009</v>
      </c>
      <c r="T81" s="8">
        <f t="shared" si="59"/>
        <v>1056.3921929000001</v>
      </c>
      <c r="U81" s="8"/>
      <c r="V81" s="8"/>
    </row>
    <row r="82" spans="1:22" ht="15" customHeight="1" x14ac:dyDescent="0.3">
      <c r="A82" s="12" t="s">
        <v>89</v>
      </c>
      <c r="B82" s="8">
        <v>176.12829505000002</v>
      </c>
      <c r="C82" s="8">
        <v>93.727776739999982</v>
      </c>
      <c r="D82" s="8">
        <v>109.91484288999999</v>
      </c>
      <c r="E82" s="8">
        <f t="shared" si="53"/>
        <v>379.77091467999998</v>
      </c>
      <c r="F82" s="8">
        <v>172.31509997999996</v>
      </c>
      <c r="G82" s="8">
        <v>134.11370320999993</v>
      </c>
      <c r="H82" s="8">
        <v>122.86663428000003</v>
      </c>
      <c r="I82" s="8">
        <f t="shared" si="54"/>
        <v>429.29543746999991</v>
      </c>
      <c r="J82" s="8">
        <f t="shared" si="55"/>
        <v>809.06635214999983</v>
      </c>
      <c r="K82" s="8">
        <v>159.88913071000005</v>
      </c>
      <c r="L82" s="8">
        <v>118.66642228999996</v>
      </c>
      <c r="M82" s="8">
        <v>123.71722484999997</v>
      </c>
      <c r="N82" s="8">
        <f t="shared" si="56"/>
        <v>402.27277785000001</v>
      </c>
      <c r="O82" s="8">
        <v>216.49378231000006</v>
      </c>
      <c r="P82" s="8">
        <v>114.70972228999996</v>
      </c>
      <c r="Q82" s="8">
        <v>152.56609269</v>
      </c>
      <c r="R82" s="8">
        <f t="shared" si="57"/>
        <v>483.76959729000004</v>
      </c>
      <c r="S82" s="8">
        <f t="shared" si="58"/>
        <v>886.0423751400001</v>
      </c>
      <c r="T82" s="8">
        <f t="shared" si="59"/>
        <v>1695.1087272899999</v>
      </c>
      <c r="U82" s="8"/>
      <c r="V82" s="8"/>
    </row>
    <row r="83" spans="1:22" ht="15" customHeight="1" x14ac:dyDescent="0.3">
      <c r="A83" s="12" t="s">
        <v>90</v>
      </c>
      <c r="B83" s="8">
        <v>159.99235659999997</v>
      </c>
      <c r="C83" s="8">
        <v>89.00789822000003</v>
      </c>
      <c r="D83" s="8">
        <v>110.11445144</v>
      </c>
      <c r="E83" s="8">
        <f t="shared" si="53"/>
        <v>359.11470625999999</v>
      </c>
      <c r="F83" s="8">
        <v>202.01683982</v>
      </c>
      <c r="G83" s="8">
        <v>145.01413732000006</v>
      </c>
      <c r="H83" s="8">
        <v>191.85718307999997</v>
      </c>
      <c r="I83" s="8">
        <f t="shared" si="54"/>
        <v>538.88816022000003</v>
      </c>
      <c r="J83" s="8">
        <f t="shared" si="55"/>
        <v>898.00286647999997</v>
      </c>
      <c r="K83" s="8">
        <v>130.63747812999998</v>
      </c>
      <c r="L83" s="8">
        <v>147.46994215000001</v>
      </c>
      <c r="M83" s="8">
        <v>130.8789309</v>
      </c>
      <c r="N83" s="8">
        <f t="shared" si="56"/>
        <v>408.98635117999999</v>
      </c>
      <c r="O83" s="8">
        <v>165.88819379</v>
      </c>
      <c r="P83" s="8">
        <v>112.8804686</v>
      </c>
      <c r="Q83" s="8">
        <v>133.18481334999996</v>
      </c>
      <c r="R83" s="8">
        <f t="shared" si="57"/>
        <v>411.95347573999999</v>
      </c>
      <c r="S83" s="8">
        <f t="shared" si="58"/>
        <v>820.93982691999997</v>
      </c>
      <c r="T83" s="8">
        <f t="shared" si="59"/>
        <v>1718.9426933999998</v>
      </c>
      <c r="U83" s="8"/>
      <c r="V83" s="8"/>
    </row>
    <row r="84" spans="1:22" ht="18" customHeight="1" x14ac:dyDescent="0.3">
      <c r="A84" s="12" t="s">
        <v>91</v>
      </c>
      <c r="B84" s="8">
        <v>991.43507365000016</v>
      </c>
      <c r="C84" s="8">
        <v>413.2209088900002</v>
      </c>
      <c r="D84" s="8">
        <v>588.2386471800005</v>
      </c>
      <c r="E84" s="8">
        <f t="shared" si="53"/>
        <v>1992.8946297200009</v>
      </c>
      <c r="F84" s="8">
        <v>1058.6121167000001</v>
      </c>
      <c r="G84" s="8">
        <v>700.27441427000019</v>
      </c>
      <c r="H84" s="8">
        <v>681.15546273000018</v>
      </c>
      <c r="I84" s="8">
        <f t="shared" si="54"/>
        <v>2440.0419937000006</v>
      </c>
      <c r="J84" s="8">
        <f t="shared" si="55"/>
        <v>4432.9366234200015</v>
      </c>
      <c r="K84" s="8">
        <v>862.5096015300004</v>
      </c>
      <c r="L84" s="8">
        <v>640.89835786000037</v>
      </c>
      <c r="M84" s="8">
        <v>739.45458257000018</v>
      </c>
      <c r="N84" s="8">
        <f t="shared" si="56"/>
        <v>2242.8625419600012</v>
      </c>
      <c r="O84" s="8">
        <v>895.71248506000165</v>
      </c>
      <c r="P84" s="8">
        <v>633.20512310000026</v>
      </c>
      <c r="Q84" s="8">
        <v>796.64362572000005</v>
      </c>
      <c r="R84" s="8">
        <f t="shared" si="57"/>
        <v>2325.561233880002</v>
      </c>
      <c r="S84" s="8">
        <f t="shared" si="58"/>
        <v>4568.4237758400031</v>
      </c>
      <c r="T84" s="8">
        <f t="shared" si="59"/>
        <v>9001.3603992600038</v>
      </c>
      <c r="U84" s="8"/>
      <c r="V84" s="8"/>
    </row>
    <row r="85" spans="1:22" s="10" customFormat="1" ht="15" customHeight="1" x14ac:dyDescent="0.3">
      <c r="A85" s="3"/>
      <c r="B85" s="11"/>
      <c r="C85" s="11"/>
      <c r="D85" s="11"/>
      <c r="E85" s="11"/>
      <c r="F85" s="11"/>
      <c r="G85" s="11"/>
      <c r="H85" s="11"/>
      <c r="I85" s="11"/>
      <c r="J85" s="11"/>
      <c r="K85" s="11"/>
      <c r="L85" s="11"/>
      <c r="M85" s="11"/>
      <c r="N85" s="11"/>
      <c r="O85" s="11"/>
      <c r="P85" s="11"/>
      <c r="Q85" s="11"/>
      <c r="R85" s="11"/>
      <c r="S85" s="11"/>
      <c r="T85" s="11"/>
      <c r="U85" s="11"/>
      <c r="V85" s="11"/>
    </row>
    <row r="86" spans="1:22" s="10" customFormat="1" ht="15" customHeight="1" x14ac:dyDescent="0.25">
      <c r="A86" s="10" t="s">
        <v>92</v>
      </c>
      <c r="B86" s="11">
        <f>SUM(B87:B88)</f>
        <v>1275.5816530300003</v>
      </c>
      <c r="C86" s="11">
        <f t="shared" ref="C86:Q86" si="60">SUM(C87:C88)</f>
        <v>780.42679271999987</v>
      </c>
      <c r="D86" s="11">
        <f t="shared" si="60"/>
        <v>1021.7948129199999</v>
      </c>
      <c r="E86" s="11">
        <f t="shared" ref="E86:E88" si="61">SUM(B86:D86)</f>
        <v>3077.8032586700001</v>
      </c>
      <c r="F86" s="11">
        <f t="shared" si="60"/>
        <v>2062.4367080100005</v>
      </c>
      <c r="G86" s="11">
        <f t="shared" si="60"/>
        <v>1080.3777384699999</v>
      </c>
      <c r="H86" s="11">
        <f t="shared" si="60"/>
        <v>951.74105980999991</v>
      </c>
      <c r="I86" s="11">
        <f t="shared" ref="I86:I88" si="62">SUM(F86:H86)</f>
        <v>4094.5555062900007</v>
      </c>
      <c r="J86" s="11">
        <f t="shared" ref="J86:J88" si="63">+E86+I86</f>
        <v>7172.3587649600013</v>
      </c>
      <c r="K86" s="11">
        <f t="shared" si="60"/>
        <v>1310.1537797300002</v>
      </c>
      <c r="L86" s="11">
        <f t="shared" si="60"/>
        <v>1129.1781933699999</v>
      </c>
      <c r="M86" s="11">
        <f t="shared" si="60"/>
        <v>957.8701353099998</v>
      </c>
      <c r="N86" s="11">
        <f t="shared" ref="N86:N88" si="64">SUM(K86:M86)</f>
        <v>3397.2021084099997</v>
      </c>
      <c r="O86" s="11">
        <f t="shared" si="60"/>
        <v>1546.71181544</v>
      </c>
      <c r="P86" s="11">
        <f t="shared" si="60"/>
        <v>1123.78363154</v>
      </c>
      <c r="Q86" s="11">
        <f t="shared" si="60"/>
        <v>1062.2200921399995</v>
      </c>
      <c r="R86" s="11">
        <f t="shared" ref="R86:R88" si="65">SUM(O86:Q86)</f>
        <v>3732.7155391199994</v>
      </c>
      <c r="S86" s="11">
        <f t="shared" ref="S86:S88" si="66">+N86+R86</f>
        <v>7129.9176475299992</v>
      </c>
      <c r="T86" s="11">
        <f t="shared" ref="T86:T88" si="67">+J86+S86</f>
        <v>14302.27641249</v>
      </c>
      <c r="U86" s="11"/>
      <c r="V86" s="11"/>
    </row>
    <row r="87" spans="1:22" ht="15" customHeight="1" x14ac:dyDescent="0.3">
      <c r="A87" s="12" t="s">
        <v>93</v>
      </c>
      <c r="B87" s="8">
        <v>990.44102007000038</v>
      </c>
      <c r="C87" s="8">
        <v>577.72422964999987</v>
      </c>
      <c r="D87" s="8">
        <v>732.70792039000003</v>
      </c>
      <c r="E87" s="8">
        <f t="shared" si="61"/>
        <v>2300.8731701100005</v>
      </c>
      <c r="F87" s="8">
        <v>1634.1529803000008</v>
      </c>
      <c r="G87" s="8">
        <v>777.42570296999997</v>
      </c>
      <c r="H87" s="8">
        <v>699.28070300999991</v>
      </c>
      <c r="I87" s="8">
        <f t="shared" si="62"/>
        <v>3110.8593862800003</v>
      </c>
      <c r="J87" s="8">
        <f t="shared" si="63"/>
        <v>5411.7325563900013</v>
      </c>
      <c r="K87" s="8">
        <v>955.70772294000051</v>
      </c>
      <c r="L87" s="8">
        <v>793.25178099000004</v>
      </c>
      <c r="M87" s="8">
        <v>669.31309679999981</v>
      </c>
      <c r="N87" s="8">
        <f t="shared" si="64"/>
        <v>2418.2726007300007</v>
      </c>
      <c r="O87" s="8">
        <v>1142.4995077099998</v>
      </c>
      <c r="P87" s="8">
        <v>814.05369513999995</v>
      </c>
      <c r="Q87" s="8">
        <v>711.10904110999968</v>
      </c>
      <c r="R87" s="8">
        <f t="shared" si="65"/>
        <v>2667.6622439599996</v>
      </c>
      <c r="S87" s="8">
        <f t="shared" si="66"/>
        <v>5085.9348446900003</v>
      </c>
      <c r="T87" s="8">
        <f t="shared" si="67"/>
        <v>10497.667401080002</v>
      </c>
      <c r="U87" s="8"/>
      <c r="V87" s="8"/>
    </row>
    <row r="88" spans="1:22" ht="15" customHeight="1" x14ac:dyDescent="0.3">
      <c r="A88" s="12" t="s">
        <v>94</v>
      </c>
      <c r="B88" s="8">
        <v>285.14063295999989</v>
      </c>
      <c r="C88" s="8">
        <v>202.70256307000002</v>
      </c>
      <c r="D88" s="8">
        <v>289.08689252999994</v>
      </c>
      <c r="E88" s="8">
        <f t="shared" si="61"/>
        <v>776.93008855999983</v>
      </c>
      <c r="F88" s="8">
        <v>428.28372770999994</v>
      </c>
      <c r="G88" s="8">
        <v>302.95203550000002</v>
      </c>
      <c r="H88" s="8">
        <v>252.46035679999997</v>
      </c>
      <c r="I88" s="8">
        <f t="shared" si="62"/>
        <v>983.69612000999996</v>
      </c>
      <c r="J88" s="8">
        <f t="shared" si="63"/>
        <v>1760.6262085699998</v>
      </c>
      <c r="K88" s="8">
        <v>354.44605678999977</v>
      </c>
      <c r="L88" s="8">
        <v>335.92641237999999</v>
      </c>
      <c r="M88" s="8">
        <v>288.55703851000004</v>
      </c>
      <c r="N88" s="8">
        <f t="shared" si="64"/>
        <v>978.92950767999969</v>
      </c>
      <c r="O88" s="8">
        <v>404.21230773000013</v>
      </c>
      <c r="P88" s="8">
        <v>309.7299364000001</v>
      </c>
      <c r="Q88" s="8">
        <v>351.11105102999989</v>
      </c>
      <c r="R88" s="8">
        <f t="shared" si="65"/>
        <v>1065.0532951600003</v>
      </c>
      <c r="S88" s="8">
        <f t="shared" si="66"/>
        <v>2043.98280284</v>
      </c>
      <c r="T88" s="8">
        <f t="shared" si="67"/>
        <v>3804.6090114099998</v>
      </c>
      <c r="U88" s="8"/>
      <c r="V88" s="8"/>
    </row>
    <row r="89" spans="1:22" s="10" customFormat="1" ht="15" customHeight="1" x14ac:dyDescent="0.3">
      <c r="A89" s="3"/>
      <c r="B89" s="11"/>
      <c r="C89" s="11"/>
      <c r="D89" s="11"/>
      <c r="E89" s="11"/>
      <c r="F89" s="11"/>
      <c r="G89" s="11"/>
      <c r="H89" s="11"/>
      <c r="I89" s="11"/>
      <c r="J89" s="11"/>
      <c r="K89" s="11"/>
      <c r="L89" s="11"/>
      <c r="M89" s="11"/>
      <c r="N89" s="11"/>
      <c r="O89" s="11"/>
      <c r="P89" s="11"/>
      <c r="Q89" s="11"/>
      <c r="R89" s="11"/>
      <c r="S89" s="11"/>
      <c r="T89" s="11"/>
      <c r="U89" s="11"/>
      <c r="V89" s="11"/>
    </row>
    <row r="90" spans="1:22" s="10" customFormat="1" ht="15" customHeight="1" x14ac:dyDescent="0.25">
      <c r="A90" s="10" t="s">
        <v>95</v>
      </c>
      <c r="B90" s="11">
        <f>SUM(B91:B94)</f>
        <v>7666.7750852599947</v>
      </c>
      <c r="C90" s="11">
        <f t="shared" ref="C90:Q90" si="68">SUM(C91:C94)</f>
        <v>4174.3564843999993</v>
      </c>
      <c r="D90" s="11">
        <f t="shared" si="68"/>
        <v>4734.2608038999988</v>
      </c>
      <c r="E90" s="11">
        <f t="shared" ref="E90:E94" si="69">SUM(B90:D90)</f>
        <v>16575.392373559993</v>
      </c>
      <c r="F90" s="11">
        <f t="shared" si="68"/>
        <v>11157.657701349999</v>
      </c>
      <c r="G90" s="11">
        <f t="shared" si="68"/>
        <v>7422.2233556499996</v>
      </c>
      <c r="H90" s="11">
        <f t="shared" si="68"/>
        <v>5053.4253602299996</v>
      </c>
      <c r="I90" s="11">
        <f t="shared" ref="I90:I94" si="70">SUM(F90:H90)</f>
        <v>23633.30641723</v>
      </c>
      <c r="J90" s="11">
        <f t="shared" ref="J90:J94" si="71">+E90+I90</f>
        <v>40208.698790789989</v>
      </c>
      <c r="K90" s="11">
        <f t="shared" si="68"/>
        <v>7827.3886489000006</v>
      </c>
      <c r="L90" s="11">
        <f t="shared" si="68"/>
        <v>7580.944258759997</v>
      </c>
      <c r="M90" s="11">
        <f t="shared" si="68"/>
        <v>5134.7499662700011</v>
      </c>
      <c r="N90" s="11">
        <f t="shared" ref="N90:N94" si="72">SUM(K90:M90)</f>
        <v>20543.082873929998</v>
      </c>
      <c r="O90" s="11">
        <f t="shared" si="68"/>
        <v>8350.288141519999</v>
      </c>
      <c r="P90" s="11">
        <f t="shared" si="68"/>
        <v>7536.4441037500019</v>
      </c>
      <c r="Q90" s="11">
        <f t="shared" si="68"/>
        <v>5821.2928260200006</v>
      </c>
      <c r="R90" s="11">
        <f t="shared" ref="R90:R94" si="73">SUM(O90:Q90)</f>
        <v>21708.025071290002</v>
      </c>
      <c r="S90" s="11">
        <f t="shared" ref="S90:S94" si="74">+N90+R90</f>
        <v>42251.107945219999</v>
      </c>
      <c r="T90" s="11">
        <f t="shared" ref="T90:T94" si="75">+J90+S90</f>
        <v>82459.806736009981</v>
      </c>
      <c r="U90" s="11"/>
      <c r="V90" s="11"/>
    </row>
    <row r="91" spans="1:22" ht="15" customHeight="1" x14ac:dyDescent="0.3">
      <c r="A91" s="12" t="s">
        <v>96</v>
      </c>
      <c r="B91" s="8">
        <v>309.10204557999998</v>
      </c>
      <c r="C91" s="8">
        <v>190.21223993999996</v>
      </c>
      <c r="D91" s="8">
        <v>248.58892815999997</v>
      </c>
      <c r="E91" s="8">
        <f t="shared" si="69"/>
        <v>747.90321367999991</v>
      </c>
      <c r="F91" s="8">
        <v>385.54797382000004</v>
      </c>
      <c r="G91" s="8">
        <v>342.77098883999992</v>
      </c>
      <c r="H91" s="8">
        <v>286.36259110999998</v>
      </c>
      <c r="I91" s="8">
        <f t="shared" si="70"/>
        <v>1014.6815537699999</v>
      </c>
      <c r="J91" s="8">
        <f t="shared" si="71"/>
        <v>1762.5847674499998</v>
      </c>
      <c r="K91" s="8">
        <v>317.32098621000006</v>
      </c>
      <c r="L91" s="8">
        <v>369.44090910999989</v>
      </c>
      <c r="M91" s="8">
        <v>294.92934441</v>
      </c>
      <c r="N91" s="8">
        <f t="shared" si="72"/>
        <v>981.69123972999989</v>
      </c>
      <c r="O91" s="8">
        <v>381.45076390999992</v>
      </c>
      <c r="P91" s="8">
        <v>300.52009349000002</v>
      </c>
      <c r="Q91" s="8">
        <v>336.32130291999999</v>
      </c>
      <c r="R91" s="8">
        <f t="shared" si="73"/>
        <v>1018.2921603199999</v>
      </c>
      <c r="S91" s="8">
        <f t="shared" si="74"/>
        <v>1999.9834000499998</v>
      </c>
      <c r="T91" s="8">
        <f t="shared" si="75"/>
        <v>3762.5681674999996</v>
      </c>
      <c r="U91" s="8"/>
      <c r="V91" s="8"/>
    </row>
    <row r="92" spans="1:22" ht="15" customHeight="1" x14ac:dyDescent="0.3">
      <c r="A92" s="12" t="s">
        <v>97</v>
      </c>
      <c r="B92" s="8">
        <v>1682.6687469299973</v>
      </c>
      <c r="C92" s="8">
        <v>1067.4529060499997</v>
      </c>
      <c r="D92" s="8">
        <v>1366.6329652799991</v>
      </c>
      <c r="E92" s="8">
        <f t="shared" si="69"/>
        <v>4116.7546182599963</v>
      </c>
      <c r="F92" s="8">
        <v>2511.6232069700009</v>
      </c>
      <c r="G92" s="8">
        <v>1668.4727166499995</v>
      </c>
      <c r="H92" s="8">
        <v>1117.5072781500003</v>
      </c>
      <c r="I92" s="8">
        <f t="shared" si="70"/>
        <v>5297.6032017700009</v>
      </c>
      <c r="J92" s="8">
        <f t="shared" si="71"/>
        <v>9414.3578200299962</v>
      </c>
      <c r="K92" s="8">
        <v>2002.1254485000009</v>
      </c>
      <c r="L92" s="8">
        <v>1509.665641359999</v>
      </c>
      <c r="M92" s="8">
        <v>1266.4804881999994</v>
      </c>
      <c r="N92" s="8">
        <f t="shared" si="72"/>
        <v>4778.2715780599992</v>
      </c>
      <c r="O92" s="8">
        <v>2298.0048393399989</v>
      </c>
      <c r="P92" s="8">
        <v>1922.3198807400022</v>
      </c>
      <c r="Q92" s="8">
        <v>1285.9165510900002</v>
      </c>
      <c r="R92" s="8">
        <f t="shared" si="73"/>
        <v>5506.2412711700017</v>
      </c>
      <c r="S92" s="8">
        <f t="shared" si="74"/>
        <v>10284.512849230001</v>
      </c>
      <c r="T92" s="8">
        <f t="shared" si="75"/>
        <v>19698.870669259995</v>
      </c>
      <c r="U92" s="8"/>
      <c r="V92" s="8"/>
    </row>
    <row r="93" spans="1:22" ht="15" customHeight="1" x14ac:dyDescent="0.3">
      <c r="A93" s="12" t="s">
        <v>98</v>
      </c>
      <c r="B93" s="8">
        <v>1884.1440331799986</v>
      </c>
      <c r="C93" s="8">
        <v>1198.4972510599991</v>
      </c>
      <c r="D93" s="8">
        <v>1184.5944819899996</v>
      </c>
      <c r="E93" s="8">
        <f t="shared" si="69"/>
        <v>4267.2357662299974</v>
      </c>
      <c r="F93" s="8">
        <v>2284.8236757299996</v>
      </c>
      <c r="G93" s="8">
        <v>1396.3910377200002</v>
      </c>
      <c r="H93" s="8">
        <v>1246.5004646199995</v>
      </c>
      <c r="I93" s="8">
        <f t="shared" si="70"/>
        <v>4927.7151780699996</v>
      </c>
      <c r="J93" s="8">
        <f t="shared" si="71"/>
        <v>9194.950944299997</v>
      </c>
      <c r="K93" s="8">
        <v>1920.2560070899995</v>
      </c>
      <c r="L93" s="8">
        <v>1762.7871193999983</v>
      </c>
      <c r="M93" s="8">
        <v>1326.9373732200013</v>
      </c>
      <c r="N93" s="8">
        <f t="shared" si="72"/>
        <v>5009.9804997099991</v>
      </c>
      <c r="O93" s="8">
        <v>2092.1414736600009</v>
      </c>
      <c r="P93" s="8">
        <v>1517.8089507</v>
      </c>
      <c r="Q93" s="8">
        <v>1348.6294867800007</v>
      </c>
      <c r="R93" s="8">
        <f t="shared" si="73"/>
        <v>4958.5799111400011</v>
      </c>
      <c r="S93" s="8">
        <f t="shared" si="74"/>
        <v>9968.5604108500011</v>
      </c>
      <c r="T93" s="8">
        <f t="shared" si="75"/>
        <v>19163.511355149996</v>
      </c>
      <c r="U93" s="8"/>
      <c r="V93" s="8"/>
    </row>
    <row r="94" spans="1:22" ht="18" customHeight="1" x14ac:dyDescent="0.3">
      <c r="A94" s="12" t="s">
        <v>99</v>
      </c>
      <c r="B94" s="8">
        <v>3790.860259569999</v>
      </c>
      <c r="C94" s="8">
        <v>1718.1940873500002</v>
      </c>
      <c r="D94" s="8">
        <v>1934.4444284699998</v>
      </c>
      <c r="E94" s="8">
        <f t="shared" si="69"/>
        <v>7443.4987753899986</v>
      </c>
      <c r="F94" s="8">
        <v>5975.6628448299989</v>
      </c>
      <c r="G94" s="8">
        <v>4014.5886124399999</v>
      </c>
      <c r="H94" s="8">
        <v>2403.0550263499999</v>
      </c>
      <c r="I94" s="8">
        <f t="shared" si="70"/>
        <v>12393.306483619999</v>
      </c>
      <c r="J94" s="8">
        <f t="shared" si="71"/>
        <v>19836.805259009998</v>
      </c>
      <c r="K94" s="8">
        <v>3587.6862071000005</v>
      </c>
      <c r="L94" s="8">
        <v>3939.0505888900002</v>
      </c>
      <c r="M94" s="8">
        <v>2246.4027604400012</v>
      </c>
      <c r="N94" s="8">
        <f t="shared" si="72"/>
        <v>9773.1395564300019</v>
      </c>
      <c r="O94" s="8">
        <v>3578.6910646100005</v>
      </c>
      <c r="P94" s="8">
        <v>3795.7951788200003</v>
      </c>
      <c r="Q94" s="8">
        <v>2850.4254852299996</v>
      </c>
      <c r="R94" s="8">
        <f t="shared" si="73"/>
        <v>10224.911728660001</v>
      </c>
      <c r="S94" s="8">
        <f t="shared" si="74"/>
        <v>19998.051285090005</v>
      </c>
      <c r="T94" s="8">
        <f t="shared" si="75"/>
        <v>39834.856544100003</v>
      </c>
      <c r="U94" s="8"/>
      <c r="V94" s="8"/>
    </row>
    <row r="95" spans="1:22" ht="15" customHeight="1" x14ac:dyDescent="0.3">
      <c r="A95" s="12"/>
      <c r="B95" s="8"/>
      <c r="C95" s="8"/>
      <c r="D95" s="8"/>
      <c r="E95" s="8"/>
      <c r="F95" s="8"/>
      <c r="G95" s="8"/>
      <c r="H95" s="8"/>
      <c r="I95" s="8"/>
      <c r="J95" s="8"/>
      <c r="K95" s="8"/>
      <c r="L95" s="8"/>
      <c r="M95" s="8"/>
      <c r="N95" s="8"/>
      <c r="O95" s="8"/>
      <c r="P95" s="8"/>
      <c r="Q95" s="8"/>
      <c r="R95" s="8"/>
      <c r="S95" s="8"/>
      <c r="T95" s="8"/>
      <c r="U95" s="8"/>
      <c r="V95" s="8"/>
    </row>
    <row r="96" spans="1:22" s="10" customFormat="1" ht="15" customHeight="1" x14ac:dyDescent="0.25">
      <c r="A96" s="13" t="s">
        <v>100</v>
      </c>
      <c r="B96" s="11">
        <f>SUM(B97:B102)</f>
        <v>1172.6861982600001</v>
      </c>
      <c r="C96" s="11">
        <f t="shared" ref="C96:Q96" si="76">SUM(C97:C102)</f>
        <v>638.59866542999998</v>
      </c>
      <c r="D96" s="11">
        <f t="shared" si="76"/>
        <v>827.50705907999986</v>
      </c>
      <c r="E96" s="11">
        <f t="shared" ref="E96:E102" si="77">SUM(B96:D96)</f>
        <v>2638.7919227699999</v>
      </c>
      <c r="F96" s="11">
        <f t="shared" si="76"/>
        <v>1393.9772437200004</v>
      </c>
      <c r="G96" s="11">
        <f t="shared" si="76"/>
        <v>1082.6768516300001</v>
      </c>
      <c r="H96" s="11">
        <f t="shared" si="76"/>
        <v>861.05135883000003</v>
      </c>
      <c r="I96" s="11">
        <f t="shared" ref="I96:I102" si="78">SUM(F96:H96)</f>
        <v>3337.7054541800007</v>
      </c>
      <c r="J96" s="11">
        <f t="shared" ref="J96:J102" si="79">+E96+I96</f>
        <v>5976.4973769500011</v>
      </c>
      <c r="K96" s="11">
        <f t="shared" si="76"/>
        <v>1381.1192113100001</v>
      </c>
      <c r="L96" s="11">
        <f t="shared" si="76"/>
        <v>1128.5738635500002</v>
      </c>
      <c r="M96" s="11">
        <f t="shared" si="76"/>
        <v>1124.18579869</v>
      </c>
      <c r="N96" s="11">
        <f t="shared" ref="N96:N102" si="80">SUM(K96:M96)</f>
        <v>3633.8788735500002</v>
      </c>
      <c r="O96" s="11">
        <f t="shared" si="76"/>
        <v>1304.5988682300001</v>
      </c>
      <c r="P96" s="11">
        <f t="shared" si="76"/>
        <v>943.94211881999991</v>
      </c>
      <c r="Q96" s="11">
        <f t="shared" si="76"/>
        <v>1287.6400500999998</v>
      </c>
      <c r="R96" s="11">
        <f t="shared" ref="R96:R102" si="81">SUM(O96:Q96)</f>
        <v>3536.1810371499996</v>
      </c>
      <c r="S96" s="11">
        <f t="shared" ref="S96:S102" si="82">+N96+R96</f>
        <v>7170.0599106999998</v>
      </c>
      <c r="T96" s="11">
        <f t="shared" ref="T96:T102" si="83">+J96+S96</f>
        <v>13146.557287650001</v>
      </c>
      <c r="U96" s="11"/>
      <c r="V96" s="11"/>
    </row>
    <row r="97" spans="1:22" ht="15" customHeight="1" x14ac:dyDescent="0.3">
      <c r="A97" s="12" t="s">
        <v>101</v>
      </c>
      <c r="B97" s="8">
        <v>92.329162870000005</v>
      </c>
      <c r="C97" s="8">
        <v>59.783818140000001</v>
      </c>
      <c r="D97" s="8">
        <v>84.071441179999994</v>
      </c>
      <c r="E97" s="8">
        <f t="shared" si="77"/>
        <v>236.18442218999999</v>
      </c>
      <c r="F97" s="8">
        <v>112.04053912000001</v>
      </c>
      <c r="G97" s="8">
        <v>123.63556908000001</v>
      </c>
      <c r="H97" s="8">
        <v>75.156395079999996</v>
      </c>
      <c r="I97" s="8">
        <f t="shared" si="78"/>
        <v>310.83250328000003</v>
      </c>
      <c r="J97" s="8">
        <f t="shared" si="79"/>
        <v>547.01692547000005</v>
      </c>
      <c r="K97" s="8">
        <v>128.11485104000002</v>
      </c>
      <c r="L97" s="8">
        <v>79.657297060000005</v>
      </c>
      <c r="M97" s="8">
        <v>79.968228490000001</v>
      </c>
      <c r="N97" s="8">
        <f t="shared" si="80"/>
        <v>287.74037659000004</v>
      </c>
      <c r="O97" s="8">
        <v>105.79863525</v>
      </c>
      <c r="P97" s="8">
        <v>69.568555979999985</v>
      </c>
      <c r="Q97" s="8">
        <v>94.466572530000008</v>
      </c>
      <c r="R97" s="8">
        <f t="shared" si="81"/>
        <v>269.83376376000001</v>
      </c>
      <c r="S97" s="8">
        <f t="shared" si="82"/>
        <v>557.57414035000011</v>
      </c>
      <c r="T97" s="8">
        <f t="shared" si="83"/>
        <v>1104.59106582</v>
      </c>
      <c r="U97" s="8"/>
      <c r="V97" s="8"/>
    </row>
    <row r="98" spans="1:22" ht="15" customHeight="1" x14ac:dyDescent="0.3">
      <c r="A98" s="12" t="s">
        <v>102</v>
      </c>
      <c r="B98" s="8">
        <v>234.53180169000004</v>
      </c>
      <c r="C98" s="8">
        <v>126.03025022</v>
      </c>
      <c r="D98" s="8">
        <v>168.36712398999998</v>
      </c>
      <c r="E98" s="8">
        <f t="shared" si="77"/>
        <v>528.92917590000002</v>
      </c>
      <c r="F98" s="8">
        <v>337.15076820000019</v>
      </c>
      <c r="G98" s="8">
        <v>207.64423059000003</v>
      </c>
      <c r="H98" s="8">
        <v>167.26144286999997</v>
      </c>
      <c r="I98" s="8">
        <f t="shared" si="78"/>
        <v>712.05644166000025</v>
      </c>
      <c r="J98" s="8">
        <f t="shared" si="79"/>
        <v>1240.9856175600003</v>
      </c>
      <c r="K98" s="8">
        <v>342.70565298999998</v>
      </c>
      <c r="L98" s="8">
        <v>272.98988134000001</v>
      </c>
      <c r="M98" s="8">
        <v>213.76769350000001</v>
      </c>
      <c r="N98" s="8">
        <f t="shared" si="80"/>
        <v>829.46322783000005</v>
      </c>
      <c r="O98" s="8">
        <v>277.91376972000006</v>
      </c>
      <c r="P98" s="8">
        <v>194.54685323000001</v>
      </c>
      <c r="Q98" s="8">
        <v>271.65887291999996</v>
      </c>
      <c r="R98" s="8">
        <f t="shared" si="81"/>
        <v>744.11949587000004</v>
      </c>
      <c r="S98" s="8">
        <f t="shared" si="82"/>
        <v>1573.5827237000001</v>
      </c>
      <c r="T98" s="8">
        <f t="shared" si="83"/>
        <v>2814.5683412600001</v>
      </c>
      <c r="U98" s="8"/>
      <c r="V98" s="8"/>
    </row>
    <row r="99" spans="1:22" ht="15" customHeight="1" x14ac:dyDescent="0.3">
      <c r="A99" s="12" t="s">
        <v>103</v>
      </c>
      <c r="B99" s="8">
        <v>89.995975000000016</v>
      </c>
      <c r="C99" s="8">
        <v>73.940872470000016</v>
      </c>
      <c r="D99" s="8">
        <v>92.059566910000015</v>
      </c>
      <c r="E99" s="8">
        <f t="shared" si="77"/>
        <v>255.99641438000003</v>
      </c>
      <c r="F99" s="8">
        <v>98.491400010000021</v>
      </c>
      <c r="G99" s="8">
        <v>117.90958855000001</v>
      </c>
      <c r="H99" s="8">
        <v>58.130686349999991</v>
      </c>
      <c r="I99" s="8">
        <f t="shared" si="78"/>
        <v>274.53167490999999</v>
      </c>
      <c r="J99" s="8">
        <f t="shared" si="79"/>
        <v>530.52808929000003</v>
      </c>
      <c r="K99" s="8">
        <v>130.60883433000001</v>
      </c>
      <c r="L99" s="8">
        <v>119.82677511000001</v>
      </c>
      <c r="M99" s="8">
        <v>114.65227263000003</v>
      </c>
      <c r="N99" s="8">
        <f t="shared" si="80"/>
        <v>365.08788207000003</v>
      </c>
      <c r="O99" s="8">
        <v>112.21943906000001</v>
      </c>
      <c r="P99" s="8">
        <v>69.152046099999993</v>
      </c>
      <c r="Q99" s="8">
        <v>135.04359989999998</v>
      </c>
      <c r="R99" s="8">
        <f t="shared" si="81"/>
        <v>316.41508506000002</v>
      </c>
      <c r="S99" s="8">
        <f t="shared" si="82"/>
        <v>681.50296713000012</v>
      </c>
      <c r="T99" s="8">
        <f t="shared" si="83"/>
        <v>1212.0310564200001</v>
      </c>
      <c r="U99" s="8"/>
      <c r="V99" s="8"/>
    </row>
    <row r="100" spans="1:22" ht="15" customHeight="1" x14ac:dyDescent="0.3">
      <c r="A100" s="12" t="s">
        <v>104</v>
      </c>
      <c r="B100" s="8">
        <v>117.56199911</v>
      </c>
      <c r="C100" s="8">
        <v>86.216371170000016</v>
      </c>
      <c r="D100" s="8">
        <v>122.5442309</v>
      </c>
      <c r="E100" s="8">
        <f t="shared" si="77"/>
        <v>326.32260117999999</v>
      </c>
      <c r="F100" s="8">
        <v>146.24659124000001</v>
      </c>
      <c r="G100" s="8">
        <v>131.20232132999999</v>
      </c>
      <c r="H100" s="8">
        <v>118.56142162</v>
      </c>
      <c r="I100" s="8">
        <f t="shared" si="78"/>
        <v>396.01033418999998</v>
      </c>
      <c r="J100" s="8">
        <f t="shared" si="79"/>
        <v>722.33293536999997</v>
      </c>
      <c r="K100" s="8">
        <v>143.65860719</v>
      </c>
      <c r="L100" s="8">
        <v>130.02884965000001</v>
      </c>
      <c r="M100" s="8">
        <v>128.65626460999999</v>
      </c>
      <c r="N100" s="8">
        <f t="shared" si="80"/>
        <v>402.34372144999998</v>
      </c>
      <c r="O100" s="8">
        <v>178.52871145999998</v>
      </c>
      <c r="P100" s="8">
        <v>115.93507915999997</v>
      </c>
      <c r="Q100" s="8">
        <v>212.45954893000004</v>
      </c>
      <c r="R100" s="8">
        <f t="shared" si="81"/>
        <v>506.92333954999998</v>
      </c>
      <c r="S100" s="8">
        <f t="shared" si="82"/>
        <v>909.26706100000001</v>
      </c>
      <c r="T100" s="8">
        <f t="shared" si="83"/>
        <v>1631.5999963700001</v>
      </c>
      <c r="U100" s="8"/>
      <c r="V100" s="8"/>
    </row>
    <row r="101" spans="1:22" ht="15" customHeight="1" x14ac:dyDescent="0.3">
      <c r="A101" s="12" t="s">
        <v>105</v>
      </c>
      <c r="B101" s="8">
        <v>110.11104236000003</v>
      </c>
      <c r="C101" s="8">
        <v>57.878950610000011</v>
      </c>
      <c r="D101" s="8">
        <v>75.181688109999982</v>
      </c>
      <c r="E101" s="8">
        <f t="shared" si="77"/>
        <v>243.17168108000001</v>
      </c>
      <c r="F101" s="8">
        <v>150.01278024000001</v>
      </c>
      <c r="G101" s="8">
        <v>68.135038890000004</v>
      </c>
      <c r="H101" s="8">
        <v>87.223451799999978</v>
      </c>
      <c r="I101" s="8">
        <f t="shared" si="78"/>
        <v>305.37127092999998</v>
      </c>
      <c r="J101" s="8">
        <f t="shared" si="79"/>
        <v>548.54295201000002</v>
      </c>
      <c r="K101" s="8">
        <v>91.532467030000007</v>
      </c>
      <c r="L101" s="8">
        <v>77.138114160000015</v>
      </c>
      <c r="M101" s="8">
        <v>78.053840699999995</v>
      </c>
      <c r="N101" s="8">
        <f t="shared" si="80"/>
        <v>246.72442189</v>
      </c>
      <c r="O101" s="8">
        <v>99.507089470000011</v>
      </c>
      <c r="P101" s="8">
        <v>75.780409360000007</v>
      </c>
      <c r="Q101" s="8">
        <v>119.14852135999999</v>
      </c>
      <c r="R101" s="8">
        <f t="shared" si="81"/>
        <v>294.43602019000002</v>
      </c>
      <c r="S101" s="8">
        <f t="shared" si="82"/>
        <v>541.16044208000005</v>
      </c>
      <c r="T101" s="8">
        <f t="shared" si="83"/>
        <v>1089.7033940900001</v>
      </c>
      <c r="U101" s="8"/>
      <c r="V101" s="8"/>
    </row>
    <row r="102" spans="1:22" ht="18" customHeight="1" x14ac:dyDescent="0.3">
      <c r="A102" s="12" t="s">
        <v>106</v>
      </c>
      <c r="B102" s="8">
        <v>528.15621722999992</v>
      </c>
      <c r="C102" s="8">
        <v>234.74840281999997</v>
      </c>
      <c r="D102" s="8">
        <v>285.28300798999993</v>
      </c>
      <c r="E102" s="8">
        <f t="shared" si="77"/>
        <v>1048.1876280399999</v>
      </c>
      <c r="F102" s="8">
        <v>550.03516491000005</v>
      </c>
      <c r="G102" s="8">
        <v>434.15010318999992</v>
      </c>
      <c r="H102" s="8">
        <v>354.71796111000015</v>
      </c>
      <c r="I102" s="8">
        <f t="shared" si="78"/>
        <v>1338.9032292100001</v>
      </c>
      <c r="J102" s="8">
        <f t="shared" si="79"/>
        <v>2387.0908572500002</v>
      </c>
      <c r="K102" s="8">
        <v>544.49879873000009</v>
      </c>
      <c r="L102" s="8">
        <v>448.93294622999997</v>
      </c>
      <c r="M102" s="8">
        <v>509.08749876000002</v>
      </c>
      <c r="N102" s="8">
        <f t="shared" si="80"/>
        <v>1502.5192437200001</v>
      </c>
      <c r="O102" s="8">
        <v>530.63122327000008</v>
      </c>
      <c r="P102" s="8">
        <v>418.95917499000001</v>
      </c>
      <c r="Q102" s="8">
        <v>454.86293445999991</v>
      </c>
      <c r="R102" s="8">
        <f t="shared" si="81"/>
        <v>1404.4533327199999</v>
      </c>
      <c r="S102" s="8">
        <f t="shared" si="82"/>
        <v>2906.97257644</v>
      </c>
      <c r="T102" s="8">
        <f t="shared" si="83"/>
        <v>5294.0634336900002</v>
      </c>
      <c r="U102" s="8"/>
      <c r="V102" s="8"/>
    </row>
    <row r="103" spans="1:22" s="10" customFormat="1" ht="15" customHeight="1" x14ac:dyDescent="0.3">
      <c r="A103" s="12"/>
      <c r="B103" s="11"/>
      <c r="C103" s="11"/>
      <c r="D103" s="11"/>
      <c r="E103" s="11"/>
      <c r="F103" s="11"/>
      <c r="G103" s="11"/>
      <c r="H103" s="11"/>
      <c r="I103" s="11"/>
      <c r="J103" s="11"/>
      <c r="K103" s="11"/>
      <c r="L103" s="11"/>
      <c r="M103" s="11"/>
      <c r="N103" s="11"/>
      <c r="O103" s="11"/>
      <c r="P103" s="11"/>
      <c r="Q103" s="11"/>
      <c r="R103" s="11"/>
      <c r="S103" s="11"/>
      <c r="T103" s="11"/>
      <c r="U103" s="11"/>
      <c r="V103" s="11"/>
    </row>
    <row r="104" spans="1:22" s="10" customFormat="1" ht="15" customHeight="1" x14ac:dyDescent="0.25">
      <c r="A104" s="13" t="s">
        <v>107</v>
      </c>
      <c r="B104" s="11">
        <f>SUM(B105:B109)</f>
        <v>868.59930028999997</v>
      </c>
      <c r="C104" s="11">
        <f t="shared" ref="C104:Q104" si="84">SUM(C105:C109)</f>
        <v>473.77646920999996</v>
      </c>
      <c r="D104" s="11">
        <f t="shared" si="84"/>
        <v>621.26023200000009</v>
      </c>
      <c r="E104" s="11">
        <f t="shared" ref="E104:E107" si="85">SUM(B104:D104)</f>
        <v>1963.6360015</v>
      </c>
      <c r="F104" s="11">
        <f t="shared" si="84"/>
        <v>911.11433149000004</v>
      </c>
      <c r="G104" s="11">
        <f t="shared" si="84"/>
        <v>679.17859683999995</v>
      </c>
      <c r="H104" s="11">
        <f t="shared" si="84"/>
        <v>642.83283002000007</v>
      </c>
      <c r="I104" s="11">
        <f t="shared" ref="I104:I107" si="86">SUM(F104:H104)</f>
        <v>2233.1257583500001</v>
      </c>
      <c r="J104" s="11">
        <f t="shared" ref="J104:J107" si="87">+E104+I104</f>
        <v>4196.7617598500001</v>
      </c>
      <c r="K104" s="11">
        <f t="shared" si="84"/>
        <v>944.69693309999991</v>
      </c>
      <c r="L104" s="11">
        <f t="shared" si="84"/>
        <v>696.22117892999995</v>
      </c>
      <c r="M104" s="11">
        <f t="shared" si="84"/>
        <v>652.18210625000006</v>
      </c>
      <c r="N104" s="11">
        <f t="shared" ref="N104:N107" si="88">SUM(K104:M104)</f>
        <v>2293.1002182800003</v>
      </c>
      <c r="O104" s="11">
        <f t="shared" si="84"/>
        <v>898.10145555000008</v>
      </c>
      <c r="P104" s="11">
        <f t="shared" si="84"/>
        <v>657.6420300499999</v>
      </c>
      <c r="Q104" s="11">
        <f t="shared" si="84"/>
        <v>766.42585301999998</v>
      </c>
      <c r="R104" s="11">
        <f t="shared" ref="R104:R107" si="89">SUM(O104:Q104)</f>
        <v>2322.16933862</v>
      </c>
      <c r="S104" s="11">
        <f t="shared" ref="S104:S107" si="90">+N104+R104</f>
        <v>4615.2695569000007</v>
      </c>
      <c r="T104" s="11">
        <f t="shared" ref="T104:T107" si="91">+J104+S104</f>
        <v>8812.0313167500008</v>
      </c>
      <c r="U104" s="11"/>
      <c r="V104" s="11"/>
    </row>
    <row r="105" spans="1:22" ht="15" customHeight="1" x14ac:dyDescent="0.3">
      <c r="A105" s="12" t="s">
        <v>108</v>
      </c>
      <c r="B105" s="8">
        <v>248.08972314000002</v>
      </c>
      <c r="C105" s="8">
        <v>120.88931107999998</v>
      </c>
      <c r="D105" s="8">
        <v>145.46346448999995</v>
      </c>
      <c r="E105" s="8">
        <f t="shared" si="85"/>
        <v>514.44249871</v>
      </c>
      <c r="F105" s="8">
        <v>254.89192947999993</v>
      </c>
      <c r="G105" s="8">
        <v>167.75605956000001</v>
      </c>
      <c r="H105" s="8">
        <v>149.54253383999998</v>
      </c>
      <c r="I105" s="8">
        <f t="shared" si="86"/>
        <v>572.19052287999989</v>
      </c>
      <c r="J105" s="8">
        <f t="shared" si="87"/>
        <v>1086.6330215899998</v>
      </c>
      <c r="K105" s="8">
        <v>239.63510995999997</v>
      </c>
      <c r="L105" s="8">
        <v>173.36174803999995</v>
      </c>
      <c r="M105" s="8">
        <v>147.16775081</v>
      </c>
      <c r="N105" s="8">
        <f t="shared" si="88"/>
        <v>560.16460880999989</v>
      </c>
      <c r="O105" s="8">
        <v>247.56897914000004</v>
      </c>
      <c r="P105" s="8">
        <v>170.77457869</v>
      </c>
      <c r="Q105" s="8">
        <v>200.06400962000001</v>
      </c>
      <c r="R105" s="8">
        <f t="shared" si="89"/>
        <v>618.40756744999999</v>
      </c>
      <c r="S105" s="8">
        <f t="shared" si="90"/>
        <v>1178.5721762599999</v>
      </c>
      <c r="T105" s="8">
        <f t="shared" si="91"/>
        <v>2265.2051978499994</v>
      </c>
      <c r="U105" s="8"/>
      <c r="V105" s="8"/>
    </row>
    <row r="106" spans="1:22" ht="15" customHeight="1" x14ac:dyDescent="0.3">
      <c r="A106" s="12" t="s">
        <v>109</v>
      </c>
      <c r="B106" s="8">
        <v>241.84837097999997</v>
      </c>
      <c r="C106" s="8">
        <v>99.537654409999988</v>
      </c>
      <c r="D106" s="8">
        <v>180.25690802000005</v>
      </c>
      <c r="E106" s="8">
        <f t="shared" si="85"/>
        <v>521.64293341000007</v>
      </c>
      <c r="F106" s="8">
        <v>210.63853667000001</v>
      </c>
      <c r="G106" s="8">
        <v>156.83737246999999</v>
      </c>
      <c r="H106" s="8">
        <v>137.17653163</v>
      </c>
      <c r="I106" s="8">
        <f t="shared" si="86"/>
        <v>504.65244077</v>
      </c>
      <c r="J106" s="8">
        <f t="shared" si="87"/>
        <v>1026.2953741800002</v>
      </c>
      <c r="K106" s="8">
        <v>203.24353939000002</v>
      </c>
      <c r="L106" s="8">
        <v>124.63904194999996</v>
      </c>
      <c r="M106" s="8">
        <v>142.48963038000002</v>
      </c>
      <c r="N106" s="8">
        <f t="shared" si="88"/>
        <v>470.37221172</v>
      </c>
      <c r="O106" s="8">
        <v>191.17123333999999</v>
      </c>
      <c r="P106" s="8">
        <v>173.41441604000002</v>
      </c>
      <c r="Q106" s="8">
        <v>212.57209163000002</v>
      </c>
      <c r="R106" s="8">
        <f t="shared" si="89"/>
        <v>577.15774101</v>
      </c>
      <c r="S106" s="8">
        <f t="shared" si="90"/>
        <v>1047.5299527299999</v>
      </c>
      <c r="T106" s="8">
        <f t="shared" si="91"/>
        <v>2073.8253269100001</v>
      </c>
      <c r="U106" s="8"/>
      <c r="V106" s="8"/>
    </row>
    <row r="107" spans="1:22" ht="15" customHeight="1" x14ac:dyDescent="0.3">
      <c r="A107" s="12" t="s">
        <v>110</v>
      </c>
      <c r="B107" s="8">
        <v>73.301366760000008</v>
      </c>
      <c r="C107" s="8">
        <v>41.726651369999992</v>
      </c>
      <c r="D107" s="8">
        <v>66.271538880000008</v>
      </c>
      <c r="E107" s="8">
        <f t="shared" si="85"/>
        <v>181.29955701</v>
      </c>
      <c r="F107" s="8">
        <v>67.692369870000007</v>
      </c>
      <c r="G107" s="8">
        <v>84.72123006999999</v>
      </c>
      <c r="H107" s="8">
        <v>87.708058200000025</v>
      </c>
      <c r="I107" s="8">
        <f t="shared" si="86"/>
        <v>240.12165814000002</v>
      </c>
      <c r="J107" s="8">
        <f t="shared" si="87"/>
        <v>421.42121515000002</v>
      </c>
      <c r="K107" s="8">
        <v>78.053390030000003</v>
      </c>
      <c r="L107" s="8">
        <v>65.804059049999992</v>
      </c>
      <c r="M107" s="8">
        <v>76.774936189999991</v>
      </c>
      <c r="N107" s="8">
        <f t="shared" si="88"/>
        <v>220.63238526999999</v>
      </c>
      <c r="O107" s="8">
        <v>73.139713400000005</v>
      </c>
      <c r="P107" s="8">
        <v>54.978804399999994</v>
      </c>
      <c r="Q107" s="8">
        <v>86.383819550000013</v>
      </c>
      <c r="R107" s="8">
        <f t="shared" si="89"/>
        <v>214.50233735</v>
      </c>
      <c r="S107" s="8">
        <f t="shared" si="90"/>
        <v>435.13472261999999</v>
      </c>
      <c r="T107" s="8">
        <f t="shared" si="91"/>
        <v>856.55593777000001</v>
      </c>
      <c r="U107" s="8"/>
      <c r="V107" s="8"/>
    </row>
    <row r="108" spans="1:22" ht="18" customHeight="1" x14ac:dyDescent="0.3">
      <c r="A108" s="12" t="s">
        <v>111</v>
      </c>
      <c r="B108" s="8"/>
      <c r="C108" s="8"/>
      <c r="D108" s="8"/>
      <c r="E108" s="8"/>
      <c r="F108" s="8"/>
      <c r="G108" s="8"/>
      <c r="H108" s="8"/>
      <c r="I108" s="8"/>
      <c r="J108" s="8"/>
      <c r="K108" s="8"/>
      <c r="L108" s="8"/>
      <c r="M108" s="8"/>
      <c r="N108" s="8"/>
      <c r="O108" s="8"/>
      <c r="P108" s="8"/>
      <c r="Q108" s="8"/>
      <c r="R108" s="8"/>
      <c r="S108" s="8"/>
      <c r="T108" s="8"/>
      <c r="U108" s="8"/>
      <c r="V108" s="8"/>
    </row>
    <row r="109" spans="1:22" ht="15" customHeight="1" x14ac:dyDescent="0.3">
      <c r="A109" s="12" t="s">
        <v>112</v>
      </c>
      <c r="B109" s="8">
        <v>305.35983940999995</v>
      </c>
      <c r="C109" s="8">
        <v>211.62285234999999</v>
      </c>
      <c r="D109" s="8">
        <v>229.26832061000002</v>
      </c>
      <c r="E109" s="8">
        <f>SUM(B109:D109)</f>
        <v>746.25101237000001</v>
      </c>
      <c r="F109" s="8">
        <v>377.89149547000011</v>
      </c>
      <c r="G109" s="8">
        <v>269.86393473999999</v>
      </c>
      <c r="H109" s="8">
        <v>268.40570635</v>
      </c>
      <c r="I109" s="8">
        <f>SUM(F109:H109)</f>
        <v>916.16113656000016</v>
      </c>
      <c r="J109" s="8">
        <f t="shared" ref="J109" si="92">+E109+I109</f>
        <v>1662.4121489300001</v>
      </c>
      <c r="K109" s="8">
        <v>423.76489371999992</v>
      </c>
      <c r="L109" s="8">
        <v>332.41632988999999</v>
      </c>
      <c r="M109" s="8">
        <v>285.74978887000003</v>
      </c>
      <c r="N109" s="8">
        <f>SUM(K109:M109)</f>
        <v>1041.9310124799999</v>
      </c>
      <c r="O109" s="8">
        <v>386.22152967</v>
      </c>
      <c r="P109" s="8">
        <v>258.47423091999997</v>
      </c>
      <c r="Q109" s="8">
        <v>267.40593221999995</v>
      </c>
      <c r="R109" s="8">
        <f>SUM(O109:Q109)</f>
        <v>912.10169280999992</v>
      </c>
      <c r="S109" s="8">
        <f t="shared" ref="S109" si="93">+N109+R109</f>
        <v>1954.0327052899997</v>
      </c>
      <c r="T109" s="8">
        <f>+J109+S109</f>
        <v>3616.4448542199998</v>
      </c>
      <c r="U109" s="8"/>
      <c r="V109" s="8"/>
    </row>
    <row r="110" spans="1:22" s="10" customFormat="1" ht="15" customHeight="1" x14ac:dyDescent="0.3">
      <c r="A110" s="12"/>
      <c r="B110" s="11"/>
      <c r="C110" s="11"/>
      <c r="D110" s="11"/>
      <c r="E110" s="11"/>
      <c r="F110" s="11"/>
      <c r="G110" s="11"/>
      <c r="H110" s="11"/>
      <c r="I110" s="11"/>
      <c r="J110" s="11"/>
      <c r="K110" s="11"/>
      <c r="L110" s="11"/>
      <c r="M110" s="11"/>
      <c r="N110" s="11"/>
      <c r="O110" s="11"/>
      <c r="P110" s="11"/>
      <c r="Q110" s="11"/>
      <c r="R110" s="11"/>
      <c r="S110" s="11"/>
      <c r="T110" s="11"/>
      <c r="U110" s="11"/>
      <c r="V110" s="11"/>
    </row>
    <row r="111" spans="1:22" s="10" customFormat="1" ht="15" customHeight="1" x14ac:dyDescent="0.25">
      <c r="A111" s="13" t="s">
        <v>113</v>
      </c>
      <c r="B111" s="11">
        <f>SUM(B112:B116)</f>
        <v>1455.8767522400005</v>
      </c>
      <c r="C111" s="11">
        <f t="shared" ref="C111:Q111" si="94">SUM(C112:C116)</f>
        <v>866.24253624000039</v>
      </c>
      <c r="D111" s="11">
        <f t="shared" si="94"/>
        <v>1136.6854812699999</v>
      </c>
      <c r="E111" s="11">
        <f t="shared" ref="E111:E116" si="95">SUM(B111:D111)</f>
        <v>3458.804769750001</v>
      </c>
      <c r="F111" s="11">
        <f t="shared" si="94"/>
        <v>1798.9704998399995</v>
      </c>
      <c r="G111" s="11">
        <f t="shared" si="94"/>
        <v>1391.2374887899998</v>
      </c>
      <c r="H111" s="11">
        <f t="shared" si="94"/>
        <v>1205.0137617999999</v>
      </c>
      <c r="I111" s="11">
        <f t="shared" ref="I111:I116" si="96">SUM(F111:H111)</f>
        <v>4395.2217504299988</v>
      </c>
      <c r="J111" s="11">
        <f t="shared" ref="J111:J116" si="97">+E111+I111</f>
        <v>7854.0265201799994</v>
      </c>
      <c r="K111" s="11">
        <f t="shared" si="94"/>
        <v>1612.5209413799998</v>
      </c>
      <c r="L111" s="11">
        <f t="shared" si="94"/>
        <v>1537.2078595200003</v>
      </c>
      <c r="M111" s="11">
        <f t="shared" si="94"/>
        <v>1417.2491326499999</v>
      </c>
      <c r="N111" s="11">
        <f t="shared" ref="N111:N116" si="98">SUM(K111:M111)</f>
        <v>4566.9779335500007</v>
      </c>
      <c r="O111" s="11">
        <f t="shared" si="94"/>
        <v>1736.6870225799996</v>
      </c>
      <c r="P111" s="11">
        <f t="shared" si="94"/>
        <v>1067.5053512000004</v>
      </c>
      <c r="Q111" s="11">
        <f t="shared" si="94"/>
        <v>1519.0031386200003</v>
      </c>
      <c r="R111" s="11">
        <f t="shared" ref="R111:R116" si="99">SUM(O111:Q111)</f>
        <v>4323.1955123999996</v>
      </c>
      <c r="S111" s="11">
        <f t="shared" ref="S111:S116" si="100">+N111+R111</f>
        <v>8890.1734459500003</v>
      </c>
      <c r="T111" s="11">
        <f t="shared" ref="T111:T116" si="101">+J111+S111</f>
        <v>16744.19996613</v>
      </c>
      <c r="U111" s="11"/>
      <c r="V111" s="11"/>
    </row>
    <row r="112" spans="1:22" ht="15" customHeight="1" x14ac:dyDescent="0.3">
      <c r="A112" s="12" t="s">
        <v>114</v>
      </c>
      <c r="B112" s="8">
        <v>290.00236302000025</v>
      </c>
      <c r="C112" s="8">
        <v>201.48127248000009</v>
      </c>
      <c r="D112" s="8">
        <v>255.79945776999998</v>
      </c>
      <c r="E112" s="8">
        <f t="shared" si="95"/>
        <v>747.28309327000034</v>
      </c>
      <c r="F112" s="8">
        <v>350.52417434999984</v>
      </c>
      <c r="G112" s="8">
        <v>285.11379813000002</v>
      </c>
      <c r="H112" s="8">
        <v>242.66059732999992</v>
      </c>
      <c r="I112" s="8">
        <f t="shared" si="96"/>
        <v>878.29856980999989</v>
      </c>
      <c r="J112" s="8">
        <f t="shared" si="97"/>
        <v>1625.5816630800002</v>
      </c>
      <c r="K112" s="8">
        <v>307.13610502</v>
      </c>
      <c r="L112" s="8">
        <v>266.42538614999995</v>
      </c>
      <c r="M112" s="8">
        <v>230.96196765000005</v>
      </c>
      <c r="N112" s="8">
        <f t="shared" si="98"/>
        <v>804.52345881999997</v>
      </c>
      <c r="O112" s="8">
        <v>297.27300608999997</v>
      </c>
      <c r="P112" s="8">
        <v>213.47977617000001</v>
      </c>
      <c r="Q112" s="8">
        <v>317.45261411000001</v>
      </c>
      <c r="R112" s="8">
        <f t="shared" si="99"/>
        <v>828.20539637000002</v>
      </c>
      <c r="S112" s="8">
        <f t="shared" si="100"/>
        <v>1632.7288551900001</v>
      </c>
      <c r="T112" s="8">
        <f t="shared" si="101"/>
        <v>3258.3105182700001</v>
      </c>
      <c r="U112" s="8"/>
      <c r="V112" s="8"/>
    </row>
    <row r="113" spans="1:22" ht="15" customHeight="1" x14ac:dyDescent="0.3">
      <c r="A113" s="12" t="s">
        <v>115</v>
      </c>
      <c r="B113" s="8">
        <v>171.40838853000005</v>
      </c>
      <c r="C113" s="8">
        <v>119.21891364000001</v>
      </c>
      <c r="D113" s="8">
        <v>145.39045095000003</v>
      </c>
      <c r="E113" s="8">
        <f t="shared" si="95"/>
        <v>436.01775312000007</v>
      </c>
      <c r="F113" s="8">
        <v>257.77895157000006</v>
      </c>
      <c r="G113" s="8">
        <v>261.55209993000005</v>
      </c>
      <c r="H113" s="8">
        <v>212.52876146999998</v>
      </c>
      <c r="I113" s="8">
        <f t="shared" si="96"/>
        <v>731.85981297000001</v>
      </c>
      <c r="J113" s="8">
        <f t="shared" si="97"/>
        <v>1167.8775660900001</v>
      </c>
      <c r="K113" s="8">
        <v>172.18867191000004</v>
      </c>
      <c r="L113" s="8">
        <v>152.07588055000002</v>
      </c>
      <c r="M113" s="8">
        <v>157.47425008999997</v>
      </c>
      <c r="N113" s="8">
        <f t="shared" si="98"/>
        <v>481.73880255000006</v>
      </c>
      <c r="O113" s="8">
        <v>212.76232563999991</v>
      </c>
      <c r="P113" s="8">
        <v>148.26086110999998</v>
      </c>
      <c r="Q113" s="8">
        <v>182.90424057999999</v>
      </c>
      <c r="R113" s="8">
        <f t="shared" si="99"/>
        <v>543.92742732999989</v>
      </c>
      <c r="S113" s="8">
        <f t="shared" si="100"/>
        <v>1025.6662298799999</v>
      </c>
      <c r="T113" s="8">
        <f t="shared" si="101"/>
        <v>2193.5437959700002</v>
      </c>
      <c r="U113" s="8"/>
      <c r="V113" s="8"/>
    </row>
    <row r="114" spans="1:22" ht="15" customHeight="1" x14ac:dyDescent="0.3">
      <c r="A114" s="12" t="s">
        <v>116</v>
      </c>
      <c r="B114" s="8">
        <v>172.28110188999992</v>
      </c>
      <c r="C114" s="8">
        <v>104.39458728999999</v>
      </c>
      <c r="D114" s="8">
        <v>132.11247434000003</v>
      </c>
      <c r="E114" s="8">
        <f t="shared" si="95"/>
        <v>408.7881635199999</v>
      </c>
      <c r="F114" s="8">
        <v>187.78656622999989</v>
      </c>
      <c r="G114" s="8">
        <v>117.23797167000002</v>
      </c>
      <c r="H114" s="8">
        <v>166.46840628999996</v>
      </c>
      <c r="I114" s="8">
        <f t="shared" si="96"/>
        <v>471.49294418999989</v>
      </c>
      <c r="J114" s="8">
        <f t="shared" si="97"/>
        <v>880.28110770999979</v>
      </c>
      <c r="K114" s="8">
        <v>140.88659577999996</v>
      </c>
      <c r="L114" s="8">
        <v>142.36838945000002</v>
      </c>
      <c r="M114" s="8">
        <v>144.45350217000001</v>
      </c>
      <c r="N114" s="8">
        <f t="shared" si="98"/>
        <v>427.70848739999997</v>
      </c>
      <c r="O114" s="8">
        <v>182.77656755000001</v>
      </c>
      <c r="P114" s="8">
        <v>128.90822648000002</v>
      </c>
      <c r="Q114" s="8">
        <v>159.63679724000002</v>
      </c>
      <c r="R114" s="8">
        <f t="shared" si="99"/>
        <v>471.32159127000006</v>
      </c>
      <c r="S114" s="8">
        <f t="shared" si="100"/>
        <v>899.03007866999997</v>
      </c>
      <c r="T114" s="8">
        <f t="shared" si="101"/>
        <v>1779.3111863799998</v>
      </c>
      <c r="U114" s="8"/>
      <c r="V114" s="8"/>
    </row>
    <row r="115" spans="1:22" ht="18" customHeight="1" x14ac:dyDescent="0.3">
      <c r="A115" s="12" t="s">
        <v>117</v>
      </c>
      <c r="B115" s="8">
        <v>84.702058449999981</v>
      </c>
      <c r="C115" s="8">
        <v>53.07938450999999</v>
      </c>
      <c r="D115" s="8">
        <v>60.137373519999997</v>
      </c>
      <c r="E115" s="8">
        <f t="shared" si="95"/>
        <v>197.91881647999998</v>
      </c>
      <c r="F115" s="8">
        <v>133.75670324000001</v>
      </c>
      <c r="G115" s="8">
        <v>97.042133419999999</v>
      </c>
      <c r="H115" s="8">
        <v>60.820206959999993</v>
      </c>
      <c r="I115" s="8">
        <f t="shared" si="96"/>
        <v>291.61904362000001</v>
      </c>
      <c r="J115" s="8">
        <f t="shared" si="97"/>
        <v>489.53786009999999</v>
      </c>
      <c r="K115" s="8">
        <v>127.58900835</v>
      </c>
      <c r="L115" s="8">
        <v>85.53310196000001</v>
      </c>
      <c r="M115" s="8">
        <v>97.005221290000023</v>
      </c>
      <c r="N115" s="8">
        <f t="shared" si="98"/>
        <v>310.12733160000005</v>
      </c>
      <c r="O115" s="8">
        <v>125.09293132999998</v>
      </c>
      <c r="P115" s="8">
        <v>76.17729448</v>
      </c>
      <c r="Q115" s="8">
        <v>129.13965711999998</v>
      </c>
      <c r="R115" s="8">
        <f t="shared" si="99"/>
        <v>330.40988292999998</v>
      </c>
      <c r="S115" s="8">
        <f t="shared" si="100"/>
        <v>640.53721453000003</v>
      </c>
      <c r="T115" s="8">
        <f t="shared" si="101"/>
        <v>1130.07507463</v>
      </c>
      <c r="U115" s="8"/>
      <c r="V115" s="8"/>
    </row>
    <row r="116" spans="1:22" ht="18" customHeight="1" x14ac:dyDescent="0.3">
      <c r="A116" s="12" t="s">
        <v>118</v>
      </c>
      <c r="B116" s="8">
        <v>737.48284035000029</v>
      </c>
      <c r="C116" s="8">
        <v>388.06837832000031</v>
      </c>
      <c r="D116" s="8">
        <v>543.24572468999986</v>
      </c>
      <c r="E116" s="8">
        <f t="shared" si="95"/>
        <v>1668.7969433600006</v>
      </c>
      <c r="F116" s="8">
        <v>869.12410444999978</v>
      </c>
      <c r="G116" s="8">
        <v>630.29148563999979</v>
      </c>
      <c r="H116" s="8">
        <v>522.53578975000005</v>
      </c>
      <c r="I116" s="8">
        <f t="shared" si="96"/>
        <v>2021.9513798399996</v>
      </c>
      <c r="J116" s="8">
        <f t="shared" si="97"/>
        <v>3690.7483232000004</v>
      </c>
      <c r="K116" s="8">
        <v>864.72056031999989</v>
      </c>
      <c r="L116" s="8">
        <v>890.80510141000036</v>
      </c>
      <c r="M116" s="8">
        <v>787.3541914499998</v>
      </c>
      <c r="N116" s="8">
        <f t="shared" si="98"/>
        <v>2542.8798531799998</v>
      </c>
      <c r="O116" s="8">
        <v>918.78219196999976</v>
      </c>
      <c r="P116" s="8">
        <v>500.67919296000025</v>
      </c>
      <c r="Q116" s="8">
        <v>729.86982957000021</v>
      </c>
      <c r="R116" s="8">
        <f t="shared" si="99"/>
        <v>2149.3312145</v>
      </c>
      <c r="S116" s="8">
        <f t="shared" si="100"/>
        <v>4692.2110676800003</v>
      </c>
      <c r="T116" s="8">
        <f t="shared" si="101"/>
        <v>8382.9593908800016</v>
      </c>
      <c r="U116" s="8"/>
      <c r="V116" s="8"/>
    </row>
    <row r="117" spans="1:22" s="10" customFormat="1" ht="15" customHeight="1" x14ac:dyDescent="0.3">
      <c r="A117" s="12"/>
      <c r="B117" s="11"/>
      <c r="C117" s="11"/>
      <c r="D117" s="11"/>
      <c r="E117" s="11"/>
      <c r="F117" s="11"/>
      <c r="G117" s="11"/>
      <c r="H117" s="11"/>
      <c r="I117" s="11"/>
      <c r="J117" s="11"/>
      <c r="K117" s="11"/>
      <c r="L117" s="11"/>
      <c r="M117" s="11"/>
      <c r="N117" s="11"/>
      <c r="O117" s="11"/>
      <c r="P117" s="11"/>
      <c r="Q117" s="11"/>
      <c r="R117" s="11"/>
      <c r="S117" s="11"/>
      <c r="T117" s="11"/>
      <c r="U117" s="11"/>
      <c r="V117" s="11"/>
    </row>
    <row r="118" spans="1:22" s="10" customFormat="1" ht="15" customHeight="1" x14ac:dyDescent="0.25">
      <c r="A118" s="13" t="s">
        <v>119</v>
      </c>
      <c r="B118" s="11">
        <f>SUM(B119:B123)</f>
        <v>4471.6122525299998</v>
      </c>
      <c r="C118" s="11">
        <f t="shared" ref="C118:Q118" si="102">SUM(C119:C123)</f>
        <v>2173.5593258200001</v>
      </c>
      <c r="D118" s="11">
        <f t="shared" si="102"/>
        <v>3213.9249262799999</v>
      </c>
      <c r="E118" s="11">
        <f t="shared" ref="E118:E123" si="103">SUM(B118:D118)</f>
        <v>9859.0965046300007</v>
      </c>
      <c r="F118" s="11">
        <f t="shared" si="102"/>
        <v>6093.8400493400004</v>
      </c>
      <c r="G118" s="11">
        <f t="shared" si="102"/>
        <v>3985.8868930099993</v>
      </c>
      <c r="H118" s="11">
        <f t="shared" si="102"/>
        <v>3001.5880446699994</v>
      </c>
      <c r="I118" s="11">
        <f t="shared" ref="I118:I123" si="104">SUM(F118:H118)</f>
        <v>13081.31498702</v>
      </c>
      <c r="J118" s="11">
        <f t="shared" ref="J118:J123" si="105">+E118+I118</f>
        <v>22940.41149165</v>
      </c>
      <c r="K118" s="11">
        <f t="shared" si="102"/>
        <v>4463.777169859999</v>
      </c>
      <c r="L118" s="11">
        <f t="shared" si="102"/>
        <v>3739.2972184099999</v>
      </c>
      <c r="M118" s="11">
        <f t="shared" si="102"/>
        <v>3033.1869252500001</v>
      </c>
      <c r="N118" s="11">
        <f t="shared" ref="N118:N123" si="106">SUM(K118:M118)</f>
        <v>11236.261313519999</v>
      </c>
      <c r="O118" s="11">
        <f t="shared" si="102"/>
        <v>4898.7219650400002</v>
      </c>
      <c r="P118" s="11">
        <f t="shared" si="102"/>
        <v>4055.6979104800002</v>
      </c>
      <c r="Q118" s="11">
        <f t="shared" si="102"/>
        <v>3523.1785709599999</v>
      </c>
      <c r="R118" s="11">
        <f t="shared" ref="R118:R123" si="107">SUM(O118:Q118)</f>
        <v>12477.598446480002</v>
      </c>
      <c r="S118" s="11">
        <f t="shared" ref="S118:S123" si="108">+N118+R118</f>
        <v>23713.859759999999</v>
      </c>
      <c r="T118" s="11">
        <f t="shared" ref="T118:T123" si="109">+J118+S118</f>
        <v>46654.271251650003</v>
      </c>
      <c r="U118" s="11"/>
      <c r="V118" s="11"/>
    </row>
    <row r="119" spans="1:22" ht="15" customHeight="1" x14ac:dyDescent="0.3">
      <c r="A119" s="12" t="s">
        <v>120</v>
      </c>
      <c r="B119" s="8">
        <v>531.13823453000032</v>
      </c>
      <c r="C119" s="8">
        <v>266.42888152</v>
      </c>
      <c r="D119" s="8">
        <v>352.07124965000003</v>
      </c>
      <c r="E119" s="8">
        <f t="shared" si="103"/>
        <v>1149.6383657000003</v>
      </c>
      <c r="F119" s="8">
        <v>498.87018087000007</v>
      </c>
      <c r="G119" s="8">
        <v>354.90709317999995</v>
      </c>
      <c r="H119" s="8">
        <v>342.63409862000003</v>
      </c>
      <c r="I119" s="8">
        <f t="shared" si="104"/>
        <v>1196.41137267</v>
      </c>
      <c r="J119" s="8">
        <f t="shared" si="105"/>
        <v>2346.0497383700003</v>
      </c>
      <c r="K119" s="8">
        <v>397.02252594999987</v>
      </c>
      <c r="L119" s="8">
        <v>369.0734539</v>
      </c>
      <c r="M119" s="8">
        <v>338.68093870000007</v>
      </c>
      <c r="N119" s="8">
        <f t="shared" si="106"/>
        <v>1104.7769185499999</v>
      </c>
      <c r="O119" s="8">
        <v>439.46017871000009</v>
      </c>
      <c r="P119" s="8">
        <v>367.25038031000008</v>
      </c>
      <c r="Q119" s="8">
        <v>378.36959644000001</v>
      </c>
      <c r="R119" s="8">
        <f t="shared" si="107"/>
        <v>1185.0801554600002</v>
      </c>
      <c r="S119" s="8">
        <f t="shared" si="108"/>
        <v>2289.8570740100004</v>
      </c>
      <c r="T119" s="8">
        <f t="shared" si="109"/>
        <v>4635.9068123800007</v>
      </c>
      <c r="U119" s="8"/>
      <c r="V119" s="8"/>
    </row>
    <row r="120" spans="1:22" ht="15" customHeight="1" x14ac:dyDescent="0.3">
      <c r="A120" s="12" t="s">
        <v>121</v>
      </c>
      <c r="B120" s="8">
        <v>171.00648551</v>
      </c>
      <c r="C120" s="8">
        <v>107.18237725</v>
      </c>
      <c r="D120" s="8">
        <v>151.22971484999999</v>
      </c>
      <c r="E120" s="8">
        <f t="shared" si="103"/>
        <v>429.41857761</v>
      </c>
      <c r="F120" s="8">
        <v>242.20406421999996</v>
      </c>
      <c r="G120" s="8">
        <v>167.46926040999998</v>
      </c>
      <c r="H120" s="8">
        <v>168.88893249</v>
      </c>
      <c r="I120" s="8">
        <f t="shared" si="104"/>
        <v>578.56225711999991</v>
      </c>
      <c r="J120" s="8">
        <f t="shared" si="105"/>
        <v>1007.98083473</v>
      </c>
      <c r="K120" s="8">
        <v>230.23558631</v>
      </c>
      <c r="L120" s="8">
        <v>147.72358437</v>
      </c>
      <c r="M120" s="8">
        <v>155.49189340000001</v>
      </c>
      <c r="N120" s="8">
        <f t="shared" si="106"/>
        <v>533.45106408000004</v>
      </c>
      <c r="O120" s="8">
        <v>193.52250831000001</v>
      </c>
      <c r="P120" s="8">
        <v>146.03111429000006</v>
      </c>
      <c r="Q120" s="8">
        <v>192.97188025999998</v>
      </c>
      <c r="R120" s="8">
        <f t="shared" si="107"/>
        <v>532.52550285999996</v>
      </c>
      <c r="S120" s="8">
        <f t="shared" si="108"/>
        <v>1065.9765669399999</v>
      </c>
      <c r="T120" s="8">
        <f t="shared" si="109"/>
        <v>2073.9574016699999</v>
      </c>
      <c r="U120" s="8"/>
      <c r="V120" s="8"/>
    </row>
    <row r="121" spans="1:22" ht="15" customHeight="1" x14ac:dyDescent="0.3">
      <c r="A121" s="12" t="s">
        <v>122</v>
      </c>
      <c r="B121" s="8">
        <v>101.85305977</v>
      </c>
      <c r="C121" s="8">
        <v>58.893084259999995</v>
      </c>
      <c r="D121" s="8">
        <v>118.34709979</v>
      </c>
      <c r="E121" s="8">
        <f t="shared" si="103"/>
        <v>279.09324382</v>
      </c>
      <c r="F121" s="8">
        <v>133.85388955999997</v>
      </c>
      <c r="G121" s="8">
        <v>121.40774813999998</v>
      </c>
      <c r="H121" s="8">
        <v>93.703169319999986</v>
      </c>
      <c r="I121" s="8">
        <f t="shared" si="104"/>
        <v>348.96480701999991</v>
      </c>
      <c r="J121" s="8">
        <f t="shared" si="105"/>
        <v>628.05805083999985</v>
      </c>
      <c r="K121" s="8">
        <v>149.66599131999999</v>
      </c>
      <c r="L121" s="8">
        <v>156.78134576999997</v>
      </c>
      <c r="M121" s="8">
        <v>128.82563952999999</v>
      </c>
      <c r="N121" s="8">
        <f t="shared" si="106"/>
        <v>435.27297661999995</v>
      </c>
      <c r="O121" s="8">
        <v>155.30157879000001</v>
      </c>
      <c r="P121" s="8">
        <v>83.842398369999998</v>
      </c>
      <c r="Q121" s="8">
        <v>120.67099124000001</v>
      </c>
      <c r="R121" s="8">
        <f t="shared" si="107"/>
        <v>359.8149684</v>
      </c>
      <c r="S121" s="8">
        <f t="shared" si="108"/>
        <v>795.08794502000001</v>
      </c>
      <c r="T121" s="8">
        <f t="shared" si="109"/>
        <v>1423.1459958599999</v>
      </c>
      <c r="U121" s="8"/>
      <c r="V121" s="8"/>
    </row>
    <row r="122" spans="1:22" ht="15" customHeight="1" x14ac:dyDescent="0.3">
      <c r="A122" s="12" t="s">
        <v>123</v>
      </c>
      <c r="B122" s="8">
        <v>1284.1473592200005</v>
      </c>
      <c r="C122" s="8">
        <v>741.29020346000027</v>
      </c>
      <c r="D122" s="8">
        <v>1153.4062222100001</v>
      </c>
      <c r="E122" s="8">
        <f t="shared" si="103"/>
        <v>3178.8437848900007</v>
      </c>
      <c r="F122" s="8">
        <v>1731.4755948000006</v>
      </c>
      <c r="G122" s="8">
        <v>1168.5759710899999</v>
      </c>
      <c r="H122" s="8">
        <v>1041.5788397299998</v>
      </c>
      <c r="I122" s="8">
        <f t="shared" si="104"/>
        <v>3941.6304056200001</v>
      </c>
      <c r="J122" s="8">
        <f t="shared" si="105"/>
        <v>7120.4741905100009</v>
      </c>
      <c r="K122" s="8">
        <v>1466.6402947799991</v>
      </c>
      <c r="L122" s="8">
        <v>1118.3786816499996</v>
      </c>
      <c r="M122" s="8">
        <v>990.76110577999998</v>
      </c>
      <c r="N122" s="8">
        <f t="shared" si="106"/>
        <v>3575.7800822099985</v>
      </c>
      <c r="O122" s="8">
        <v>1678.854175200001</v>
      </c>
      <c r="P122" s="8">
        <v>1254.6732700100001</v>
      </c>
      <c r="Q122" s="8">
        <v>1276.2250144999998</v>
      </c>
      <c r="R122" s="8">
        <f t="shared" si="107"/>
        <v>4209.7524597100009</v>
      </c>
      <c r="S122" s="8">
        <f t="shared" si="108"/>
        <v>7785.5325419199999</v>
      </c>
      <c r="T122" s="8">
        <f t="shared" si="109"/>
        <v>14906.00673243</v>
      </c>
      <c r="U122" s="8"/>
      <c r="V122" s="8"/>
    </row>
    <row r="123" spans="1:22" ht="18" customHeight="1" x14ac:dyDescent="0.3">
      <c r="A123" s="12" t="s">
        <v>124</v>
      </c>
      <c r="B123" s="8">
        <v>2383.4671134999994</v>
      </c>
      <c r="C123" s="8">
        <v>999.76477932999967</v>
      </c>
      <c r="D123" s="8">
        <v>1438.8706397799997</v>
      </c>
      <c r="E123" s="8">
        <f t="shared" si="103"/>
        <v>4822.1025326099989</v>
      </c>
      <c r="F123" s="8">
        <v>3487.43631989</v>
      </c>
      <c r="G123" s="8">
        <v>2173.5268201899994</v>
      </c>
      <c r="H123" s="8">
        <v>1354.7830045099997</v>
      </c>
      <c r="I123" s="8">
        <f t="shared" si="104"/>
        <v>7015.7461445899989</v>
      </c>
      <c r="J123" s="8">
        <f t="shared" si="105"/>
        <v>11837.848677199998</v>
      </c>
      <c r="K123" s="8">
        <v>2220.2127714999997</v>
      </c>
      <c r="L123" s="8">
        <v>1947.3401527200003</v>
      </c>
      <c r="M123" s="8">
        <v>1419.4273478399998</v>
      </c>
      <c r="N123" s="8">
        <f t="shared" si="106"/>
        <v>5586.9802720600001</v>
      </c>
      <c r="O123" s="8">
        <v>2431.5835240299998</v>
      </c>
      <c r="P123" s="8">
        <v>2203.9007474999999</v>
      </c>
      <c r="Q123" s="8">
        <v>1554.94108852</v>
      </c>
      <c r="R123" s="8">
        <f t="shared" si="107"/>
        <v>6190.4253600499997</v>
      </c>
      <c r="S123" s="8">
        <f t="shared" si="108"/>
        <v>11777.40563211</v>
      </c>
      <c r="T123" s="8">
        <f t="shared" si="109"/>
        <v>23615.254309309996</v>
      </c>
      <c r="U123" s="8"/>
      <c r="V123" s="8"/>
    </row>
    <row r="124" spans="1:22" s="10" customFormat="1" ht="15" customHeight="1" x14ac:dyDescent="0.3">
      <c r="A124" s="12"/>
      <c r="B124" s="11"/>
      <c r="C124" s="11"/>
      <c r="D124" s="11"/>
      <c r="E124" s="11"/>
      <c r="F124" s="11"/>
      <c r="G124" s="11"/>
      <c r="H124" s="11"/>
      <c r="I124" s="11"/>
      <c r="J124" s="11"/>
      <c r="K124" s="11"/>
      <c r="L124" s="11"/>
      <c r="M124" s="11"/>
      <c r="N124" s="11"/>
      <c r="O124" s="11"/>
      <c r="P124" s="11"/>
      <c r="Q124" s="11"/>
      <c r="R124" s="11"/>
      <c r="S124" s="11"/>
      <c r="T124" s="11"/>
      <c r="U124" s="11"/>
      <c r="V124" s="11"/>
    </row>
    <row r="125" spans="1:22" s="10" customFormat="1" ht="15" customHeight="1" x14ac:dyDescent="0.25">
      <c r="A125" s="13" t="s">
        <v>125</v>
      </c>
      <c r="B125" s="11">
        <f>SUM(B126:B129)</f>
        <v>1008.8000695699999</v>
      </c>
      <c r="C125" s="11">
        <f t="shared" ref="C125:Q125" si="110">SUM(C126:C129)</f>
        <v>538.67844955999965</v>
      </c>
      <c r="D125" s="11">
        <f t="shared" si="110"/>
        <v>762.20522034000135</v>
      </c>
      <c r="E125" s="11">
        <f t="shared" ref="E125:E129" si="111">SUM(B125:D125)</f>
        <v>2309.683739470001</v>
      </c>
      <c r="F125" s="11">
        <f t="shared" si="110"/>
        <v>1383.594304460001</v>
      </c>
      <c r="G125" s="11">
        <f t="shared" si="110"/>
        <v>786.63187322999988</v>
      </c>
      <c r="H125" s="11">
        <f t="shared" si="110"/>
        <v>763.91475918000003</v>
      </c>
      <c r="I125" s="11">
        <f t="shared" ref="I125:I129" si="112">SUM(F125:H125)</f>
        <v>2934.140936870001</v>
      </c>
      <c r="J125" s="11">
        <f t="shared" ref="J125:J129" si="113">+E125+I125</f>
        <v>5243.824676340002</v>
      </c>
      <c r="K125" s="11">
        <f t="shared" si="110"/>
        <v>1361.3006489800002</v>
      </c>
      <c r="L125" s="11">
        <f t="shared" si="110"/>
        <v>926.45017470999983</v>
      </c>
      <c r="M125" s="11">
        <f t="shared" si="110"/>
        <v>862.97496867999985</v>
      </c>
      <c r="N125" s="11">
        <f t="shared" ref="N125:N129" si="114">SUM(K125:M125)</f>
        <v>3150.7257923699999</v>
      </c>
      <c r="O125" s="11">
        <f t="shared" si="110"/>
        <v>1167.4458182600001</v>
      </c>
      <c r="P125" s="11">
        <f t="shared" si="110"/>
        <v>1249.8485037800001</v>
      </c>
      <c r="Q125" s="11">
        <f t="shared" si="110"/>
        <v>1209.5393467299998</v>
      </c>
      <c r="R125" s="11">
        <f t="shared" ref="R125:R129" si="115">SUM(O125:Q125)</f>
        <v>3626.8336687700003</v>
      </c>
      <c r="S125" s="11">
        <f t="shared" ref="S125:S129" si="116">+N125+R125</f>
        <v>6777.5594611400002</v>
      </c>
      <c r="T125" s="11">
        <f t="shared" ref="T125:T129" si="117">+J125+S125</f>
        <v>12021.384137480003</v>
      </c>
      <c r="U125" s="11"/>
      <c r="V125" s="11"/>
    </row>
    <row r="126" spans="1:22" ht="15" customHeight="1" x14ac:dyDescent="0.3">
      <c r="A126" s="12" t="s">
        <v>126</v>
      </c>
      <c r="B126" s="8">
        <v>194.41095505999999</v>
      </c>
      <c r="C126" s="8">
        <v>149.21350241999954</v>
      </c>
      <c r="D126" s="8">
        <v>179.40834749000109</v>
      </c>
      <c r="E126" s="8">
        <f t="shared" si="111"/>
        <v>523.0328049700006</v>
      </c>
      <c r="F126" s="8">
        <v>261.85105949000007</v>
      </c>
      <c r="G126" s="8">
        <v>182.29236904000001</v>
      </c>
      <c r="H126" s="8">
        <v>167.66883896999994</v>
      </c>
      <c r="I126" s="8">
        <f t="shared" si="112"/>
        <v>611.81226749999996</v>
      </c>
      <c r="J126" s="8">
        <f t="shared" si="113"/>
        <v>1134.8450724700006</v>
      </c>
      <c r="K126" s="8">
        <v>178.48841186000001</v>
      </c>
      <c r="L126" s="8">
        <v>182.27789562000001</v>
      </c>
      <c r="M126" s="8">
        <v>152.71026888000003</v>
      </c>
      <c r="N126" s="8">
        <f t="shared" si="114"/>
        <v>513.47657636000008</v>
      </c>
      <c r="O126" s="8">
        <v>202.39654220000006</v>
      </c>
      <c r="P126" s="8">
        <v>169.35026681999997</v>
      </c>
      <c r="Q126" s="8">
        <v>211.75736729999994</v>
      </c>
      <c r="R126" s="8">
        <f t="shared" si="115"/>
        <v>583.50417631999994</v>
      </c>
      <c r="S126" s="8">
        <f t="shared" si="116"/>
        <v>1096.98075268</v>
      </c>
      <c r="T126" s="8">
        <f t="shared" si="117"/>
        <v>2231.8258251500006</v>
      </c>
      <c r="U126" s="8"/>
      <c r="V126" s="8"/>
    </row>
    <row r="127" spans="1:22" ht="15" customHeight="1" x14ac:dyDescent="0.3">
      <c r="A127" s="12" t="s">
        <v>127</v>
      </c>
      <c r="B127" s="8">
        <v>424.19897536999986</v>
      </c>
      <c r="C127" s="8">
        <v>164.43188454000006</v>
      </c>
      <c r="D127" s="8">
        <v>256.21933743000011</v>
      </c>
      <c r="E127" s="8">
        <f t="shared" si="111"/>
        <v>844.85019734000002</v>
      </c>
      <c r="F127" s="8">
        <v>677.00202055000113</v>
      </c>
      <c r="G127" s="8">
        <v>276.73494691999986</v>
      </c>
      <c r="H127" s="8">
        <v>254.20853186000002</v>
      </c>
      <c r="I127" s="8">
        <f t="shared" si="112"/>
        <v>1207.945499330001</v>
      </c>
      <c r="J127" s="8">
        <f t="shared" si="113"/>
        <v>2052.7956966700012</v>
      </c>
      <c r="K127" s="8">
        <v>623.54615606000016</v>
      </c>
      <c r="L127" s="8">
        <v>378.94220519999982</v>
      </c>
      <c r="M127" s="8">
        <v>318.75604971999991</v>
      </c>
      <c r="N127" s="8">
        <f t="shared" si="114"/>
        <v>1321.2444109799999</v>
      </c>
      <c r="O127" s="8">
        <v>441.18272513000011</v>
      </c>
      <c r="P127" s="8">
        <v>689.74000475999992</v>
      </c>
      <c r="Q127" s="8">
        <v>504.14898813000002</v>
      </c>
      <c r="R127" s="8">
        <f t="shared" si="115"/>
        <v>1635.0717180199999</v>
      </c>
      <c r="S127" s="8">
        <f t="shared" si="116"/>
        <v>2956.3161289999998</v>
      </c>
      <c r="T127" s="8">
        <f t="shared" si="117"/>
        <v>5009.1118256700011</v>
      </c>
      <c r="U127" s="8"/>
      <c r="V127" s="8"/>
    </row>
    <row r="128" spans="1:22" ht="15" customHeight="1" x14ac:dyDescent="0.3">
      <c r="A128" s="12" t="s">
        <v>128</v>
      </c>
      <c r="B128" s="8">
        <v>275.10343222</v>
      </c>
      <c r="C128" s="8">
        <v>125.89748281000004</v>
      </c>
      <c r="D128" s="8">
        <v>214.68985891000005</v>
      </c>
      <c r="E128" s="8">
        <f t="shared" si="111"/>
        <v>615.6907739400001</v>
      </c>
      <c r="F128" s="8">
        <v>289.09172435999977</v>
      </c>
      <c r="G128" s="8">
        <v>193.01513433000005</v>
      </c>
      <c r="H128" s="8">
        <v>242.62087531</v>
      </c>
      <c r="I128" s="8">
        <f t="shared" si="112"/>
        <v>724.72773399999983</v>
      </c>
      <c r="J128" s="8">
        <f t="shared" si="113"/>
        <v>1340.4185079399999</v>
      </c>
      <c r="K128" s="8">
        <v>428.3768301400001</v>
      </c>
      <c r="L128" s="8">
        <v>244.14447429999996</v>
      </c>
      <c r="M128" s="8">
        <v>293.57960570999995</v>
      </c>
      <c r="N128" s="8">
        <f t="shared" si="114"/>
        <v>966.10091014999989</v>
      </c>
      <c r="O128" s="8">
        <v>357.28295342999996</v>
      </c>
      <c r="P128" s="8">
        <v>233.10084837000002</v>
      </c>
      <c r="Q128" s="8">
        <v>359.62849346999997</v>
      </c>
      <c r="R128" s="8">
        <f t="shared" si="115"/>
        <v>950.01229526999998</v>
      </c>
      <c r="S128" s="8">
        <f t="shared" si="116"/>
        <v>1916.1132054199998</v>
      </c>
      <c r="T128" s="8">
        <f t="shared" si="117"/>
        <v>3256.5317133599997</v>
      </c>
      <c r="U128" s="8"/>
      <c r="V128" s="8"/>
    </row>
    <row r="129" spans="1:22" ht="15" customHeight="1" x14ac:dyDescent="0.3">
      <c r="A129" s="12" t="s">
        <v>129</v>
      </c>
      <c r="B129" s="8">
        <v>115.08670692000003</v>
      </c>
      <c r="C129" s="8">
        <v>99.135579790000023</v>
      </c>
      <c r="D129" s="8">
        <v>111.88767650999999</v>
      </c>
      <c r="E129" s="8">
        <f t="shared" si="111"/>
        <v>326.10996322000005</v>
      </c>
      <c r="F129" s="8">
        <v>155.64950006000001</v>
      </c>
      <c r="G129" s="8">
        <v>134.58942293999996</v>
      </c>
      <c r="H129" s="8">
        <v>99.416513039999998</v>
      </c>
      <c r="I129" s="8">
        <f t="shared" si="112"/>
        <v>389.65543603999998</v>
      </c>
      <c r="J129" s="8">
        <f t="shared" si="113"/>
        <v>715.76539926000009</v>
      </c>
      <c r="K129" s="8">
        <v>130.88925092000005</v>
      </c>
      <c r="L129" s="8">
        <v>121.08559958999999</v>
      </c>
      <c r="M129" s="8">
        <v>97.929044369999986</v>
      </c>
      <c r="N129" s="8">
        <f t="shared" si="114"/>
        <v>349.90389488000005</v>
      </c>
      <c r="O129" s="8">
        <v>166.58359750000002</v>
      </c>
      <c r="P129" s="8">
        <v>157.65738382999999</v>
      </c>
      <c r="Q129" s="8">
        <v>134.00449783000002</v>
      </c>
      <c r="R129" s="8">
        <f t="shared" si="115"/>
        <v>458.24547916000006</v>
      </c>
      <c r="S129" s="8">
        <f t="shared" si="116"/>
        <v>808.14937404000011</v>
      </c>
      <c r="T129" s="8">
        <f t="shared" si="117"/>
        <v>1523.9147733000002</v>
      </c>
      <c r="U129" s="8"/>
      <c r="V129" s="8"/>
    </row>
    <row r="130" spans="1:22" s="10" customFormat="1" ht="15" customHeight="1" x14ac:dyDescent="0.3">
      <c r="A130" s="12"/>
      <c r="B130" s="11"/>
      <c r="C130" s="11"/>
      <c r="D130" s="11"/>
      <c r="E130" s="11"/>
      <c r="F130" s="11"/>
      <c r="G130" s="11"/>
      <c r="H130" s="11"/>
      <c r="I130" s="11"/>
      <c r="J130" s="11"/>
      <c r="K130" s="11"/>
      <c r="L130" s="11"/>
      <c r="M130" s="11"/>
      <c r="N130" s="11"/>
      <c r="O130" s="11"/>
      <c r="P130" s="11"/>
      <c r="Q130" s="11"/>
      <c r="R130" s="11"/>
      <c r="S130" s="11"/>
      <c r="T130" s="11"/>
      <c r="U130" s="11"/>
      <c r="V130" s="11"/>
    </row>
    <row r="131" spans="1:22" s="10" customFormat="1" ht="15" customHeight="1" x14ac:dyDescent="0.25">
      <c r="A131" s="13" t="s">
        <v>130</v>
      </c>
      <c r="B131" s="11">
        <f>SUM(B132:B135)</f>
        <v>1010.5941823100003</v>
      </c>
      <c r="C131" s="11">
        <f t="shared" ref="C131:Q131" si="118">SUM(C132:C135)</f>
        <v>589.2788502599999</v>
      </c>
      <c r="D131" s="11">
        <f t="shared" si="118"/>
        <v>750.44064319999995</v>
      </c>
      <c r="E131" s="11">
        <f t="shared" ref="E131:E135" si="119">SUM(B131:D131)</f>
        <v>2350.3136757700004</v>
      </c>
      <c r="F131" s="11">
        <f t="shared" si="118"/>
        <v>896.34434402999989</v>
      </c>
      <c r="G131" s="11">
        <f t="shared" si="118"/>
        <v>762.61258432</v>
      </c>
      <c r="H131" s="11">
        <f t="shared" si="118"/>
        <v>728.09781605000001</v>
      </c>
      <c r="I131" s="11">
        <f t="shared" ref="I131:I135" si="120">SUM(F131:H131)</f>
        <v>2387.0547443999999</v>
      </c>
      <c r="J131" s="11">
        <f t="shared" ref="J131:J135" si="121">+E131+I131</f>
        <v>4737.3684201699998</v>
      </c>
      <c r="K131" s="11">
        <f t="shared" si="118"/>
        <v>809.23052974999996</v>
      </c>
      <c r="L131" s="11">
        <f t="shared" si="118"/>
        <v>968.30085758999996</v>
      </c>
      <c r="M131" s="11">
        <f t="shared" si="118"/>
        <v>859.58442654999999</v>
      </c>
      <c r="N131" s="11">
        <f t="shared" ref="N131:N135" si="122">SUM(K131:M131)</f>
        <v>2637.11581389</v>
      </c>
      <c r="O131" s="11">
        <f t="shared" si="118"/>
        <v>1003.4850285700004</v>
      </c>
      <c r="P131" s="11">
        <f t="shared" si="118"/>
        <v>757.25878992000003</v>
      </c>
      <c r="Q131" s="11">
        <f t="shared" si="118"/>
        <v>828.7374048800001</v>
      </c>
      <c r="R131" s="11">
        <f t="shared" ref="R131:R135" si="123">SUM(O131:Q131)</f>
        <v>2589.4812233700004</v>
      </c>
      <c r="S131" s="11">
        <f t="shared" ref="S131:S135" si="124">+N131+R131</f>
        <v>5226.5970372600004</v>
      </c>
      <c r="T131" s="11">
        <f t="shared" ref="T131:T135" si="125">+J131+S131</f>
        <v>9963.9654574300002</v>
      </c>
      <c r="U131" s="11"/>
      <c r="V131" s="11"/>
    </row>
    <row r="132" spans="1:22" ht="15" customHeight="1" x14ac:dyDescent="0.3">
      <c r="A132" s="12" t="s">
        <v>131</v>
      </c>
      <c r="B132" s="8">
        <v>454.63399572000014</v>
      </c>
      <c r="C132" s="8">
        <v>251.30678402999996</v>
      </c>
      <c r="D132" s="8">
        <v>328.68644152999997</v>
      </c>
      <c r="E132" s="8">
        <f t="shared" si="119"/>
        <v>1034.62722128</v>
      </c>
      <c r="F132" s="8">
        <v>364.81541873999998</v>
      </c>
      <c r="G132" s="8">
        <v>304.71050604000004</v>
      </c>
      <c r="H132" s="8">
        <v>317.88404340999995</v>
      </c>
      <c r="I132" s="8">
        <f t="shared" si="120"/>
        <v>987.40996818999997</v>
      </c>
      <c r="J132" s="8">
        <f t="shared" si="121"/>
        <v>2022.0371894699999</v>
      </c>
      <c r="K132" s="8">
        <v>255.03198122999999</v>
      </c>
      <c r="L132" s="8">
        <v>504.12834452999999</v>
      </c>
      <c r="M132" s="8">
        <v>409.46203822000001</v>
      </c>
      <c r="N132" s="8">
        <f t="shared" si="122"/>
        <v>1168.62236398</v>
      </c>
      <c r="O132" s="8">
        <v>427.94895227000029</v>
      </c>
      <c r="P132" s="8">
        <v>306.06002004999993</v>
      </c>
      <c r="Q132" s="8">
        <v>407.00959341000009</v>
      </c>
      <c r="R132" s="8">
        <f t="shared" si="123"/>
        <v>1141.0185657300003</v>
      </c>
      <c r="S132" s="8">
        <f t="shared" si="124"/>
        <v>2309.6409297100004</v>
      </c>
      <c r="T132" s="8">
        <f t="shared" si="125"/>
        <v>4331.6781191800001</v>
      </c>
      <c r="U132" s="8"/>
      <c r="V132" s="8"/>
    </row>
    <row r="133" spans="1:22" ht="15" customHeight="1" x14ac:dyDescent="0.3">
      <c r="A133" s="12" t="s">
        <v>132</v>
      </c>
      <c r="B133" s="8">
        <v>175.41103851</v>
      </c>
      <c r="C133" s="8">
        <v>109.17441740999996</v>
      </c>
      <c r="D133" s="8">
        <v>134.71202338000006</v>
      </c>
      <c r="E133" s="8">
        <f t="shared" si="119"/>
        <v>419.29747930000002</v>
      </c>
      <c r="F133" s="8">
        <v>170.86770113999995</v>
      </c>
      <c r="G133" s="8">
        <v>110.76384795000001</v>
      </c>
      <c r="H133" s="8">
        <v>117.31093202000002</v>
      </c>
      <c r="I133" s="8">
        <f t="shared" si="120"/>
        <v>398.94248111000002</v>
      </c>
      <c r="J133" s="8">
        <f t="shared" si="121"/>
        <v>818.23996041000009</v>
      </c>
      <c r="K133" s="8">
        <v>150.70700132000005</v>
      </c>
      <c r="L133" s="8">
        <v>139.46082529999998</v>
      </c>
      <c r="M133" s="8">
        <v>128.11407049999997</v>
      </c>
      <c r="N133" s="8">
        <f t="shared" si="122"/>
        <v>418.28189712</v>
      </c>
      <c r="O133" s="8">
        <v>158.51417155000007</v>
      </c>
      <c r="P133" s="8">
        <v>132.64512227</v>
      </c>
      <c r="Q133" s="8">
        <v>115.85602419</v>
      </c>
      <c r="R133" s="8">
        <f t="shared" si="123"/>
        <v>407.0153180100001</v>
      </c>
      <c r="S133" s="8">
        <f t="shared" si="124"/>
        <v>825.29721513000004</v>
      </c>
      <c r="T133" s="8">
        <f t="shared" si="125"/>
        <v>1643.5371755400001</v>
      </c>
      <c r="U133" s="8"/>
      <c r="V133" s="8"/>
    </row>
    <row r="134" spans="1:22" ht="15" customHeight="1" x14ac:dyDescent="0.3">
      <c r="A134" s="12" t="s">
        <v>133</v>
      </c>
      <c r="B134" s="8">
        <v>227.4122583000001</v>
      </c>
      <c r="C134" s="8">
        <v>135.34930369</v>
      </c>
      <c r="D134" s="8">
        <v>174.33989948000001</v>
      </c>
      <c r="E134" s="8">
        <f t="shared" si="119"/>
        <v>537.10146147000012</v>
      </c>
      <c r="F134" s="8">
        <v>207.41215909999997</v>
      </c>
      <c r="G134" s="8">
        <v>205.67905757999998</v>
      </c>
      <c r="H134" s="8">
        <v>162.98382232000006</v>
      </c>
      <c r="I134" s="8">
        <f t="shared" si="120"/>
        <v>576.07503900000006</v>
      </c>
      <c r="J134" s="8">
        <f t="shared" si="121"/>
        <v>1113.1765004700001</v>
      </c>
      <c r="K134" s="8">
        <v>227.80367038000003</v>
      </c>
      <c r="L134" s="8">
        <v>174.60928268999999</v>
      </c>
      <c r="M134" s="8">
        <v>166.29120971999996</v>
      </c>
      <c r="N134" s="8">
        <f t="shared" si="122"/>
        <v>568.70416278999994</v>
      </c>
      <c r="O134" s="8">
        <v>242.35365081999993</v>
      </c>
      <c r="P134" s="8">
        <v>176.00723520999995</v>
      </c>
      <c r="Q134" s="8">
        <v>175.21758675000004</v>
      </c>
      <c r="R134" s="8">
        <f t="shared" si="123"/>
        <v>593.57847277999986</v>
      </c>
      <c r="S134" s="8">
        <f t="shared" si="124"/>
        <v>1162.2826355699999</v>
      </c>
      <c r="T134" s="8">
        <f t="shared" si="125"/>
        <v>2275.45913604</v>
      </c>
      <c r="U134" s="8"/>
      <c r="V134" s="8"/>
    </row>
    <row r="135" spans="1:22" ht="15" customHeight="1" x14ac:dyDescent="0.3">
      <c r="A135" s="12" t="s">
        <v>134</v>
      </c>
      <c r="B135" s="8">
        <v>153.13688978000002</v>
      </c>
      <c r="C135" s="8">
        <v>93.448345129999993</v>
      </c>
      <c r="D135" s="8">
        <v>112.70227880999997</v>
      </c>
      <c r="E135" s="8">
        <f t="shared" si="119"/>
        <v>359.28751371999999</v>
      </c>
      <c r="F135" s="8">
        <v>153.24906505000001</v>
      </c>
      <c r="G135" s="8">
        <v>141.45917275000002</v>
      </c>
      <c r="H135" s="8">
        <v>129.91901829999998</v>
      </c>
      <c r="I135" s="8">
        <f t="shared" si="120"/>
        <v>424.62725609999995</v>
      </c>
      <c r="J135" s="8">
        <f t="shared" si="121"/>
        <v>783.91476981999995</v>
      </c>
      <c r="K135" s="8">
        <v>175.68787681999999</v>
      </c>
      <c r="L135" s="8">
        <v>150.10240507</v>
      </c>
      <c r="M135" s="8">
        <v>155.71710811</v>
      </c>
      <c r="N135" s="8">
        <f t="shared" si="122"/>
        <v>481.50738999999999</v>
      </c>
      <c r="O135" s="8">
        <v>174.66825393000002</v>
      </c>
      <c r="P135" s="8">
        <v>142.54641239000006</v>
      </c>
      <c r="Q135" s="8">
        <v>130.65420053</v>
      </c>
      <c r="R135" s="8">
        <f t="shared" si="123"/>
        <v>447.86886685000013</v>
      </c>
      <c r="S135" s="8">
        <f t="shared" si="124"/>
        <v>929.37625685000012</v>
      </c>
      <c r="T135" s="8">
        <f t="shared" si="125"/>
        <v>1713.2910266700001</v>
      </c>
      <c r="U135" s="8"/>
      <c r="V135" s="8"/>
    </row>
    <row r="136" spans="1:22" s="10" customFormat="1" ht="15" customHeight="1" x14ac:dyDescent="0.3">
      <c r="A136" s="12"/>
      <c r="B136" s="11"/>
      <c r="C136" s="11"/>
      <c r="D136" s="11"/>
      <c r="E136" s="11"/>
      <c r="F136" s="11"/>
      <c r="G136" s="11"/>
      <c r="H136" s="11"/>
      <c r="I136" s="11"/>
      <c r="J136" s="11"/>
      <c r="K136" s="11"/>
      <c r="L136" s="11"/>
      <c r="M136" s="11"/>
      <c r="N136" s="11"/>
      <c r="O136" s="11"/>
      <c r="P136" s="11"/>
      <c r="Q136" s="11"/>
      <c r="R136" s="11"/>
      <c r="S136" s="11"/>
      <c r="T136" s="11"/>
      <c r="U136" s="11"/>
      <c r="V136" s="11"/>
    </row>
    <row r="137" spans="1:22" s="10" customFormat="1" ht="15" customHeight="1" x14ac:dyDescent="0.25">
      <c r="A137" s="14" t="s">
        <v>135</v>
      </c>
      <c r="B137" s="11">
        <f>SUM(B138:B143)</f>
        <v>621.49432586</v>
      </c>
      <c r="C137" s="11">
        <f t="shared" ref="C137:Q137" si="126">SUM(C138:C143)</f>
        <v>307.07027256000003</v>
      </c>
      <c r="D137" s="11">
        <f t="shared" si="126"/>
        <v>415.28578629000003</v>
      </c>
      <c r="E137" s="11">
        <f t="shared" ref="E137:E142" si="127">SUM(B137:D137)</f>
        <v>1343.8503847100001</v>
      </c>
      <c r="F137" s="11">
        <f t="shared" si="126"/>
        <v>394.00630183999999</v>
      </c>
      <c r="G137" s="11">
        <f t="shared" si="126"/>
        <v>405.60924328999999</v>
      </c>
      <c r="H137" s="11">
        <f t="shared" si="126"/>
        <v>393.78111918999997</v>
      </c>
      <c r="I137" s="11">
        <f t="shared" ref="I137:I142" si="128">SUM(F137:H137)</f>
        <v>1193.3966643199999</v>
      </c>
      <c r="J137" s="11">
        <f t="shared" ref="J137:J142" si="129">+E137+I137</f>
        <v>2537.2470490300002</v>
      </c>
      <c r="K137" s="11">
        <f t="shared" si="126"/>
        <v>388.5697634600001</v>
      </c>
      <c r="L137" s="11">
        <f t="shared" si="126"/>
        <v>389.84326616999994</v>
      </c>
      <c r="M137" s="11">
        <f t="shared" si="126"/>
        <v>360.88430100000005</v>
      </c>
      <c r="N137" s="11">
        <f t="shared" ref="N137:N142" si="130">SUM(K137:M137)</f>
        <v>1139.29733063</v>
      </c>
      <c r="O137" s="11">
        <f t="shared" si="126"/>
        <v>430.66532147999999</v>
      </c>
      <c r="P137" s="11">
        <f t="shared" si="126"/>
        <v>408.90921241999996</v>
      </c>
      <c r="Q137" s="11">
        <f t="shared" si="126"/>
        <v>527.08243546999995</v>
      </c>
      <c r="R137" s="11">
        <f t="shared" ref="R137:R142" si="131">SUM(O137:Q137)</f>
        <v>1366.6569693699998</v>
      </c>
      <c r="S137" s="11">
        <f t="shared" ref="S137:S142" si="132">+N137+R137</f>
        <v>2505.9542999999999</v>
      </c>
      <c r="T137" s="11">
        <f t="shared" ref="T137:T142" si="133">+J137+S137</f>
        <v>5043.2013490299996</v>
      </c>
      <c r="U137" s="11"/>
      <c r="V137" s="11"/>
    </row>
    <row r="138" spans="1:22" ht="15" customHeight="1" x14ac:dyDescent="0.3">
      <c r="A138" s="12" t="s">
        <v>136</v>
      </c>
      <c r="B138" s="8">
        <v>49.980668569999992</v>
      </c>
      <c r="C138" s="8">
        <v>17.17379644</v>
      </c>
      <c r="D138" s="8">
        <v>25.923881159999997</v>
      </c>
      <c r="E138" s="8">
        <f t="shared" si="127"/>
        <v>93.078346169999989</v>
      </c>
      <c r="F138" s="8">
        <v>36.746812140000003</v>
      </c>
      <c r="G138" s="8">
        <v>39.059189400000001</v>
      </c>
      <c r="H138" s="8">
        <v>27.44465057</v>
      </c>
      <c r="I138" s="8">
        <f t="shared" si="128"/>
        <v>103.25065211</v>
      </c>
      <c r="J138" s="8">
        <f t="shared" si="129"/>
        <v>196.32899828000001</v>
      </c>
      <c r="K138" s="8">
        <v>33.248112229999997</v>
      </c>
      <c r="L138" s="8">
        <v>31.639588599999996</v>
      </c>
      <c r="M138" s="8">
        <v>30.210944310000002</v>
      </c>
      <c r="N138" s="8">
        <f t="shared" si="130"/>
        <v>95.098645140000002</v>
      </c>
      <c r="O138" s="8">
        <v>40.837276129999992</v>
      </c>
      <c r="P138" s="8">
        <v>27.63893564</v>
      </c>
      <c r="Q138" s="8">
        <v>28.733819670000003</v>
      </c>
      <c r="R138" s="8">
        <f t="shared" si="131"/>
        <v>97.210031439999995</v>
      </c>
      <c r="S138" s="8">
        <f t="shared" si="132"/>
        <v>192.30867658</v>
      </c>
      <c r="T138" s="8">
        <f t="shared" si="133"/>
        <v>388.63767486</v>
      </c>
      <c r="U138" s="8"/>
      <c r="V138" s="8"/>
    </row>
    <row r="139" spans="1:22" ht="15" customHeight="1" x14ac:dyDescent="0.3">
      <c r="A139" s="12" t="s">
        <v>137</v>
      </c>
      <c r="B139" s="8">
        <v>93.480645109999983</v>
      </c>
      <c r="C139" s="8">
        <v>62.393996009999988</v>
      </c>
      <c r="D139" s="8">
        <v>67.040113179999992</v>
      </c>
      <c r="E139" s="8">
        <f t="shared" si="127"/>
        <v>222.91475429999997</v>
      </c>
      <c r="F139" s="8">
        <v>93.948505650000001</v>
      </c>
      <c r="G139" s="8">
        <v>90.719026930000012</v>
      </c>
      <c r="H139" s="8">
        <v>85.050944099999995</v>
      </c>
      <c r="I139" s="8">
        <f t="shared" si="128"/>
        <v>269.71847667999998</v>
      </c>
      <c r="J139" s="8">
        <f t="shared" si="129"/>
        <v>492.63323097999995</v>
      </c>
      <c r="K139" s="8">
        <v>81.772243379999992</v>
      </c>
      <c r="L139" s="8">
        <v>92.031639870000006</v>
      </c>
      <c r="M139" s="8">
        <v>69.859392279999994</v>
      </c>
      <c r="N139" s="8">
        <f t="shared" si="130"/>
        <v>243.66327553000002</v>
      </c>
      <c r="O139" s="8">
        <v>92.707753410000009</v>
      </c>
      <c r="P139" s="8">
        <v>63.595897380000004</v>
      </c>
      <c r="Q139" s="8">
        <v>66.343924129999991</v>
      </c>
      <c r="R139" s="8">
        <f t="shared" si="131"/>
        <v>222.64757492000001</v>
      </c>
      <c r="S139" s="8">
        <f t="shared" si="132"/>
        <v>466.31085045000003</v>
      </c>
      <c r="T139" s="8">
        <f t="shared" si="133"/>
        <v>958.94408142999998</v>
      </c>
      <c r="U139" s="8"/>
      <c r="V139" s="8"/>
    </row>
    <row r="140" spans="1:22" ht="15" customHeight="1" x14ac:dyDescent="0.3">
      <c r="A140" s="12" t="s">
        <v>138</v>
      </c>
      <c r="B140" s="8">
        <v>402.80054581000007</v>
      </c>
      <c r="C140" s="8">
        <v>177.88107316</v>
      </c>
      <c r="D140" s="8">
        <v>251.92899568000004</v>
      </c>
      <c r="E140" s="8">
        <f t="shared" si="127"/>
        <v>832.61061465000012</v>
      </c>
      <c r="F140" s="8">
        <v>189.99549468000001</v>
      </c>
      <c r="G140" s="8">
        <v>246.79149497</v>
      </c>
      <c r="H140" s="8">
        <v>226.71097021999995</v>
      </c>
      <c r="I140" s="8">
        <f t="shared" si="128"/>
        <v>663.49795986999993</v>
      </c>
      <c r="J140" s="8">
        <f t="shared" si="129"/>
        <v>1496.10857452</v>
      </c>
      <c r="K140" s="8">
        <v>235.68992229000003</v>
      </c>
      <c r="L140" s="8">
        <v>221.54569709999996</v>
      </c>
      <c r="M140" s="8">
        <v>224.46059104000005</v>
      </c>
      <c r="N140" s="8">
        <f t="shared" si="130"/>
        <v>681.69621043000006</v>
      </c>
      <c r="O140" s="8">
        <v>254.98281247999995</v>
      </c>
      <c r="P140" s="8">
        <v>283.55308188999999</v>
      </c>
      <c r="Q140" s="8">
        <v>371.19914713999992</v>
      </c>
      <c r="R140" s="8">
        <f t="shared" si="131"/>
        <v>909.73504150999986</v>
      </c>
      <c r="S140" s="8">
        <f t="shared" si="132"/>
        <v>1591.43125194</v>
      </c>
      <c r="T140" s="8">
        <f t="shared" si="133"/>
        <v>3087.5398264599999</v>
      </c>
      <c r="U140" s="8"/>
      <c r="V140" s="8"/>
    </row>
    <row r="141" spans="1:22" ht="15" customHeight="1" x14ac:dyDescent="0.3">
      <c r="A141" s="12" t="s">
        <v>139</v>
      </c>
      <c r="B141" s="8">
        <v>39.457081239999994</v>
      </c>
      <c r="C141" s="8">
        <v>20.642749980000001</v>
      </c>
      <c r="D141" s="8">
        <v>33.341974029999996</v>
      </c>
      <c r="E141" s="8">
        <f t="shared" si="127"/>
        <v>93.441805249999987</v>
      </c>
      <c r="F141" s="8">
        <v>41.849226740000013</v>
      </c>
      <c r="G141" s="8">
        <v>16.79987963</v>
      </c>
      <c r="H141" s="8">
        <v>30.633456149999997</v>
      </c>
      <c r="I141" s="8">
        <f t="shared" si="128"/>
        <v>89.282562520000013</v>
      </c>
      <c r="J141" s="8">
        <f t="shared" si="129"/>
        <v>182.72436777000001</v>
      </c>
      <c r="K141" s="8">
        <v>19.30827957</v>
      </c>
      <c r="L141" s="8">
        <v>27.930807160000001</v>
      </c>
      <c r="M141" s="8">
        <v>24.025610029999992</v>
      </c>
      <c r="N141" s="8">
        <f t="shared" si="130"/>
        <v>71.264696759999993</v>
      </c>
      <c r="O141" s="8">
        <v>20.548858070000001</v>
      </c>
      <c r="P141" s="8">
        <v>19.122584549999996</v>
      </c>
      <c r="Q141" s="8">
        <v>34.285581799999996</v>
      </c>
      <c r="R141" s="8">
        <f t="shared" si="131"/>
        <v>73.957024419999982</v>
      </c>
      <c r="S141" s="8">
        <f t="shared" si="132"/>
        <v>145.22172117999997</v>
      </c>
      <c r="T141" s="8">
        <f t="shared" si="133"/>
        <v>327.94608894999999</v>
      </c>
      <c r="U141" s="8"/>
      <c r="V141" s="8"/>
    </row>
    <row r="142" spans="1:22" ht="15" customHeight="1" x14ac:dyDescent="0.3">
      <c r="A142" s="12" t="s">
        <v>140</v>
      </c>
      <c r="B142" s="8">
        <v>35.775385130000004</v>
      </c>
      <c r="C142" s="8">
        <v>28.978656970000007</v>
      </c>
      <c r="D142" s="8">
        <v>37.050822240000002</v>
      </c>
      <c r="E142" s="8">
        <f t="shared" si="127"/>
        <v>101.80486434000001</v>
      </c>
      <c r="F142" s="8">
        <v>31.466262629999992</v>
      </c>
      <c r="G142" s="8">
        <v>12.239652359999999</v>
      </c>
      <c r="H142" s="8">
        <v>23.941098149999998</v>
      </c>
      <c r="I142" s="8">
        <f t="shared" si="128"/>
        <v>67.647013139999984</v>
      </c>
      <c r="J142" s="8">
        <f t="shared" si="129"/>
        <v>169.45187748000001</v>
      </c>
      <c r="K142" s="8">
        <v>18.551205990000003</v>
      </c>
      <c r="L142" s="8">
        <v>16.695533440000002</v>
      </c>
      <c r="M142" s="8">
        <v>12.327763340000001</v>
      </c>
      <c r="N142" s="8">
        <f t="shared" si="130"/>
        <v>47.574502770000009</v>
      </c>
      <c r="O142" s="8">
        <v>21.588621389999997</v>
      </c>
      <c r="P142" s="8">
        <v>14.998712960000001</v>
      </c>
      <c r="Q142" s="8">
        <v>26.519962729999996</v>
      </c>
      <c r="R142" s="8">
        <f t="shared" si="131"/>
        <v>63.107297079999995</v>
      </c>
      <c r="S142" s="8">
        <f t="shared" si="132"/>
        <v>110.68179985</v>
      </c>
      <c r="T142" s="8">
        <f t="shared" si="133"/>
        <v>280.13367733000001</v>
      </c>
      <c r="U142" s="8"/>
      <c r="V142" s="8"/>
    </row>
    <row r="143" spans="1:22" ht="18" customHeight="1" x14ac:dyDescent="0.3">
      <c r="A143" s="12" t="s">
        <v>141</v>
      </c>
      <c r="B143" s="8"/>
      <c r="C143" s="8"/>
      <c r="D143" s="8"/>
      <c r="E143" s="8"/>
      <c r="F143" s="8"/>
      <c r="G143" s="8"/>
      <c r="H143" s="8"/>
      <c r="I143" s="8"/>
      <c r="J143" s="8"/>
      <c r="K143" s="8"/>
      <c r="L143" s="8"/>
      <c r="M143" s="8"/>
      <c r="N143" s="8"/>
      <c r="O143" s="8"/>
      <c r="P143" s="8"/>
      <c r="Q143" s="8"/>
      <c r="R143" s="8"/>
      <c r="S143" s="8"/>
      <c r="T143" s="8"/>
      <c r="U143" s="8"/>
      <c r="V143" s="8"/>
    </row>
    <row r="144" spans="1:22" ht="15" customHeight="1" x14ac:dyDescent="0.3">
      <c r="B144" s="8"/>
      <c r="C144" s="8"/>
      <c r="D144" s="8"/>
      <c r="E144" s="8"/>
      <c r="F144" s="8"/>
      <c r="G144" s="8"/>
      <c r="H144" s="8"/>
      <c r="I144" s="8"/>
      <c r="J144" s="8"/>
      <c r="K144" s="8"/>
      <c r="L144" s="8"/>
      <c r="M144" s="8"/>
      <c r="N144" s="8"/>
      <c r="O144" s="8"/>
      <c r="P144" s="8"/>
      <c r="Q144" s="8"/>
      <c r="R144" s="8"/>
      <c r="S144" s="8"/>
      <c r="T144" s="8"/>
      <c r="U144" s="8"/>
      <c r="V144" s="8"/>
    </row>
    <row r="145" spans="1:36" s="10" customFormat="1" ht="15" customHeight="1" x14ac:dyDescent="0.25">
      <c r="A145" s="10" t="s">
        <v>142</v>
      </c>
      <c r="B145" s="11">
        <f>+B7+B25+B33+B39+B45+B56+B64+B71+B79+B86+B90+B96+B104+B111+B118+B125+B131+B137</f>
        <v>230184.07934798999</v>
      </c>
      <c r="C145" s="11">
        <f t="shared" ref="C145:Q145" si="134">+C7+C25+C33+C39+C45+C56+C64+C71+C79+C86+C90+C96+C104+C111+C118+C125+C131+C137</f>
        <v>119845.58426244001</v>
      </c>
      <c r="D145" s="11">
        <f t="shared" si="134"/>
        <v>136450.05108846998</v>
      </c>
      <c r="E145" s="11">
        <f>SUM(B145:D145)</f>
        <v>486479.71469889994</v>
      </c>
      <c r="F145" s="11">
        <f t="shared" si="134"/>
        <v>328069.65391184087</v>
      </c>
      <c r="G145" s="11">
        <f t="shared" si="134"/>
        <v>208289.33896827002</v>
      </c>
      <c r="H145" s="11">
        <f t="shared" si="134"/>
        <v>159202.01298924</v>
      </c>
      <c r="I145" s="11">
        <f>SUM(F145:H145)</f>
        <v>695561.00586935086</v>
      </c>
      <c r="J145" s="11">
        <f t="shared" ref="J145" si="135">+E145+I145</f>
        <v>1182040.7205682509</v>
      </c>
      <c r="K145" s="11">
        <f t="shared" si="134"/>
        <v>268242.07066851004</v>
      </c>
      <c r="L145" s="11">
        <f t="shared" si="134"/>
        <v>208035.04355364997</v>
      </c>
      <c r="M145" s="11">
        <f t="shared" si="134"/>
        <v>143966.80800895</v>
      </c>
      <c r="N145" s="11">
        <f>SUM(K145:M145)</f>
        <v>620243.92223111005</v>
      </c>
      <c r="O145" s="11">
        <f t="shared" si="134"/>
        <v>268751.51913700002</v>
      </c>
      <c r="P145" s="11">
        <f t="shared" si="134"/>
        <v>205806.62668500995</v>
      </c>
      <c r="Q145" s="11">
        <f t="shared" si="134"/>
        <v>165681.78317104295</v>
      </c>
      <c r="R145" s="11">
        <f>SUM(O145:Q145)</f>
        <v>640239.92899305292</v>
      </c>
      <c r="S145" s="11">
        <f t="shared" ref="S145" si="136">+N145+R145</f>
        <v>1260483.8512241631</v>
      </c>
      <c r="T145" s="11">
        <f>+J145+S145</f>
        <v>2442524.5717924139</v>
      </c>
      <c r="U145" s="11"/>
      <c r="V145" s="11"/>
    </row>
    <row r="146" spans="1:36" ht="15" customHeight="1" x14ac:dyDescent="0.3">
      <c r="B146" s="8"/>
      <c r="C146" s="8"/>
      <c r="D146" s="8"/>
      <c r="E146" s="8"/>
      <c r="F146" s="8"/>
      <c r="G146" s="8"/>
      <c r="H146" s="8"/>
      <c r="I146" s="8"/>
      <c r="J146" s="8"/>
      <c r="K146" s="8"/>
      <c r="L146" s="8"/>
      <c r="M146" s="8"/>
      <c r="N146" s="8"/>
      <c r="O146" s="8"/>
      <c r="P146" s="8"/>
      <c r="Q146" s="8"/>
      <c r="R146" s="8"/>
      <c r="S146" s="8"/>
      <c r="T146" s="8"/>
      <c r="U146" s="8"/>
      <c r="V146" s="8"/>
    </row>
    <row r="147" spans="1:36" s="10" customFormat="1" ht="15" customHeight="1" x14ac:dyDescent="0.25">
      <c r="A147" s="10" t="s">
        <v>143</v>
      </c>
      <c r="B147" s="11">
        <v>4640.7880877300004</v>
      </c>
      <c r="C147" s="11">
        <v>4382.5645871000006</v>
      </c>
      <c r="D147" s="11">
        <v>10834.274804570001</v>
      </c>
      <c r="E147" s="11">
        <f>SUM(B147:D147)</f>
        <v>19857.627479400002</v>
      </c>
      <c r="F147" s="11">
        <v>6802.7421290200009</v>
      </c>
      <c r="G147" s="11">
        <v>6147.6643963099996</v>
      </c>
      <c r="H147" s="11">
        <v>7037.9215478199994</v>
      </c>
      <c r="I147" s="11">
        <f>SUM(F147:H147)</f>
        <v>19988.328073149998</v>
      </c>
      <c r="J147" s="11">
        <f t="shared" ref="J147" si="137">+E147+I147</f>
        <v>39845.955552550004</v>
      </c>
      <c r="K147" s="11">
        <v>5176.5386447299998</v>
      </c>
      <c r="L147" s="11">
        <v>5552.7965036599999</v>
      </c>
      <c r="M147" s="11">
        <v>8634.5812588000008</v>
      </c>
      <c r="N147" s="11">
        <f>SUM(K147:M147)</f>
        <v>19363.916407190001</v>
      </c>
      <c r="O147" s="11">
        <v>5765.9295510800002</v>
      </c>
      <c r="P147" s="11">
        <v>5618.7701788500008</v>
      </c>
      <c r="Q147" s="11">
        <v>12090.16132091</v>
      </c>
      <c r="R147" s="11">
        <f>SUM(O147:Q147)</f>
        <v>23474.861050840002</v>
      </c>
      <c r="S147" s="11">
        <f t="shared" ref="S147" si="138">+N147+R147</f>
        <v>42838.777458030003</v>
      </c>
      <c r="T147" s="11">
        <f>+J147+S147</f>
        <v>82684.733010580007</v>
      </c>
      <c r="U147" s="11"/>
      <c r="V147" s="11"/>
      <c r="W147" s="15"/>
      <c r="X147" s="15"/>
      <c r="Y147" s="15"/>
      <c r="Z147" s="15"/>
      <c r="AA147" s="15"/>
      <c r="AB147" s="15"/>
      <c r="AC147" s="15"/>
      <c r="AD147" s="15"/>
      <c r="AE147" s="15"/>
      <c r="AF147" s="15"/>
      <c r="AG147" s="15"/>
      <c r="AH147" s="15"/>
      <c r="AI147" s="15"/>
      <c r="AJ147" s="15"/>
    </row>
    <row r="148" spans="1:36" s="10" customFormat="1" ht="15" customHeight="1" x14ac:dyDescent="0.2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spans="1:36" s="10" customFormat="1" ht="15" customHeight="1" x14ac:dyDescent="0.25">
      <c r="A149" s="10" t="s">
        <v>144</v>
      </c>
      <c r="B149" s="15">
        <v>-6.0637309400004176</v>
      </c>
      <c r="C149" s="15">
        <v>41.460843249998142</v>
      </c>
      <c r="D149" s="15">
        <v>-100.57738235999766</v>
      </c>
      <c r="E149" s="15">
        <f>SUM(B149:D149)</f>
        <v>-65.180270049999933</v>
      </c>
      <c r="F149" s="15">
        <v>257.055173509003</v>
      </c>
      <c r="G149" s="15">
        <v>-19.40932384000125</v>
      </c>
      <c r="H149" s="15">
        <v>173.18662378999707</v>
      </c>
      <c r="I149" s="15">
        <f>SUM(F149:H149)</f>
        <v>410.83247345899883</v>
      </c>
      <c r="J149" s="15">
        <f t="shared" ref="J149" si="139">+E149+I149</f>
        <v>345.6522034089989</v>
      </c>
      <c r="K149" s="15">
        <v>-98.176022339980094</v>
      </c>
      <c r="L149" s="15">
        <v>67.174388769996185</v>
      </c>
      <c r="M149" s="15">
        <v>23.901966899999454</v>
      </c>
      <c r="N149" s="15">
        <f>SUM(K149:M149)</f>
        <v>-7.0996666699844546</v>
      </c>
      <c r="O149" s="15">
        <v>-51.412911190003165</v>
      </c>
      <c r="P149" s="15">
        <v>14.90395107999951</v>
      </c>
      <c r="Q149" s="15">
        <v>-115.16561722300024</v>
      </c>
      <c r="R149" s="15">
        <f>SUM(O149:Q149)</f>
        <v>-151.6745773330039</v>
      </c>
      <c r="S149" s="15">
        <f t="shared" ref="S149" si="140">+N149+R149</f>
        <v>-158.77424400298835</v>
      </c>
      <c r="T149" s="15">
        <f>+J149+S149</f>
        <v>186.87795940601055</v>
      </c>
      <c r="U149" s="15"/>
      <c r="V149" s="15"/>
      <c r="W149" s="15"/>
      <c r="X149" s="15"/>
      <c r="Y149" s="15"/>
      <c r="Z149" s="15"/>
      <c r="AA149" s="15"/>
      <c r="AB149" s="15"/>
      <c r="AC149" s="15"/>
      <c r="AD149" s="15"/>
      <c r="AE149" s="15"/>
      <c r="AF149" s="15"/>
      <c r="AG149" s="15"/>
      <c r="AH149" s="15"/>
      <c r="AI149" s="15"/>
      <c r="AJ149" s="15"/>
    </row>
    <row r="150" spans="1:36" s="10" customFormat="1" ht="15" customHeight="1" x14ac:dyDescent="0.2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spans="1:36" s="10" customFormat="1" ht="15" customHeight="1" x14ac:dyDescent="0.25">
      <c r="A151" s="10" t="s">
        <v>145</v>
      </c>
      <c r="B151" s="15">
        <f>+B145+B147+B149</f>
        <v>234818.80370478</v>
      </c>
      <c r="C151" s="15">
        <f t="shared" ref="C151:Q151" si="141">+C145+C147+C149</f>
        <v>124269.60969279001</v>
      </c>
      <c r="D151" s="15">
        <f t="shared" si="141"/>
        <v>147183.74851067999</v>
      </c>
      <c r="E151" s="15">
        <f>SUM(B151:D151)</f>
        <v>506272.16190825001</v>
      </c>
      <c r="F151" s="15">
        <f t="shared" si="141"/>
        <v>335129.45121436985</v>
      </c>
      <c r="G151" s="15">
        <f t="shared" si="141"/>
        <v>214417.59404074002</v>
      </c>
      <c r="H151" s="15">
        <f t="shared" si="141"/>
        <v>166413.12116085002</v>
      </c>
      <c r="I151" s="15">
        <f>SUM(F151:H151)</f>
        <v>715960.16641595995</v>
      </c>
      <c r="J151" s="15">
        <f t="shared" ref="J151" si="142">+E151+I151</f>
        <v>1222232.3283242099</v>
      </c>
      <c r="K151" s="15">
        <f t="shared" si="141"/>
        <v>273320.43329090008</v>
      </c>
      <c r="L151" s="15">
        <f t="shared" si="141"/>
        <v>213655.01444607996</v>
      </c>
      <c r="M151" s="15">
        <f t="shared" si="141"/>
        <v>152625.29123465001</v>
      </c>
      <c r="N151" s="15">
        <f>SUM(K151:M151)</f>
        <v>639600.73897163011</v>
      </c>
      <c r="O151" s="15">
        <f t="shared" si="141"/>
        <v>274466.03577689</v>
      </c>
      <c r="P151" s="15">
        <f t="shared" si="141"/>
        <v>211440.30081493995</v>
      </c>
      <c r="Q151" s="15">
        <f t="shared" si="141"/>
        <v>177656.77887472993</v>
      </c>
      <c r="R151" s="15">
        <f>SUM(O151:Q151)</f>
        <v>663563.11546655989</v>
      </c>
      <c r="S151" s="15">
        <f t="shared" ref="S151" si="143">+N151+R151</f>
        <v>1303163.8544381899</v>
      </c>
      <c r="T151" s="15">
        <f>+J151+S151</f>
        <v>2525396.1827623998</v>
      </c>
      <c r="U151" s="15"/>
      <c r="V151" s="15"/>
      <c r="W151" s="15"/>
      <c r="X151" s="15"/>
      <c r="Y151" s="15"/>
      <c r="Z151" s="15"/>
      <c r="AA151" s="15"/>
      <c r="AB151" s="15"/>
      <c r="AC151" s="15"/>
      <c r="AD151" s="15"/>
      <c r="AE151" s="15"/>
      <c r="AF151" s="15"/>
      <c r="AG151" s="15"/>
      <c r="AH151" s="15"/>
      <c r="AI151" s="15"/>
      <c r="AJ151" s="15"/>
    </row>
    <row r="152" spans="1:36" s="10" customFormat="1" ht="15" customHeight="1" x14ac:dyDescent="0.2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spans="1:36" s="10" customFormat="1" ht="15" customHeight="1" x14ac:dyDescent="0.25">
      <c r="A153" s="10" t="s">
        <v>146</v>
      </c>
      <c r="B153" s="15">
        <v>0</v>
      </c>
      <c r="C153" s="15">
        <v>0</v>
      </c>
      <c r="D153" s="15">
        <v>-1113.30500317</v>
      </c>
      <c r="E153" s="15">
        <f>SUM(B153:D153)</f>
        <v>-1113.30500317</v>
      </c>
      <c r="F153" s="15">
        <v>-253.75410955000001</v>
      </c>
      <c r="G153" s="15">
        <v>-263.37919381</v>
      </c>
      <c r="H153" s="15">
        <v>-1413.7564235999998</v>
      </c>
      <c r="I153" s="15">
        <f>SUM(F153:H153)</f>
        <v>-1930.8897269599997</v>
      </c>
      <c r="J153" s="15">
        <f t="shared" ref="J153" si="144">+E153+I153</f>
        <v>-3044.1947301299997</v>
      </c>
      <c r="K153" s="15">
        <v>-186.07918955000002</v>
      </c>
      <c r="L153" s="15">
        <v>-118.77390805</v>
      </c>
      <c r="M153" s="15">
        <v>-454.52269844</v>
      </c>
      <c r="N153" s="15">
        <f>SUM(K153:M153)</f>
        <v>-759.37579604000007</v>
      </c>
      <c r="O153" s="15">
        <v>-36.81404835</v>
      </c>
      <c r="P153" s="15">
        <v>-1198.3023431900001</v>
      </c>
      <c r="Q153" s="15">
        <v>-3370.7390918599999</v>
      </c>
      <c r="R153" s="15">
        <f>SUM(O153:Q153)</f>
        <v>-4605.8554833999997</v>
      </c>
      <c r="S153" s="15">
        <f t="shared" ref="S153" si="145">+N153+R153</f>
        <v>-5365.2312794399995</v>
      </c>
      <c r="T153" s="15">
        <f>+J153+S153</f>
        <v>-8409.4260095699992</v>
      </c>
      <c r="U153" s="15"/>
      <c r="V153" s="15"/>
      <c r="W153" s="15"/>
      <c r="X153" s="15"/>
      <c r="Y153" s="15"/>
      <c r="Z153" s="15"/>
      <c r="AA153" s="15"/>
      <c r="AB153" s="15"/>
      <c r="AC153" s="15"/>
      <c r="AD153" s="15"/>
      <c r="AE153" s="15"/>
      <c r="AF153" s="15"/>
      <c r="AG153" s="15"/>
      <c r="AH153" s="15"/>
      <c r="AI153" s="15"/>
      <c r="AJ153" s="15"/>
    </row>
    <row r="154" spans="1:36" s="10" customFormat="1" ht="15" customHeight="1" x14ac:dyDescent="0.2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spans="1:36" s="10" customFormat="1" ht="15" customHeight="1" x14ac:dyDescent="0.25">
      <c r="A155" s="10" t="s">
        <v>147</v>
      </c>
      <c r="B155" s="15">
        <f>+B151+B153</f>
        <v>234818.80370478</v>
      </c>
      <c r="C155" s="15">
        <f t="shared" ref="C155:Q155" si="146">+C151+C153</f>
        <v>124269.60969279001</v>
      </c>
      <c r="D155" s="15">
        <f t="shared" si="146"/>
        <v>146070.44350750998</v>
      </c>
      <c r="E155" s="15">
        <f>SUM(B155:D155)</f>
        <v>505158.85690508003</v>
      </c>
      <c r="F155" s="15">
        <f t="shared" si="146"/>
        <v>334875.69710481988</v>
      </c>
      <c r="G155" s="15">
        <f t="shared" si="146"/>
        <v>214154.21484693003</v>
      </c>
      <c r="H155" s="15">
        <f t="shared" si="146"/>
        <v>164999.36473725003</v>
      </c>
      <c r="I155" s="15">
        <f>SUM(F155:H155)</f>
        <v>714029.27668899996</v>
      </c>
      <c r="J155" s="15">
        <f t="shared" ref="J155" si="147">+E155+I155</f>
        <v>1219188.1335940799</v>
      </c>
      <c r="K155" s="15">
        <f t="shared" si="146"/>
        <v>273134.35410135007</v>
      </c>
      <c r="L155" s="15">
        <f t="shared" si="146"/>
        <v>213536.24053802996</v>
      </c>
      <c r="M155" s="15">
        <f t="shared" si="146"/>
        <v>152170.76853621</v>
      </c>
      <c r="N155" s="15">
        <f>SUM(K155:M155)</f>
        <v>638841.36317559006</v>
      </c>
      <c r="O155" s="15">
        <f t="shared" si="146"/>
        <v>274429.22172854003</v>
      </c>
      <c r="P155" s="15">
        <f t="shared" si="146"/>
        <v>210241.99847174995</v>
      </c>
      <c r="Q155" s="15">
        <f t="shared" si="146"/>
        <v>174286.03978286992</v>
      </c>
      <c r="R155" s="15">
        <f>SUM(O155:Q155)</f>
        <v>658957.25998315983</v>
      </c>
      <c r="S155" s="15">
        <f t="shared" ref="S155" si="148">+N155+R155</f>
        <v>1297798.6231587499</v>
      </c>
      <c r="T155" s="15">
        <f>+J155+S155</f>
        <v>2516986.75675283</v>
      </c>
      <c r="U155" s="15"/>
      <c r="V155" s="15"/>
      <c r="W155" s="15"/>
      <c r="X155" s="15"/>
      <c r="Y155" s="15"/>
      <c r="Z155" s="15"/>
      <c r="AA155" s="15"/>
      <c r="AB155" s="15"/>
      <c r="AC155" s="15"/>
      <c r="AD155" s="15"/>
      <c r="AE155" s="15"/>
      <c r="AF155" s="15"/>
      <c r="AG155" s="15"/>
      <c r="AH155" s="15"/>
      <c r="AI155" s="15"/>
      <c r="AJ155" s="15"/>
    </row>
    <row r="156" spans="1:36" s="10" customFormat="1" ht="15" customHeight="1" thickBot="1" x14ac:dyDescent="0.3">
      <c r="A156" s="16"/>
      <c r="B156" s="17"/>
      <c r="C156" s="17"/>
      <c r="D156" s="17"/>
      <c r="E156" s="17"/>
      <c r="F156" s="17"/>
      <c r="G156" s="17"/>
      <c r="H156" s="17"/>
      <c r="I156" s="17"/>
      <c r="J156" s="17"/>
      <c r="K156" s="17"/>
      <c r="L156" s="17"/>
      <c r="M156" s="17"/>
      <c r="N156" s="17"/>
      <c r="O156" s="17"/>
      <c r="P156" s="17"/>
      <c r="Q156" s="17"/>
      <c r="R156" s="17"/>
      <c r="S156" s="17"/>
      <c r="T156" s="17"/>
      <c r="U156" s="15"/>
      <c r="V156" s="15"/>
      <c r="W156" s="15"/>
      <c r="X156" s="15"/>
      <c r="Y156" s="15"/>
      <c r="Z156" s="15"/>
      <c r="AA156" s="15"/>
      <c r="AB156" s="15"/>
      <c r="AC156" s="15"/>
      <c r="AD156" s="15"/>
      <c r="AE156" s="15"/>
      <c r="AF156" s="15"/>
      <c r="AG156" s="15"/>
      <c r="AH156" s="15"/>
      <c r="AI156" s="15"/>
      <c r="AJ156" s="15"/>
    </row>
    <row r="157" spans="1:36" s="10" customFormat="1" ht="15" customHeight="1" thickTop="1" x14ac:dyDescent="0.25">
      <c r="A157" s="18" t="s">
        <v>148</v>
      </c>
      <c r="B157" s="19"/>
      <c r="C157" s="19"/>
      <c r="D157" s="19"/>
      <c r="E157" s="19"/>
      <c r="F157" s="19"/>
      <c r="G157" s="19"/>
      <c r="H157" s="19"/>
      <c r="I157" s="19"/>
      <c r="J157" s="19"/>
      <c r="K157" s="19"/>
      <c r="L157" s="19"/>
      <c r="M157" s="19"/>
      <c r="N157" s="19"/>
      <c r="O157" s="19"/>
      <c r="P157" s="19"/>
      <c r="Q157" s="19"/>
      <c r="R157" s="19"/>
      <c r="S157" s="19"/>
      <c r="T157" s="19"/>
      <c r="U157" s="15"/>
      <c r="V157" s="15"/>
      <c r="W157" s="15"/>
      <c r="X157" s="15"/>
      <c r="Y157" s="15"/>
      <c r="Z157" s="15"/>
      <c r="AA157" s="15"/>
      <c r="AB157" s="15"/>
      <c r="AC157" s="15"/>
      <c r="AD157" s="15"/>
      <c r="AE157" s="15"/>
      <c r="AF157" s="15"/>
      <c r="AG157" s="15"/>
      <c r="AH157" s="15"/>
      <c r="AI157" s="15"/>
      <c r="AJ157" s="15"/>
    </row>
    <row r="158" spans="1:36" s="10" customFormat="1" ht="15" customHeight="1" x14ac:dyDescent="0.25">
      <c r="A158" s="18"/>
      <c r="B158" s="19"/>
      <c r="C158" s="19"/>
      <c r="D158" s="19"/>
      <c r="E158" s="19"/>
      <c r="F158" s="19"/>
      <c r="G158" s="19"/>
      <c r="H158" s="19"/>
      <c r="I158" s="19"/>
      <c r="J158" s="19"/>
      <c r="K158" s="19"/>
      <c r="L158" s="19"/>
      <c r="M158" s="19"/>
      <c r="N158" s="19"/>
      <c r="O158" s="19"/>
      <c r="P158" s="19"/>
      <c r="Q158" s="19"/>
      <c r="R158" s="19"/>
      <c r="S158" s="19"/>
      <c r="T158" s="19"/>
      <c r="U158" s="15"/>
      <c r="V158" s="15"/>
      <c r="W158" s="15"/>
      <c r="X158" s="15"/>
      <c r="Y158" s="15"/>
      <c r="Z158" s="15"/>
      <c r="AA158" s="15"/>
      <c r="AB158" s="15"/>
      <c r="AC158" s="15"/>
      <c r="AD158" s="15"/>
      <c r="AE158" s="15"/>
      <c r="AF158" s="15"/>
      <c r="AG158" s="15"/>
      <c r="AH158" s="15"/>
      <c r="AI158" s="15"/>
      <c r="AJ158" s="15"/>
    </row>
    <row r="159" spans="1:36" s="10" customFormat="1" ht="15" customHeight="1" x14ac:dyDescent="0.3">
      <c r="A159" s="20" t="s">
        <v>149</v>
      </c>
      <c r="B159" s="21"/>
      <c r="C159" s="21"/>
      <c r="D159" s="21"/>
      <c r="E159" s="21"/>
      <c r="F159" s="21"/>
      <c r="G159" s="21"/>
      <c r="H159" s="21"/>
      <c r="I159" s="21"/>
      <c r="J159" s="21"/>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spans="1:36" s="10" customFormat="1" ht="15" customHeight="1" x14ac:dyDescent="0.3">
      <c r="A160" s="20" t="s">
        <v>181</v>
      </c>
      <c r="B160" s="22"/>
      <c r="C160" s="22"/>
      <c r="D160" s="22"/>
      <c r="E160" s="22"/>
      <c r="F160" s="22"/>
      <c r="G160" s="22"/>
      <c r="H160" s="22"/>
      <c r="I160" s="22"/>
      <c r="J160" s="22"/>
    </row>
    <row r="161" spans="1:10" ht="15" customHeight="1" x14ac:dyDescent="0.3">
      <c r="A161" s="23" t="s">
        <v>150</v>
      </c>
      <c r="B161" s="24"/>
      <c r="C161" s="24"/>
      <c r="D161" s="24"/>
      <c r="E161" s="24"/>
      <c r="F161" s="24"/>
      <c r="G161" s="24"/>
      <c r="H161" s="24"/>
      <c r="I161" s="24"/>
      <c r="J161" s="24"/>
    </row>
    <row r="162" spans="1:10" s="24" customFormat="1" ht="17.100000000000001" customHeight="1" x14ac:dyDescent="0.3">
      <c r="A162" s="25" t="s">
        <v>151</v>
      </c>
    </row>
    <row r="163" spans="1:10" s="24" customFormat="1" ht="17.100000000000001" customHeight="1" x14ac:dyDescent="0.3">
      <c r="A163" s="25" t="s">
        <v>152</v>
      </c>
    </row>
    <row r="164" spans="1:10" s="24" customFormat="1" ht="17.100000000000001" customHeight="1" x14ac:dyDescent="0.3">
      <c r="A164" s="25" t="s">
        <v>153</v>
      </c>
    </row>
    <row r="165" spans="1:10" s="24" customFormat="1" ht="17.100000000000001" customHeight="1" x14ac:dyDescent="0.3">
      <c r="A165" s="25" t="s">
        <v>154</v>
      </c>
    </row>
    <row r="166" spans="1:10" s="24" customFormat="1" ht="17.100000000000001" customHeight="1" x14ac:dyDescent="0.3">
      <c r="A166" s="25" t="s">
        <v>155</v>
      </c>
    </row>
    <row r="167" spans="1:10" s="24" customFormat="1" ht="15.95" customHeight="1" x14ac:dyDescent="0.3">
      <c r="A167" s="55" t="s">
        <v>156</v>
      </c>
      <c r="B167" s="55"/>
      <c r="C167" s="55"/>
      <c r="D167" s="55"/>
      <c r="E167" s="55"/>
      <c r="F167" s="55"/>
      <c r="G167" s="55"/>
      <c r="H167" s="55"/>
      <c r="I167" s="55"/>
      <c r="J167" s="55"/>
    </row>
    <row r="168" spans="1:10" s="24" customFormat="1" ht="15.95" customHeight="1" x14ac:dyDescent="0.3">
      <c r="A168" s="55"/>
      <c r="B168" s="55"/>
      <c r="C168" s="55"/>
      <c r="D168" s="55"/>
      <c r="E168" s="55"/>
      <c r="F168" s="55"/>
      <c r="G168" s="55"/>
      <c r="H168" s="55"/>
      <c r="I168" s="55"/>
      <c r="J168" s="55"/>
    </row>
    <row r="169" spans="1:10" s="24" customFormat="1" ht="17.100000000000001" customHeight="1" x14ac:dyDescent="0.3">
      <c r="A169" s="25" t="s">
        <v>157</v>
      </c>
    </row>
    <row r="170" spans="1:10" s="24" customFormat="1" ht="17.100000000000001" customHeight="1" x14ac:dyDescent="0.3">
      <c r="A170" s="25" t="s">
        <v>158</v>
      </c>
    </row>
    <row r="171" spans="1:10" s="24" customFormat="1" ht="15.95" customHeight="1" x14ac:dyDescent="0.3">
      <c r="A171" s="55" t="s">
        <v>159</v>
      </c>
      <c r="B171" s="55"/>
      <c r="C171" s="55"/>
      <c r="D171" s="55"/>
      <c r="E171" s="55"/>
      <c r="F171" s="55"/>
      <c r="G171" s="55"/>
      <c r="H171" s="55"/>
      <c r="I171" s="55"/>
      <c r="J171" s="55"/>
    </row>
    <row r="172" spans="1:10" s="24" customFormat="1" ht="15.95" customHeight="1" x14ac:dyDescent="0.3">
      <c r="A172" s="55"/>
      <c r="B172" s="55"/>
      <c r="C172" s="55"/>
      <c r="D172" s="55"/>
      <c r="E172" s="55"/>
      <c r="F172" s="55"/>
      <c r="G172" s="55"/>
      <c r="H172" s="55"/>
      <c r="I172" s="55"/>
      <c r="J172" s="55"/>
    </row>
    <row r="173" spans="1:10" s="24" customFormat="1" ht="17.100000000000001" customHeight="1" x14ac:dyDescent="0.3">
      <c r="A173" s="25" t="s">
        <v>160</v>
      </c>
    </row>
    <row r="174" spans="1:10" s="24" customFormat="1" ht="17.100000000000001" customHeight="1" x14ac:dyDescent="0.3">
      <c r="A174" s="25" t="s">
        <v>161</v>
      </c>
    </row>
    <row r="175" spans="1:10" s="24" customFormat="1" ht="17.100000000000001" customHeight="1" x14ac:dyDescent="0.3">
      <c r="A175" s="25" t="s">
        <v>165</v>
      </c>
      <c r="B175" s="25"/>
      <c r="C175" s="25"/>
      <c r="D175" s="25"/>
      <c r="E175" s="25"/>
      <c r="F175" s="25"/>
      <c r="G175" s="25"/>
      <c r="H175" s="25"/>
      <c r="I175" s="25"/>
      <c r="J175" s="25"/>
    </row>
    <row r="176" spans="1:10" s="24" customFormat="1" ht="17.100000000000001" customHeight="1" x14ac:dyDescent="0.3">
      <c r="A176" s="25" t="s">
        <v>163</v>
      </c>
    </row>
    <row r="177" spans="1:1" s="24" customFormat="1" ht="17.100000000000001" customHeight="1" x14ac:dyDescent="0.3">
      <c r="A177" s="25" t="s">
        <v>164</v>
      </c>
    </row>
    <row r="178" spans="1:1" s="24" customFormat="1" ht="13.5" x14ac:dyDescent="0.3"/>
    <row r="179" spans="1:1" s="24" customFormat="1" ht="13.5" x14ac:dyDescent="0.3"/>
    <row r="180" spans="1:1" s="24" customFormat="1" x14ac:dyDescent="0.3">
      <c r="A180" s="1"/>
    </row>
    <row r="181" spans="1:1" s="24" customFormat="1" ht="13.5" x14ac:dyDescent="0.3"/>
    <row r="182" spans="1:1" s="24" customFormat="1" ht="13.5" x14ac:dyDescent="0.3"/>
    <row r="183" spans="1:1" s="24" customFormat="1" ht="13.5" x14ac:dyDescent="0.3"/>
    <row r="184" spans="1:1" s="24" customFormat="1" ht="13.5" x14ac:dyDescent="0.3"/>
  </sheetData>
  <mergeCells count="2">
    <mergeCell ref="A167:J168"/>
    <mergeCell ref="A171:J172"/>
  </mergeCells>
  <printOptions horizontalCentered="1"/>
  <pageMargins left="0.2" right="0.2" top="0.5" bottom="0.5" header="0.3" footer="0.3"/>
  <pageSetup paperSize="14" scale="85" orientation="landscape" r:id="rId1"/>
  <headerFooter>
    <oddFooter>&amp;C&amp;"Century Gothic,Regular"&amp;8Page &amp;P of &amp;N</oddFooter>
  </headerFooter>
  <rowBreaks count="3" manualBreakCount="3">
    <brk id="78" max="16383" man="1"/>
    <brk id="110" max="16383" man="1"/>
    <brk id="14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5337-466C-451F-BCD6-2AA56389D4E7}">
  <dimension ref="A1:AJ184"/>
  <sheetViews>
    <sheetView workbookViewId="0">
      <selection activeCell="A2" sqref="A2"/>
    </sheetView>
  </sheetViews>
  <sheetFormatPr defaultRowHeight="14.25" x14ac:dyDescent="0.3"/>
  <cols>
    <col min="1" max="1" width="50.625" style="3" customWidth="1"/>
    <col min="2" max="20" width="11.625" style="3" customWidth="1"/>
    <col min="21" max="16384" width="9" style="3"/>
  </cols>
  <sheetData>
    <row r="1" spans="1:22" x14ac:dyDescent="0.3">
      <c r="A1" s="1" t="s">
        <v>0</v>
      </c>
      <c r="B1" s="1"/>
      <c r="C1" s="1"/>
      <c r="D1" s="1"/>
      <c r="E1" s="1"/>
      <c r="F1" s="1"/>
      <c r="G1" s="1"/>
      <c r="H1" s="1"/>
      <c r="I1" s="1"/>
      <c r="J1" s="1"/>
      <c r="K1" s="1"/>
      <c r="L1" s="1"/>
      <c r="M1" s="1"/>
      <c r="N1" s="1"/>
      <c r="O1" s="1"/>
      <c r="P1" s="1"/>
      <c r="Q1" s="1"/>
      <c r="R1" s="2"/>
      <c r="S1" s="2"/>
    </row>
    <row r="2" spans="1:22" x14ac:dyDescent="0.3">
      <c r="A2" s="1" t="s">
        <v>182</v>
      </c>
      <c r="B2" s="1"/>
      <c r="C2" s="1"/>
      <c r="D2" s="1"/>
      <c r="E2" s="1"/>
      <c r="F2" s="1"/>
      <c r="G2" s="1"/>
      <c r="H2" s="1"/>
      <c r="I2" s="1"/>
      <c r="J2" s="1"/>
      <c r="K2" s="1"/>
      <c r="L2" s="1"/>
      <c r="M2" s="1"/>
      <c r="N2" s="1"/>
      <c r="O2" s="1"/>
      <c r="P2" s="1"/>
      <c r="Q2" s="1"/>
      <c r="R2" s="2"/>
      <c r="S2" s="2"/>
    </row>
    <row r="3" spans="1:22" x14ac:dyDescent="0.3">
      <c r="A3" s="1" t="s">
        <v>1</v>
      </c>
      <c r="B3" s="1"/>
      <c r="C3" s="1"/>
      <c r="D3" s="1"/>
      <c r="E3" s="1"/>
      <c r="F3" s="1"/>
      <c r="G3" s="1"/>
      <c r="H3" s="1"/>
      <c r="I3" s="1"/>
      <c r="J3" s="1"/>
      <c r="K3" s="1"/>
      <c r="L3" s="1"/>
      <c r="M3" s="1"/>
      <c r="N3" s="1"/>
      <c r="O3" s="1"/>
      <c r="P3" s="1"/>
      <c r="Q3" s="1"/>
      <c r="R3" s="2"/>
      <c r="S3" s="2"/>
    </row>
    <row r="4" spans="1:22" ht="15" thickBot="1" x14ac:dyDescent="0.35"/>
    <row r="5" spans="1:22" s="7" customFormat="1" ht="15" thickTop="1" thickBot="1" x14ac:dyDescent="0.3">
      <c r="A5" s="4" t="s">
        <v>2</v>
      </c>
      <c r="B5" s="5" t="s">
        <v>3</v>
      </c>
      <c r="C5" s="5" t="s">
        <v>4</v>
      </c>
      <c r="D5" s="5" t="s">
        <v>5</v>
      </c>
      <c r="E5" s="5" t="s">
        <v>6</v>
      </c>
      <c r="F5" s="5" t="s">
        <v>7</v>
      </c>
      <c r="G5" s="5" t="s">
        <v>8</v>
      </c>
      <c r="H5" s="5" t="s">
        <v>9</v>
      </c>
      <c r="I5" s="5" t="s">
        <v>10</v>
      </c>
      <c r="J5" s="5" t="s">
        <v>11</v>
      </c>
      <c r="K5" s="5" t="s">
        <v>12</v>
      </c>
      <c r="L5" s="5" t="s">
        <v>13</v>
      </c>
      <c r="M5" s="5" t="s">
        <v>14</v>
      </c>
      <c r="N5" s="5" t="s">
        <v>15</v>
      </c>
      <c r="O5" s="5" t="s">
        <v>16</v>
      </c>
      <c r="P5" s="5" t="s">
        <v>17</v>
      </c>
      <c r="Q5" s="5" t="s">
        <v>18</v>
      </c>
      <c r="R5" s="5" t="s">
        <v>19</v>
      </c>
      <c r="S5" s="5" t="s">
        <v>20</v>
      </c>
      <c r="T5" s="5" t="s">
        <v>21</v>
      </c>
    </row>
    <row r="6" spans="1:22" s="9" customFormat="1" ht="15" thickTop="1" x14ac:dyDescent="0.3">
      <c r="A6" s="3"/>
      <c r="B6" s="8"/>
      <c r="C6" s="8"/>
      <c r="D6" s="8"/>
      <c r="E6" s="8"/>
      <c r="F6" s="8"/>
      <c r="G6" s="8"/>
      <c r="H6" s="8"/>
      <c r="I6" s="8"/>
      <c r="J6" s="8"/>
      <c r="K6" s="8"/>
      <c r="L6" s="8"/>
      <c r="M6" s="8"/>
      <c r="N6" s="8"/>
      <c r="O6" s="8"/>
      <c r="P6" s="8"/>
      <c r="Q6" s="8"/>
      <c r="R6" s="8"/>
      <c r="S6" s="8"/>
      <c r="T6" s="8"/>
      <c r="U6" s="8"/>
      <c r="V6" s="8"/>
    </row>
    <row r="7" spans="1:22" s="10" customFormat="1" ht="15" customHeight="1" x14ac:dyDescent="0.25">
      <c r="A7" s="10" t="s">
        <v>22</v>
      </c>
      <c r="B7" s="11">
        <f>SUM(B8:B23)</f>
        <v>248349.48886617992</v>
      </c>
      <c r="C7" s="11">
        <f t="shared" ref="C7:Q7" si="0">SUM(C8:C23)</f>
        <v>106392.84428553002</v>
      </c>
      <c r="D7" s="11">
        <f t="shared" si="0"/>
        <v>107224.91146503</v>
      </c>
      <c r="E7" s="11">
        <f>SUM(B7:D7)</f>
        <v>461967.24461673992</v>
      </c>
      <c r="F7" s="11">
        <f t="shared" si="0"/>
        <v>302556.89493353007</v>
      </c>
      <c r="G7" s="11">
        <f t="shared" si="0"/>
        <v>172733.08558598999</v>
      </c>
      <c r="H7" s="11">
        <f t="shared" si="0"/>
        <v>134639.15132726001</v>
      </c>
      <c r="I7" s="11">
        <f>SUM(F7:H7)</f>
        <v>609929.13184678007</v>
      </c>
      <c r="J7" s="11">
        <f>+E7+I7</f>
        <v>1071896.3764635199</v>
      </c>
      <c r="K7" s="11">
        <f t="shared" si="0"/>
        <v>255546.94844466003</v>
      </c>
      <c r="L7" s="11">
        <f t="shared" si="0"/>
        <v>186148.51020837994</v>
      </c>
      <c r="M7" s="11">
        <f t="shared" si="0"/>
        <v>128083.64560053</v>
      </c>
      <c r="N7" s="11">
        <f>SUM(K7:M7)</f>
        <v>569779.10425356997</v>
      </c>
      <c r="O7" s="11">
        <f t="shared" si="0"/>
        <v>263361.09439478</v>
      </c>
      <c r="P7" s="11">
        <f t="shared" si="0"/>
        <v>193634.53291363997</v>
      </c>
      <c r="Q7" s="11">
        <f t="shared" si="0"/>
        <v>144192.76671611</v>
      </c>
      <c r="R7" s="11">
        <f>SUM(O7:Q7)</f>
        <v>601188.39402452996</v>
      </c>
      <c r="S7" s="11">
        <f>+N7+R7</f>
        <v>1170967.4982781</v>
      </c>
      <c r="T7" s="11">
        <f>+J7+S7</f>
        <v>2242863.8747416199</v>
      </c>
      <c r="U7" s="11"/>
      <c r="V7" s="11"/>
    </row>
    <row r="8" spans="1:22" ht="15" customHeight="1" x14ac:dyDescent="0.3">
      <c r="A8" s="12" t="s">
        <v>23</v>
      </c>
      <c r="B8" s="8">
        <v>1157.5642453300038</v>
      </c>
      <c r="C8" s="8">
        <v>368.71565794999935</v>
      </c>
      <c r="D8" s="8">
        <v>372.24731077000018</v>
      </c>
      <c r="E8" s="8">
        <f t="shared" ref="E8:E23" si="1">SUM(B8:D8)</f>
        <v>1898.5272140500033</v>
      </c>
      <c r="F8" s="8">
        <v>1122.1877632599992</v>
      </c>
      <c r="G8" s="8">
        <v>658.67860811000025</v>
      </c>
      <c r="H8" s="8">
        <v>346.35736884000005</v>
      </c>
      <c r="I8" s="8">
        <f t="shared" ref="I8:I23" si="2">SUM(F8:H8)</f>
        <v>2127.2237402099995</v>
      </c>
      <c r="J8" s="8">
        <f t="shared" ref="J8:J71" si="3">+E8+I8</f>
        <v>4025.7509542600028</v>
      </c>
      <c r="K8" s="8">
        <v>951.08668425999929</v>
      </c>
      <c r="L8" s="8">
        <v>595.88267116000009</v>
      </c>
      <c r="M8" s="8">
        <v>494.5316393599997</v>
      </c>
      <c r="N8" s="8">
        <f t="shared" ref="N8:N23" si="4">SUM(K8:M8)</f>
        <v>2041.500994779999</v>
      </c>
      <c r="O8" s="8">
        <v>1126.9279336500001</v>
      </c>
      <c r="P8" s="8">
        <v>607.39926526000011</v>
      </c>
      <c r="Q8" s="8">
        <v>443.47425697999995</v>
      </c>
      <c r="R8" s="8">
        <f t="shared" ref="R8:R23" si="5">SUM(O8:Q8)</f>
        <v>2177.8014558900004</v>
      </c>
      <c r="S8" s="8">
        <f t="shared" ref="S8:S71" si="6">+N8+R8</f>
        <v>4219.3024506699994</v>
      </c>
      <c r="T8" s="8">
        <f t="shared" ref="T8:T23" si="7">+J8+S8</f>
        <v>8245.0534049300022</v>
      </c>
      <c r="U8" s="8"/>
      <c r="V8" s="8"/>
    </row>
    <row r="9" spans="1:22" ht="15" customHeight="1" x14ac:dyDescent="0.3">
      <c r="A9" s="12" t="s">
        <v>24</v>
      </c>
      <c r="B9" s="8">
        <v>875.35506253999949</v>
      </c>
      <c r="C9" s="8">
        <v>321.8976141600005</v>
      </c>
      <c r="D9" s="8">
        <v>368.43988661999998</v>
      </c>
      <c r="E9" s="8">
        <f t="shared" si="1"/>
        <v>1565.6925633199999</v>
      </c>
      <c r="F9" s="8">
        <v>1079.7391569800006</v>
      </c>
      <c r="G9" s="8">
        <v>530.6160276600001</v>
      </c>
      <c r="H9" s="8">
        <v>375.66578933000028</v>
      </c>
      <c r="I9" s="8">
        <f t="shared" si="2"/>
        <v>1986.020973970001</v>
      </c>
      <c r="J9" s="8">
        <f t="shared" si="3"/>
        <v>3551.7135372900011</v>
      </c>
      <c r="K9" s="8">
        <v>810.86927301000037</v>
      </c>
      <c r="L9" s="8">
        <v>558.77403371999958</v>
      </c>
      <c r="M9" s="8">
        <v>358.06737945000015</v>
      </c>
      <c r="N9" s="8">
        <f t="shared" si="4"/>
        <v>1727.71068618</v>
      </c>
      <c r="O9" s="8">
        <v>842.71195100999955</v>
      </c>
      <c r="P9" s="8">
        <v>550.90664646000005</v>
      </c>
      <c r="Q9" s="8">
        <v>424.4505659900002</v>
      </c>
      <c r="R9" s="8">
        <f t="shared" si="5"/>
        <v>1818.0691634599998</v>
      </c>
      <c r="S9" s="8">
        <f t="shared" si="6"/>
        <v>3545.7798496400001</v>
      </c>
      <c r="T9" s="8">
        <f t="shared" si="7"/>
        <v>7097.4933869300012</v>
      </c>
      <c r="U9" s="8"/>
      <c r="V9" s="8"/>
    </row>
    <row r="10" spans="1:22" ht="15" customHeight="1" x14ac:dyDescent="0.3">
      <c r="A10" s="12" t="s">
        <v>25</v>
      </c>
      <c r="B10" s="8">
        <v>16377.056202929974</v>
      </c>
      <c r="C10" s="8">
        <v>6171.3477401699984</v>
      </c>
      <c r="D10" s="8">
        <v>6633.2813473299957</v>
      </c>
      <c r="E10" s="8">
        <f t="shared" si="1"/>
        <v>29181.685290429967</v>
      </c>
      <c r="F10" s="8">
        <v>20179.727118119998</v>
      </c>
      <c r="G10" s="8">
        <v>10206.399216579992</v>
      </c>
      <c r="H10" s="8">
        <v>11078.69911295</v>
      </c>
      <c r="I10" s="8">
        <f t="shared" si="2"/>
        <v>41464.825447649993</v>
      </c>
      <c r="J10" s="8">
        <f t="shared" si="3"/>
        <v>70646.51073807996</v>
      </c>
      <c r="K10" s="8">
        <v>17607.254291240002</v>
      </c>
      <c r="L10" s="8">
        <v>10772.522117029996</v>
      </c>
      <c r="M10" s="8">
        <v>7502.0415618299967</v>
      </c>
      <c r="N10" s="8">
        <f t="shared" si="4"/>
        <v>35881.817970099997</v>
      </c>
      <c r="O10" s="8">
        <v>15708.850556090008</v>
      </c>
      <c r="P10" s="8">
        <v>12723.413108940002</v>
      </c>
      <c r="Q10" s="8">
        <v>8534.25505462</v>
      </c>
      <c r="R10" s="8">
        <f t="shared" si="5"/>
        <v>36966.518719650012</v>
      </c>
      <c r="S10" s="8">
        <f t="shared" si="6"/>
        <v>72848.336689750009</v>
      </c>
      <c r="T10" s="8">
        <f t="shared" si="7"/>
        <v>143494.84742782998</v>
      </c>
      <c r="U10" s="8"/>
      <c r="V10" s="8"/>
    </row>
    <row r="11" spans="1:22" ht="15" customHeight="1" x14ac:dyDescent="0.3">
      <c r="A11" s="12" t="s">
        <v>26</v>
      </c>
      <c r="B11" s="8">
        <v>569.89208358000042</v>
      </c>
      <c r="C11" s="8">
        <v>204.36243647999993</v>
      </c>
      <c r="D11" s="8">
        <v>270.76409146999993</v>
      </c>
      <c r="E11" s="8">
        <f t="shared" si="1"/>
        <v>1045.0186115300003</v>
      </c>
      <c r="F11" s="8">
        <v>763.01224433999994</v>
      </c>
      <c r="G11" s="8">
        <v>310.47311265999997</v>
      </c>
      <c r="H11" s="8">
        <v>268.60766583999998</v>
      </c>
      <c r="I11" s="8">
        <f t="shared" si="2"/>
        <v>1342.09302284</v>
      </c>
      <c r="J11" s="8">
        <f t="shared" si="3"/>
        <v>2387.1116343700005</v>
      </c>
      <c r="K11" s="8">
        <v>591.61585244999969</v>
      </c>
      <c r="L11" s="8">
        <v>388.71648511000001</v>
      </c>
      <c r="M11" s="8">
        <v>288.36731802999998</v>
      </c>
      <c r="N11" s="8">
        <f t="shared" si="4"/>
        <v>1268.6996555899996</v>
      </c>
      <c r="O11" s="8">
        <v>607.91552462000072</v>
      </c>
      <c r="P11" s="8">
        <v>337.40607177000004</v>
      </c>
      <c r="Q11" s="8">
        <v>275.07445380000007</v>
      </c>
      <c r="R11" s="8">
        <f t="shared" si="5"/>
        <v>1220.3960501900008</v>
      </c>
      <c r="S11" s="8">
        <f t="shared" si="6"/>
        <v>2489.0957057800006</v>
      </c>
      <c r="T11" s="8">
        <f t="shared" si="7"/>
        <v>4876.2073401500011</v>
      </c>
      <c r="U11" s="8"/>
      <c r="V11" s="8"/>
    </row>
    <row r="12" spans="1:22" ht="15" customHeight="1" x14ac:dyDescent="0.3">
      <c r="A12" s="12" t="s">
        <v>27</v>
      </c>
      <c r="B12" s="8">
        <v>5114.499522749984</v>
      </c>
      <c r="C12" s="8">
        <v>1456.7251424899982</v>
      </c>
      <c r="D12" s="8">
        <v>1445.8011552599999</v>
      </c>
      <c r="E12" s="8">
        <f t="shared" si="1"/>
        <v>8017.0258204999827</v>
      </c>
      <c r="F12" s="8">
        <v>4596.9844312899995</v>
      </c>
      <c r="G12" s="8">
        <v>2432.7964135500001</v>
      </c>
      <c r="H12" s="8">
        <v>2135.9234425599998</v>
      </c>
      <c r="I12" s="8">
        <f t="shared" si="2"/>
        <v>9165.7042873999999</v>
      </c>
      <c r="J12" s="8">
        <f t="shared" si="3"/>
        <v>17182.730107899981</v>
      </c>
      <c r="K12" s="8">
        <v>3820.3648733200016</v>
      </c>
      <c r="L12" s="8">
        <v>2449.0886349199991</v>
      </c>
      <c r="M12" s="8">
        <v>1773.2395916599974</v>
      </c>
      <c r="N12" s="8">
        <f t="shared" si="4"/>
        <v>8042.6930998999978</v>
      </c>
      <c r="O12" s="8">
        <v>3970.6353918599943</v>
      </c>
      <c r="P12" s="8">
        <v>2851.8939153099973</v>
      </c>
      <c r="Q12" s="8">
        <v>2057.3780777799998</v>
      </c>
      <c r="R12" s="8">
        <f t="shared" si="5"/>
        <v>8879.907384949991</v>
      </c>
      <c r="S12" s="8">
        <f t="shared" si="6"/>
        <v>16922.600484849987</v>
      </c>
      <c r="T12" s="8">
        <f t="shared" si="7"/>
        <v>34105.330592749968</v>
      </c>
      <c r="U12" s="8"/>
      <c r="V12" s="8"/>
    </row>
    <row r="13" spans="1:22" ht="15" customHeight="1" x14ac:dyDescent="0.3">
      <c r="A13" s="12" t="s">
        <v>28</v>
      </c>
      <c r="B13" s="8">
        <v>6849.7040095399925</v>
      </c>
      <c r="C13" s="8">
        <v>2802.9923074800004</v>
      </c>
      <c r="D13" s="8">
        <v>3098.7507770500006</v>
      </c>
      <c r="E13" s="8">
        <f t="shared" si="1"/>
        <v>12751.447094069994</v>
      </c>
      <c r="F13" s="8">
        <v>7096.6646070500019</v>
      </c>
      <c r="G13" s="8">
        <v>4642.3327186999986</v>
      </c>
      <c r="H13" s="8">
        <v>4145.556103259999</v>
      </c>
      <c r="I13" s="8">
        <f t="shared" si="2"/>
        <v>15884.55342901</v>
      </c>
      <c r="J13" s="8">
        <f t="shared" si="3"/>
        <v>28636.000523079994</v>
      </c>
      <c r="K13" s="8">
        <v>6073.5969912600021</v>
      </c>
      <c r="L13" s="8">
        <v>4435.2760171400005</v>
      </c>
      <c r="M13" s="8">
        <v>3780.9470616599988</v>
      </c>
      <c r="N13" s="8">
        <f t="shared" si="4"/>
        <v>14289.820070060001</v>
      </c>
      <c r="O13" s="8">
        <v>6997.3723615999988</v>
      </c>
      <c r="P13" s="8">
        <v>5149.205160489998</v>
      </c>
      <c r="Q13" s="8">
        <v>5319.0492423999967</v>
      </c>
      <c r="R13" s="8">
        <f t="shared" si="5"/>
        <v>17465.626764489993</v>
      </c>
      <c r="S13" s="8">
        <f t="shared" si="6"/>
        <v>31755.446834549992</v>
      </c>
      <c r="T13" s="8">
        <f t="shared" si="7"/>
        <v>60391.447357629986</v>
      </c>
      <c r="U13" s="8"/>
      <c r="V13" s="8"/>
    </row>
    <row r="14" spans="1:22" ht="18" customHeight="1" x14ac:dyDescent="0.3">
      <c r="A14" s="12" t="s">
        <v>29</v>
      </c>
      <c r="B14" s="8">
        <v>1251.6969311899984</v>
      </c>
      <c r="C14" s="8">
        <v>598.90742684000122</v>
      </c>
      <c r="D14" s="8">
        <v>560.90811116000032</v>
      </c>
      <c r="E14" s="8">
        <f t="shared" si="1"/>
        <v>2411.51246919</v>
      </c>
      <c r="F14" s="8">
        <v>1991.4660419699997</v>
      </c>
      <c r="G14" s="8">
        <v>754.00937471000032</v>
      </c>
      <c r="H14" s="8">
        <v>610.06847469000013</v>
      </c>
      <c r="I14" s="8">
        <f t="shared" si="2"/>
        <v>3355.54389137</v>
      </c>
      <c r="J14" s="8">
        <f t="shared" si="3"/>
        <v>5767.05636056</v>
      </c>
      <c r="K14" s="8">
        <v>1356.7632002999997</v>
      </c>
      <c r="L14" s="8">
        <v>898.99005127999919</v>
      </c>
      <c r="M14" s="8">
        <v>656.68863336000049</v>
      </c>
      <c r="N14" s="8">
        <f t="shared" si="4"/>
        <v>2912.4418849399995</v>
      </c>
      <c r="O14" s="8">
        <v>1381.628296079999</v>
      </c>
      <c r="P14" s="8">
        <v>981.45662154000024</v>
      </c>
      <c r="Q14" s="8">
        <v>645.02544117999992</v>
      </c>
      <c r="R14" s="8">
        <f t="shared" si="5"/>
        <v>3008.1103587999987</v>
      </c>
      <c r="S14" s="8">
        <f t="shared" si="6"/>
        <v>5920.5522437399977</v>
      </c>
      <c r="T14" s="8">
        <f t="shared" si="7"/>
        <v>11687.608604299998</v>
      </c>
      <c r="U14" s="8"/>
      <c r="V14" s="8"/>
    </row>
    <row r="15" spans="1:22" ht="15" customHeight="1" x14ac:dyDescent="0.3">
      <c r="A15" s="12" t="s">
        <v>30</v>
      </c>
      <c r="B15" s="8">
        <v>1944.5777052700028</v>
      </c>
      <c r="C15" s="8">
        <v>1003.0478381099998</v>
      </c>
      <c r="D15" s="8">
        <v>957.79318721000016</v>
      </c>
      <c r="E15" s="8">
        <f t="shared" si="1"/>
        <v>3905.4187305900027</v>
      </c>
      <c r="F15" s="8">
        <v>2345.6268421199993</v>
      </c>
      <c r="G15" s="8">
        <v>1294.07049588</v>
      </c>
      <c r="H15" s="8">
        <v>971.52626172999999</v>
      </c>
      <c r="I15" s="8">
        <f t="shared" si="2"/>
        <v>4611.2235997299995</v>
      </c>
      <c r="J15" s="8">
        <f t="shared" si="3"/>
        <v>8516.6423303200027</v>
      </c>
      <c r="K15" s="8">
        <v>1803.8370874300003</v>
      </c>
      <c r="L15" s="8">
        <v>1215.5109701900008</v>
      </c>
      <c r="M15" s="8">
        <v>900.11930180999934</v>
      </c>
      <c r="N15" s="8">
        <f t="shared" si="4"/>
        <v>3919.4673594300002</v>
      </c>
      <c r="O15" s="8">
        <v>1731.6246512399994</v>
      </c>
      <c r="P15" s="8">
        <v>1388.2771769700005</v>
      </c>
      <c r="Q15" s="8">
        <v>1109.4103079799995</v>
      </c>
      <c r="R15" s="8">
        <f t="shared" si="5"/>
        <v>4229.3121361899994</v>
      </c>
      <c r="S15" s="8">
        <f t="shared" si="6"/>
        <v>8148.7794956199996</v>
      </c>
      <c r="T15" s="8">
        <f t="shared" si="7"/>
        <v>16665.42182594</v>
      </c>
      <c r="U15" s="8"/>
      <c r="V15" s="8"/>
    </row>
    <row r="16" spans="1:22" ht="15" customHeight="1" x14ac:dyDescent="0.3">
      <c r="A16" s="12" t="s">
        <v>31</v>
      </c>
      <c r="B16" s="8">
        <v>2191.3291453499946</v>
      </c>
      <c r="C16" s="8">
        <v>943.56815639999866</v>
      </c>
      <c r="D16" s="8">
        <v>1057.4135956900002</v>
      </c>
      <c r="E16" s="8">
        <f t="shared" si="1"/>
        <v>4192.3108974399938</v>
      </c>
      <c r="F16" s="8">
        <v>3463.3619534199979</v>
      </c>
      <c r="G16" s="8">
        <v>1712.2009681400004</v>
      </c>
      <c r="H16" s="8">
        <v>1247.2835131299987</v>
      </c>
      <c r="I16" s="8">
        <f t="shared" si="2"/>
        <v>6422.8464346899973</v>
      </c>
      <c r="J16" s="8">
        <f t="shared" si="3"/>
        <v>10615.157332129991</v>
      </c>
      <c r="K16" s="8">
        <v>2395.1653038400018</v>
      </c>
      <c r="L16" s="8">
        <v>1778.7650793400003</v>
      </c>
      <c r="M16" s="8">
        <v>1179.9283948399984</v>
      </c>
      <c r="N16" s="8">
        <f t="shared" si="4"/>
        <v>5353.8587780200014</v>
      </c>
      <c r="O16" s="8">
        <v>2413.4685184899981</v>
      </c>
      <c r="P16" s="8">
        <v>1631.9039784399995</v>
      </c>
      <c r="Q16" s="8">
        <v>1096.1590166499993</v>
      </c>
      <c r="R16" s="8">
        <f t="shared" si="5"/>
        <v>5141.5315135799965</v>
      </c>
      <c r="S16" s="8">
        <f t="shared" si="6"/>
        <v>10495.390291599997</v>
      </c>
      <c r="T16" s="8">
        <f t="shared" si="7"/>
        <v>21110.547623729988</v>
      </c>
      <c r="U16" s="8"/>
      <c r="V16" s="8"/>
    </row>
    <row r="17" spans="1:22" ht="15" customHeight="1" x14ac:dyDescent="0.3">
      <c r="A17" s="12" t="s">
        <v>32</v>
      </c>
      <c r="B17" s="8">
        <v>3621.1472304299919</v>
      </c>
      <c r="C17" s="8">
        <v>1129.8882103100004</v>
      </c>
      <c r="D17" s="8">
        <v>1108.1855749199995</v>
      </c>
      <c r="E17" s="8">
        <f t="shared" si="1"/>
        <v>5859.2210156599913</v>
      </c>
      <c r="F17" s="8">
        <v>2814.3161295999998</v>
      </c>
      <c r="G17" s="8">
        <v>1596.6638664799989</v>
      </c>
      <c r="H17" s="8">
        <v>1780.8606786599983</v>
      </c>
      <c r="I17" s="8">
        <f t="shared" si="2"/>
        <v>6191.8406747399977</v>
      </c>
      <c r="J17" s="8">
        <f t="shared" si="3"/>
        <v>12051.061690399989</v>
      </c>
      <c r="K17" s="8">
        <v>3984.6691152900039</v>
      </c>
      <c r="L17" s="8">
        <v>1849.3426607400004</v>
      </c>
      <c r="M17" s="8">
        <v>1386.2527909800001</v>
      </c>
      <c r="N17" s="8">
        <f t="shared" si="4"/>
        <v>7220.2645670100046</v>
      </c>
      <c r="O17" s="8">
        <v>3305.3288927299991</v>
      </c>
      <c r="P17" s="8">
        <v>2190.6447724100003</v>
      </c>
      <c r="Q17" s="8">
        <v>1661.7435849200008</v>
      </c>
      <c r="R17" s="8">
        <f t="shared" si="5"/>
        <v>7157.7172500600009</v>
      </c>
      <c r="S17" s="8">
        <f t="shared" si="6"/>
        <v>14377.981817070005</v>
      </c>
      <c r="T17" s="8">
        <f t="shared" si="7"/>
        <v>26429.043507469993</v>
      </c>
      <c r="U17" s="8"/>
      <c r="V17" s="8"/>
    </row>
    <row r="18" spans="1:22" ht="15" customHeight="1" x14ac:dyDescent="0.3">
      <c r="A18" s="12" t="s">
        <v>33</v>
      </c>
      <c r="B18" s="8">
        <v>7483.9626054400014</v>
      </c>
      <c r="C18" s="8">
        <v>2630.3126271600186</v>
      </c>
      <c r="D18" s="8">
        <v>2555.3741238799939</v>
      </c>
      <c r="E18" s="8">
        <f t="shared" si="1"/>
        <v>12669.649356480013</v>
      </c>
      <c r="F18" s="8">
        <v>8376.0676410100059</v>
      </c>
      <c r="G18" s="8">
        <v>4037.3186424200012</v>
      </c>
      <c r="H18" s="8">
        <v>2738.9068335800062</v>
      </c>
      <c r="I18" s="8">
        <f t="shared" si="2"/>
        <v>15152.293117010013</v>
      </c>
      <c r="J18" s="8">
        <f t="shared" si="3"/>
        <v>27821.942473490024</v>
      </c>
      <c r="K18" s="8">
        <v>7404.4098560099956</v>
      </c>
      <c r="L18" s="8">
        <v>4141.896011880006</v>
      </c>
      <c r="M18" s="8">
        <v>2941.0077170600021</v>
      </c>
      <c r="N18" s="8">
        <f t="shared" si="4"/>
        <v>14487.313584950003</v>
      </c>
      <c r="O18" s="8">
        <v>7614.2950095499982</v>
      </c>
      <c r="P18" s="8">
        <v>4347.3697037099946</v>
      </c>
      <c r="Q18" s="8">
        <v>3270.916168159999</v>
      </c>
      <c r="R18" s="8">
        <f t="shared" si="5"/>
        <v>15232.580881419992</v>
      </c>
      <c r="S18" s="8">
        <f t="shared" si="6"/>
        <v>29719.894466369995</v>
      </c>
      <c r="T18" s="8">
        <f t="shared" si="7"/>
        <v>57541.836939860019</v>
      </c>
      <c r="U18" s="8"/>
      <c r="V18" s="8"/>
    </row>
    <row r="19" spans="1:22" ht="15" customHeight="1" x14ac:dyDescent="0.3">
      <c r="A19" s="12" t="s">
        <v>34</v>
      </c>
      <c r="B19" s="8">
        <v>12115.840662830004</v>
      </c>
      <c r="C19" s="8">
        <v>4924.5266678999942</v>
      </c>
      <c r="D19" s="8">
        <v>5322.8061000400012</v>
      </c>
      <c r="E19" s="8">
        <f t="shared" si="1"/>
        <v>22363.173430769999</v>
      </c>
      <c r="F19" s="8">
        <v>13638.103143279995</v>
      </c>
      <c r="G19" s="8">
        <v>7579.4471996900002</v>
      </c>
      <c r="H19" s="8">
        <v>6379.2608730999982</v>
      </c>
      <c r="I19" s="8">
        <f t="shared" si="2"/>
        <v>27596.811216069997</v>
      </c>
      <c r="J19" s="8">
        <f t="shared" si="3"/>
        <v>49959.984646839992</v>
      </c>
      <c r="K19" s="8">
        <v>11674.714937010001</v>
      </c>
      <c r="L19" s="8">
        <v>9244.9320064999956</v>
      </c>
      <c r="M19" s="8">
        <v>6251.7992852999978</v>
      </c>
      <c r="N19" s="8">
        <f t="shared" si="4"/>
        <v>27171.446228809997</v>
      </c>
      <c r="O19" s="8">
        <v>12930.006959109993</v>
      </c>
      <c r="P19" s="8">
        <v>8784.4642271899993</v>
      </c>
      <c r="Q19" s="8">
        <v>7518.4321416099992</v>
      </c>
      <c r="R19" s="8">
        <f t="shared" si="5"/>
        <v>29232.903327909989</v>
      </c>
      <c r="S19" s="8">
        <f t="shared" si="6"/>
        <v>56404.349556719986</v>
      </c>
      <c r="T19" s="8">
        <f t="shared" si="7"/>
        <v>106364.33420355998</v>
      </c>
      <c r="U19" s="8"/>
      <c r="V19" s="8"/>
    </row>
    <row r="20" spans="1:22" ht="15" customHeight="1" x14ac:dyDescent="0.3">
      <c r="A20" s="12" t="s">
        <v>35</v>
      </c>
      <c r="B20" s="8">
        <v>1152.4375866300015</v>
      </c>
      <c r="C20" s="8">
        <v>476.37312073999811</v>
      </c>
      <c r="D20" s="8">
        <v>518.04784233000044</v>
      </c>
      <c r="E20" s="8">
        <f t="shared" si="1"/>
        <v>2146.8585496999999</v>
      </c>
      <c r="F20" s="8">
        <v>1360.6289292399995</v>
      </c>
      <c r="G20" s="8">
        <v>589.42856185999995</v>
      </c>
      <c r="H20" s="8">
        <v>493.07309827000017</v>
      </c>
      <c r="I20" s="8">
        <f t="shared" si="2"/>
        <v>2443.1305893699996</v>
      </c>
      <c r="J20" s="8">
        <f t="shared" si="3"/>
        <v>4589.9891390699995</v>
      </c>
      <c r="K20" s="8">
        <v>1084.9484208900001</v>
      </c>
      <c r="L20" s="8">
        <v>591.61202559999947</v>
      </c>
      <c r="M20" s="8">
        <v>452.5249366000001</v>
      </c>
      <c r="N20" s="8">
        <f t="shared" si="4"/>
        <v>2129.0853830899996</v>
      </c>
      <c r="O20" s="8">
        <v>1118.5860217300003</v>
      </c>
      <c r="P20" s="8">
        <v>699.69942731999868</v>
      </c>
      <c r="Q20" s="8">
        <v>560.16235300999938</v>
      </c>
      <c r="R20" s="8">
        <f t="shared" si="5"/>
        <v>2378.4478020599981</v>
      </c>
      <c r="S20" s="8">
        <f t="shared" si="6"/>
        <v>4507.5331851499977</v>
      </c>
      <c r="T20" s="8">
        <f t="shared" si="7"/>
        <v>9097.5223242199972</v>
      </c>
      <c r="U20" s="8"/>
      <c r="V20" s="8"/>
    </row>
    <row r="21" spans="1:22" ht="15" customHeight="1" x14ac:dyDescent="0.3">
      <c r="A21" s="12" t="s">
        <v>36</v>
      </c>
      <c r="B21" s="8">
        <v>9878.1408079799985</v>
      </c>
      <c r="C21" s="8">
        <v>4368.8627035799973</v>
      </c>
      <c r="D21" s="8">
        <v>4975.6093498600021</v>
      </c>
      <c r="E21" s="8">
        <f t="shared" si="1"/>
        <v>19222.612861419999</v>
      </c>
      <c r="F21" s="8">
        <v>12474.615513970004</v>
      </c>
      <c r="G21" s="8">
        <v>6905.6492171600048</v>
      </c>
      <c r="H21" s="8">
        <v>4906.6715106800066</v>
      </c>
      <c r="I21" s="8">
        <f t="shared" si="2"/>
        <v>24286.936241810017</v>
      </c>
      <c r="J21" s="8">
        <f t="shared" si="3"/>
        <v>43509.54910323002</v>
      </c>
      <c r="K21" s="8">
        <v>11345.62483587</v>
      </c>
      <c r="L21" s="8">
        <v>7840.761347040002</v>
      </c>
      <c r="M21" s="8">
        <v>5530.6502250699896</v>
      </c>
      <c r="N21" s="8">
        <f t="shared" si="4"/>
        <v>24717.036407979991</v>
      </c>
      <c r="O21" s="8">
        <v>10859.202774769992</v>
      </c>
      <c r="P21" s="8">
        <v>8599.8968566300027</v>
      </c>
      <c r="Q21" s="8">
        <v>6437.3731517500046</v>
      </c>
      <c r="R21" s="8">
        <f t="shared" si="5"/>
        <v>25896.472783149999</v>
      </c>
      <c r="S21" s="8">
        <f t="shared" si="6"/>
        <v>50613.50919112999</v>
      </c>
      <c r="T21" s="8">
        <f t="shared" si="7"/>
        <v>94123.058294360002</v>
      </c>
      <c r="U21" s="8"/>
      <c r="V21" s="8"/>
    </row>
    <row r="22" spans="1:22" ht="15" customHeight="1" x14ac:dyDescent="0.3">
      <c r="A22" s="12" t="s">
        <v>37</v>
      </c>
      <c r="B22" s="8">
        <v>945.40141749000031</v>
      </c>
      <c r="C22" s="8">
        <v>311.39123132000014</v>
      </c>
      <c r="D22" s="8">
        <v>349.99926480999994</v>
      </c>
      <c r="E22" s="8">
        <f t="shared" si="1"/>
        <v>1606.7919136200003</v>
      </c>
      <c r="F22" s="8">
        <v>1050.2838594300001</v>
      </c>
      <c r="G22" s="8">
        <v>614.99324987000011</v>
      </c>
      <c r="H22" s="8">
        <v>593.82677030999992</v>
      </c>
      <c r="I22" s="8">
        <f t="shared" si="2"/>
        <v>2259.1038796100001</v>
      </c>
      <c r="J22" s="8">
        <f t="shared" si="3"/>
        <v>3865.8957932300004</v>
      </c>
      <c r="K22" s="8">
        <v>968.82713924000007</v>
      </c>
      <c r="L22" s="8">
        <v>555.32606816000009</v>
      </c>
      <c r="M22" s="8">
        <v>437.79478147999981</v>
      </c>
      <c r="N22" s="8">
        <f t="shared" si="4"/>
        <v>1961.9479888799999</v>
      </c>
      <c r="O22" s="8">
        <v>949.44538679999994</v>
      </c>
      <c r="P22" s="8">
        <v>597.06327598000018</v>
      </c>
      <c r="Q22" s="8">
        <v>487.03036373000009</v>
      </c>
      <c r="R22" s="8">
        <f t="shared" si="5"/>
        <v>2033.5390265100002</v>
      </c>
      <c r="S22" s="8">
        <f t="shared" si="6"/>
        <v>3995.4870153900001</v>
      </c>
      <c r="T22" s="8">
        <f t="shared" si="7"/>
        <v>7861.382808620001</v>
      </c>
      <c r="U22" s="8"/>
      <c r="V22" s="8"/>
    </row>
    <row r="23" spans="1:22" ht="18" customHeight="1" x14ac:dyDescent="0.3">
      <c r="A23" s="12" t="s">
        <v>38</v>
      </c>
      <c r="B23" s="8">
        <v>176820.88364689998</v>
      </c>
      <c r="C23" s="8">
        <v>78679.925404440015</v>
      </c>
      <c r="D23" s="8">
        <v>77629.489746630003</v>
      </c>
      <c r="E23" s="8">
        <f t="shared" si="1"/>
        <v>333130.29879797</v>
      </c>
      <c r="F23" s="8">
        <v>220204.10955845006</v>
      </c>
      <c r="G23" s="8">
        <v>128868.00791252</v>
      </c>
      <c r="H23" s="8">
        <v>96566.863830329996</v>
      </c>
      <c r="I23" s="8">
        <f t="shared" si="2"/>
        <v>445638.98130129999</v>
      </c>
      <c r="J23" s="8">
        <f t="shared" si="3"/>
        <v>778769.28009926993</v>
      </c>
      <c r="K23" s="8">
        <v>183673.20058324002</v>
      </c>
      <c r="L23" s="8">
        <v>138831.11402856995</v>
      </c>
      <c r="M23" s="8">
        <v>94149.684982040009</v>
      </c>
      <c r="N23" s="8">
        <f t="shared" si="4"/>
        <v>416653.99959384999</v>
      </c>
      <c r="O23" s="8">
        <v>191803.09416545002</v>
      </c>
      <c r="P23" s="8">
        <v>142193.53270521999</v>
      </c>
      <c r="Q23" s="8">
        <v>104352.83253555</v>
      </c>
      <c r="R23" s="8">
        <f t="shared" si="5"/>
        <v>438349.45940622</v>
      </c>
      <c r="S23" s="8">
        <f t="shared" si="6"/>
        <v>855003.45900007</v>
      </c>
      <c r="T23" s="8">
        <f t="shared" si="7"/>
        <v>1633772.73909934</v>
      </c>
      <c r="U23" s="8"/>
      <c r="V23" s="8"/>
    </row>
    <row r="24" spans="1:22" s="10" customFormat="1" ht="15" customHeight="1" x14ac:dyDescent="0.3">
      <c r="A24" s="3"/>
      <c r="B24" s="11"/>
      <c r="C24" s="11"/>
      <c r="D24" s="11"/>
      <c r="E24" s="11"/>
      <c r="F24" s="11"/>
      <c r="G24" s="11"/>
      <c r="H24" s="11"/>
      <c r="I24" s="11"/>
      <c r="J24" s="11"/>
      <c r="K24" s="11"/>
      <c r="L24" s="11"/>
      <c r="M24" s="11"/>
      <c r="N24" s="11"/>
      <c r="O24" s="11"/>
      <c r="P24" s="11"/>
      <c r="Q24" s="11"/>
      <c r="R24" s="11"/>
      <c r="S24" s="11"/>
      <c r="T24" s="11"/>
      <c r="U24" s="11"/>
      <c r="V24" s="11"/>
    </row>
    <row r="25" spans="1:22" s="10" customFormat="1" ht="15" customHeight="1" x14ac:dyDescent="0.25">
      <c r="A25" s="10" t="s">
        <v>39</v>
      </c>
      <c r="B25" s="11">
        <f>SUM(B26:B31)</f>
        <v>1076.9040183999996</v>
      </c>
      <c r="C25" s="11">
        <f t="shared" ref="C25:Q25" si="8">SUM(C26:C31)</f>
        <v>535.10967569000024</v>
      </c>
      <c r="D25" s="11">
        <f t="shared" si="8"/>
        <v>600.06256657999995</v>
      </c>
      <c r="E25" s="11">
        <f t="shared" ref="E25:E31" si="9">SUM(B25:D25)</f>
        <v>2212.0762606699996</v>
      </c>
      <c r="F25" s="11">
        <f t="shared" si="8"/>
        <v>1079.0598785900002</v>
      </c>
      <c r="G25" s="11">
        <f t="shared" si="8"/>
        <v>808.98926168000003</v>
      </c>
      <c r="H25" s="11">
        <f t="shared" si="8"/>
        <v>717.54686511000011</v>
      </c>
      <c r="I25" s="11">
        <f t="shared" ref="I25:I31" si="10">SUM(F25:H25)</f>
        <v>2605.5960053800004</v>
      </c>
      <c r="J25" s="11">
        <f t="shared" si="3"/>
        <v>4817.67226605</v>
      </c>
      <c r="K25" s="11">
        <f t="shared" si="8"/>
        <v>1066.5551758799998</v>
      </c>
      <c r="L25" s="11">
        <f t="shared" si="8"/>
        <v>1027.6091856899998</v>
      </c>
      <c r="M25" s="11">
        <f t="shared" si="8"/>
        <v>903.29145343000005</v>
      </c>
      <c r="N25" s="11">
        <f t="shared" ref="N25:N31" si="11">SUM(K25:M25)</f>
        <v>2997.4558149999993</v>
      </c>
      <c r="O25" s="11">
        <f t="shared" si="8"/>
        <v>1162.8873347000001</v>
      </c>
      <c r="P25" s="11">
        <f t="shared" si="8"/>
        <v>888.07700517000001</v>
      </c>
      <c r="Q25" s="11">
        <f t="shared" si="8"/>
        <v>933.35575822999988</v>
      </c>
      <c r="R25" s="11">
        <f t="shared" ref="R25:R31" si="12">SUM(O25:Q25)</f>
        <v>2984.3200981</v>
      </c>
      <c r="S25" s="11">
        <f t="shared" si="6"/>
        <v>5981.7759130999993</v>
      </c>
      <c r="T25" s="11">
        <f t="shared" ref="T25:T31" si="13">+J25+S25</f>
        <v>10799.44817915</v>
      </c>
      <c r="U25" s="11"/>
      <c r="V25" s="11"/>
    </row>
    <row r="26" spans="1:22" ht="15" customHeight="1" x14ac:dyDescent="0.3">
      <c r="A26" s="12" t="s">
        <v>40</v>
      </c>
      <c r="B26" s="8">
        <v>127.13685939999993</v>
      </c>
      <c r="C26" s="8">
        <v>79.919243840000007</v>
      </c>
      <c r="D26" s="8">
        <v>101.85045871000001</v>
      </c>
      <c r="E26" s="8">
        <f t="shared" si="9"/>
        <v>308.90656194999997</v>
      </c>
      <c r="F26" s="8">
        <v>98.09302894999999</v>
      </c>
      <c r="G26" s="8">
        <v>114.63032491999999</v>
      </c>
      <c r="H26" s="8">
        <v>108.08321335000002</v>
      </c>
      <c r="I26" s="8">
        <f t="shared" si="10"/>
        <v>320.80656722000003</v>
      </c>
      <c r="J26" s="8">
        <f t="shared" si="3"/>
        <v>629.71312917</v>
      </c>
      <c r="K26" s="8">
        <v>92.138369700000013</v>
      </c>
      <c r="L26" s="8">
        <v>216.41946591999994</v>
      </c>
      <c r="M26" s="8">
        <v>105.92123225</v>
      </c>
      <c r="N26" s="8">
        <f t="shared" si="11"/>
        <v>414.47906786999994</v>
      </c>
      <c r="O26" s="8">
        <v>169.51891510999999</v>
      </c>
      <c r="P26" s="8">
        <v>187.80160742999999</v>
      </c>
      <c r="Q26" s="8">
        <v>83.327277990000013</v>
      </c>
      <c r="R26" s="8">
        <f t="shared" si="12"/>
        <v>440.64780052999998</v>
      </c>
      <c r="S26" s="8">
        <f t="shared" si="6"/>
        <v>855.12686839999992</v>
      </c>
      <c r="T26" s="8">
        <f t="shared" si="13"/>
        <v>1484.8399975699999</v>
      </c>
      <c r="U26" s="8"/>
      <c r="V26" s="8"/>
    </row>
    <row r="27" spans="1:22" ht="15" customHeight="1" x14ac:dyDescent="0.3">
      <c r="A27" s="12" t="s">
        <v>41</v>
      </c>
      <c r="B27" s="8">
        <v>147.04889905999997</v>
      </c>
      <c r="C27" s="8">
        <v>60.517567749999984</v>
      </c>
      <c r="D27" s="8">
        <v>80.790284150000033</v>
      </c>
      <c r="E27" s="8">
        <f t="shared" si="9"/>
        <v>288.35675096</v>
      </c>
      <c r="F27" s="8">
        <v>134.58623044000001</v>
      </c>
      <c r="G27" s="8">
        <v>104.05541091000001</v>
      </c>
      <c r="H27" s="8">
        <v>112.40306202000001</v>
      </c>
      <c r="I27" s="8">
        <f t="shared" si="10"/>
        <v>351.04470337000004</v>
      </c>
      <c r="J27" s="8">
        <f t="shared" si="3"/>
        <v>639.40145432999998</v>
      </c>
      <c r="K27" s="8">
        <v>121.65786520999998</v>
      </c>
      <c r="L27" s="8">
        <v>130.41777999999999</v>
      </c>
      <c r="M27" s="8">
        <v>172.25271404000003</v>
      </c>
      <c r="N27" s="8">
        <f t="shared" si="11"/>
        <v>424.32835925000001</v>
      </c>
      <c r="O27" s="8">
        <v>152.37893261000002</v>
      </c>
      <c r="P27" s="8">
        <v>104.82780776</v>
      </c>
      <c r="Q27" s="8">
        <v>179.25946107999999</v>
      </c>
      <c r="R27" s="8">
        <f t="shared" si="12"/>
        <v>436.46620145000003</v>
      </c>
      <c r="S27" s="8">
        <f t="shared" si="6"/>
        <v>860.79456070000003</v>
      </c>
      <c r="T27" s="8">
        <f t="shared" si="13"/>
        <v>1500.1960150300001</v>
      </c>
      <c r="U27" s="8"/>
      <c r="V27" s="8"/>
    </row>
    <row r="28" spans="1:22" ht="15" customHeight="1" x14ac:dyDescent="0.3">
      <c r="A28" s="12" t="s">
        <v>42</v>
      </c>
      <c r="B28" s="8">
        <v>192.11564835000001</v>
      </c>
      <c r="C28" s="8">
        <v>80.644445600000012</v>
      </c>
      <c r="D28" s="8">
        <v>89.298035330000047</v>
      </c>
      <c r="E28" s="8">
        <f t="shared" si="9"/>
        <v>362.05812928000012</v>
      </c>
      <c r="F28" s="8">
        <v>179.58504048000003</v>
      </c>
      <c r="G28" s="8">
        <v>119.88838701000002</v>
      </c>
      <c r="H28" s="8">
        <v>116.63263927000004</v>
      </c>
      <c r="I28" s="8">
        <f t="shared" si="10"/>
        <v>416.10606676000009</v>
      </c>
      <c r="J28" s="8">
        <f t="shared" si="3"/>
        <v>778.16419604000021</v>
      </c>
      <c r="K28" s="8">
        <v>199.39275751999992</v>
      </c>
      <c r="L28" s="8">
        <v>197.44441559000003</v>
      </c>
      <c r="M28" s="8">
        <v>165.58322717999999</v>
      </c>
      <c r="N28" s="8">
        <f t="shared" si="11"/>
        <v>562.42040028999998</v>
      </c>
      <c r="O28" s="8">
        <v>207.36242141000002</v>
      </c>
      <c r="P28" s="8">
        <v>147.72395214999997</v>
      </c>
      <c r="Q28" s="8">
        <v>179.82027770000005</v>
      </c>
      <c r="R28" s="8">
        <f t="shared" si="12"/>
        <v>534.90665125999999</v>
      </c>
      <c r="S28" s="8">
        <f t="shared" si="6"/>
        <v>1097.3270515499999</v>
      </c>
      <c r="T28" s="8">
        <f t="shared" si="13"/>
        <v>1875.4912475900001</v>
      </c>
      <c r="U28" s="8"/>
      <c r="V28" s="8"/>
    </row>
    <row r="29" spans="1:22" ht="15" customHeight="1" x14ac:dyDescent="0.3">
      <c r="A29" s="12" t="s">
        <v>43</v>
      </c>
      <c r="B29" s="8">
        <v>43.166317849999999</v>
      </c>
      <c r="C29" s="8">
        <v>27.558715989999996</v>
      </c>
      <c r="D29" s="8">
        <v>34.715789860000001</v>
      </c>
      <c r="E29" s="8">
        <f t="shared" si="9"/>
        <v>105.4408237</v>
      </c>
      <c r="F29" s="8">
        <v>48.042687700000002</v>
      </c>
      <c r="G29" s="8">
        <v>42.115116739999998</v>
      </c>
      <c r="H29" s="8">
        <v>46.922252590000006</v>
      </c>
      <c r="I29" s="8">
        <f t="shared" si="10"/>
        <v>137.08005703000001</v>
      </c>
      <c r="J29" s="8">
        <f t="shared" si="3"/>
        <v>242.52088072999999</v>
      </c>
      <c r="K29" s="8">
        <v>61.946050930000006</v>
      </c>
      <c r="L29" s="8">
        <v>33.136798499999998</v>
      </c>
      <c r="M29" s="8">
        <v>55.26378093000001</v>
      </c>
      <c r="N29" s="8">
        <f t="shared" si="11"/>
        <v>150.34663036000001</v>
      </c>
      <c r="O29" s="8">
        <v>46.615050570000008</v>
      </c>
      <c r="P29" s="8">
        <v>51.316734760000003</v>
      </c>
      <c r="Q29" s="8">
        <v>48.886821399999995</v>
      </c>
      <c r="R29" s="8">
        <f t="shared" si="12"/>
        <v>146.81860673</v>
      </c>
      <c r="S29" s="8">
        <f t="shared" si="6"/>
        <v>297.16523709000001</v>
      </c>
      <c r="T29" s="8">
        <f t="shared" si="13"/>
        <v>539.68611781999994</v>
      </c>
      <c r="U29" s="8"/>
      <c r="V29" s="8"/>
    </row>
    <row r="30" spans="1:22" ht="15" customHeight="1" x14ac:dyDescent="0.3">
      <c r="A30" s="12" t="s">
        <v>44</v>
      </c>
      <c r="B30" s="8">
        <v>61.417297119999986</v>
      </c>
      <c r="C30" s="8">
        <v>39.284499950000004</v>
      </c>
      <c r="D30" s="8">
        <v>27.743438390000001</v>
      </c>
      <c r="E30" s="8">
        <f t="shared" si="9"/>
        <v>128.44523545999999</v>
      </c>
      <c r="F30" s="8">
        <v>44.060389760000007</v>
      </c>
      <c r="G30" s="8">
        <v>52.987441110000013</v>
      </c>
      <c r="H30" s="8">
        <v>51.592038779999996</v>
      </c>
      <c r="I30" s="8">
        <f t="shared" si="10"/>
        <v>148.63986965000001</v>
      </c>
      <c r="J30" s="8">
        <f t="shared" si="3"/>
        <v>277.08510510999997</v>
      </c>
      <c r="K30" s="8">
        <v>58.718465870000003</v>
      </c>
      <c r="L30" s="8">
        <v>39.563674840000004</v>
      </c>
      <c r="M30" s="8">
        <v>54.761993959999991</v>
      </c>
      <c r="N30" s="8">
        <f t="shared" si="11"/>
        <v>153.04413467000001</v>
      </c>
      <c r="O30" s="8">
        <v>76.313527860000008</v>
      </c>
      <c r="P30" s="8">
        <v>42.894862569999994</v>
      </c>
      <c r="Q30" s="8">
        <v>96.652042420000015</v>
      </c>
      <c r="R30" s="8">
        <f t="shared" si="12"/>
        <v>215.86043285000002</v>
      </c>
      <c r="S30" s="8">
        <f t="shared" si="6"/>
        <v>368.90456752</v>
      </c>
      <c r="T30" s="8">
        <f t="shared" si="13"/>
        <v>645.98967262999997</v>
      </c>
      <c r="U30" s="8"/>
      <c r="V30" s="8"/>
    </row>
    <row r="31" spans="1:22" ht="15" customHeight="1" x14ac:dyDescent="0.3">
      <c r="A31" s="12" t="s">
        <v>45</v>
      </c>
      <c r="B31" s="8">
        <v>506.01899661999965</v>
      </c>
      <c r="C31" s="8">
        <v>247.18520256000022</v>
      </c>
      <c r="D31" s="8">
        <v>265.66456013999988</v>
      </c>
      <c r="E31" s="8">
        <f t="shared" si="9"/>
        <v>1018.8687593199998</v>
      </c>
      <c r="F31" s="8">
        <v>574.69250125999997</v>
      </c>
      <c r="G31" s="8">
        <v>375.31258098999996</v>
      </c>
      <c r="H31" s="8">
        <v>281.91365910000002</v>
      </c>
      <c r="I31" s="8">
        <f t="shared" si="10"/>
        <v>1231.9187413499999</v>
      </c>
      <c r="J31" s="8">
        <f t="shared" si="3"/>
        <v>2250.7875006699996</v>
      </c>
      <c r="K31" s="8">
        <v>532.70166664999988</v>
      </c>
      <c r="L31" s="8">
        <v>410.62705083999992</v>
      </c>
      <c r="M31" s="8">
        <v>349.50850507000007</v>
      </c>
      <c r="N31" s="8">
        <f t="shared" si="11"/>
        <v>1292.8372225599999</v>
      </c>
      <c r="O31" s="8">
        <v>510.69848713999994</v>
      </c>
      <c r="P31" s="8">
        <v>353.51204050000001</v>
      </c>
      <c r="Q31" s="8">
        <v>345.40987763999988</v>
      </c>
      <c r="R31" s="8">
        <f t="shared" si="12"/>
        <v>1209.6204052799999</v>
      </c>
      <c r="S31" s="8">
        <f t="shared" si="6"/>
        <v>2502.45762784</v>
      </c>
      <c r="T31" s="8">
        <f t="shared" si="13"/>
        <v>4753.2451285099996</v>
      </c>
      <c r="U31" s="8"/>
      <c r="V31" s="8"/>
    </row>
    <row r="32" spans="1:22" s="10" customFormat="1" ht="15" customHeight="1" x14ac:dyDescent="0.3">
      <c r="A32" s="3"/>
      <c r="B32" s="11"/>
      <c r="C32" s="11"/>
      <c r="D32" s="11"/>
      <c r="E32" s="11"/>
      <c r="F32" s="11"/>
      <c r="G32" s="11"/>
      <c r="H32" s="11"/>
      <c r="I32" s="11"/>
      <c r="J32" s="11"/>
      <c r="K32" s="11"/>
      <c r="L32" s="11"/>
      <c r="M32" s="11"/>
      <c r="N32" s="11"/>
      <c r="O32" s="11"/>
      <c r="P32" s="11"/>
      <c r="Q32" s="11"/>
      <c r="R32" s="11"/>
      <c r="S32" s="11"/>
      <c r="T32" s="11"/>
      <c r="U32" s="11"/>
      <c r="V32" s="11"/>
    </row>
    <row r="33" spans="1:22" s="10" customFormat="1" ht="15" customHeight="1" x14ac:dyDescent="0.25">
      <c r="A33" s="10" t="s">
        <v>46</v>
      </c>
      <c r="B33" s="11">
        <f>SUM(B34:B37)</f>
        <v>2577.79701372</v>
      </c>
      <c r="C33" s="11">
        <f t="shared" ref="C33:Q33" si="14">SUM(C34:C37)</f>
        <v>1153.6434947699995</v>
      </c>
      <c r="D33" s="11">
        <f t="shared" si="14"/>
        <v>1273.7464944299998</v>
      </c>
      <c r="E33" s="11">
        <f t="shared" ref="E33:E37" si="15">SUM(B33:D33)</f>
        <v>5005.187002919999</v>
      </c>
      <c r="F33" s="11">
        <f t="shared" si="14"/>
        <v>2782.5361491799995</v>
      </c>
      <c r="G33" s="11">
        <f t="shared" si="14"/>
        <v>1858.8088955999997</v>
      </c>
      <c r="H33" s="11">
        <f t="shared" si="14"/>
        <v>1740.9390196699997</v>
      </c>
      <c r="I33" s="11">
        <f t="shared" ref="I33:I37" si="16">SUM(F33:H33)</f>
        <v>6382.2840644499984</v>
      </c>
      <c r="J33" s="11">
        <f t="shared" si="3"/>
        <v>11387.471067369997</v>
      </c>
      <c r="K33" s="11">
        <f t="shared" si="14"/>
        <v>2206.9667260259994</v>
      </c>
      <c r="L33" s="11">
        <f t="shared" si="14"/>
        <v>2199.3613564809998</v>
      </c>
      <c r="M33" s="11">
        <f t="shared" si="14"/>
        <v>1670.0539252229996</v>
      </c>
      <c r="N33" s="11">
        <f t="shared" ref="N33:N37" si="17">SUM(K33:M33)</f>
        <v>6076.3820077299988</v>
      </c>
      <c r="O33" s="11">
        <f t="shared" si="14"/>
        <v>2361.9807427639998</v>
      </c>
      <c r="P33" s="11">
        <f t="shared" si="14"/>
        <v>2297.5232203699998</v>
      </c>
      <c r="Q33" s="11">
        <f t="shared" si="14"/>
        <v>1528.1998267599997</v>
      </c>
      <c r="R33" s="11">
        <f t="shared" ref="R33:R37" si="18">SUM(O33:Q33)</f>
        <v>6187.7037898939998</v>
      </c>
      <c r="S33" s="11">
        <f t="shared" si="6"/>
        <v>12264.085797623999</v>
      </c>
      <c r="T33" s="11">
        <f t="shared" ref="T33:T37" si="19">+J33+S33</f>
        <v>23651.556864993996</v>
      </c>
      <c r="U33" s="11"/>
      <c r="V33" s="11"/>
    </row>
    <row r="34" spans="1:22" ht="15" customHeight="1" x14ac:dyDescent="0.3">
      <c r="A34" s="12" t="s">
        <v>47</v>
      </c>
      <c r="B34" s="8">
        <v>362.06725181999974</v>
      </c>
      <c r="C34" s="8">
        <v>174.90539968999997</v>
      </c>
      <c r="D34" s="8">
        <v>237.35208436999991</v>
      </c>
      <c r="E34" s="8">
        <f t="shared" si="15"/>
        <v>774.32473587999959</v>
      </c>
      <c r="F34" s="8">
        <v>442.85407351999987</v>
      </c>
      <c r="G34" s="8">
        <v>345.27517355000009</v>
      </c>
      <c r="H34" s="8">
        <v>303.77421854999994</v>
      </c>
      <c r="I34" s="8">
        <f t="shared" si="16"/>
        <v>1091.9034656199999</v>
      </c>
      <c r="J34" s="8">
        <f t="shared" si="3"/>
        <v>1866.2282014999996</v>
      </c>
      <c r="K34" s="8">
        <v>334.47815082999989</v>
      </c>
      <c r="L34" s="8">
        <v>320.73127238000012</v>
      </c>
      <c r="M34" s="8">
        <v>226.20445422999995</v>
      </c>
      <c r="N34" s="8">
        <f t="shared" si="17"/>
        <v>881.41387744000008</v>
      </c>
      <c r="O34" s="8">
        <v>321.77864740400014</v>
      </c>
      <c r="P34" s="8">
        <v>263.19109998999994</v>
      </c>
      <c r="Q34" s="8">
        <v>236.44401157000004</v>
      </c>
      <c r="R34" s="8">
        <f t="shared" si="18"/>
        <v>821.41375896400007</v>
      </c>
      <c r="S34" s="8">
        <f t="shared" si="6"/>
        <v>1702.8276364040003</v>
      </c>
      <c r="T34" s="8">
        <f t="shared" si="19"/>
        <v>3569.0558379039999</v>
      </c>
      <c r="U34" s="8"/>
      <c r="V34" s="8"/>
    </row>
    <row r="35" spans="1:22" ht="15" customHeight="1" x14ac:dyDescent="0.3">
      <c r="A35" s="12" t="s">
        <v>48</v>
      </c>
      <c r="B35" s="8">
        <v>535.08026603000042</v>
      </c>
      <c r="C35" s="8">
        <v>130.90367297000017</v>
      </c>
      <c r="D35" s="8">
        <v>175.42254025999998</v>
      </c>
      <c r="E35" s="8">
        <f t="shared" si="15"/>
        <v>841.40647926000065</v>
      </c>
      <c r="F35" s="8">
        <v>386.91785539999984</v>
      </c>
      <c r="G35" s="8">
        <v>241.03190647999975</v>
      </c>
      <c r="H35" s="8">
        <v>245.72024019999995</v>
      </c>
      <c r="I35" s="8">
        <f t="shared" si="16"/>
        <v>873.67000207999956</v>
      </c>
      <c r="J35" s="8">
        <f t="shared" si="3"/>
        <v>1715.0764813400001</v>
      </c>
      <c r="K35" s="8">
        <v>303.2912394359999</v>
      </c>
      <c r="L35" s="8">
        <v>278.43240106400003</v>
      </c>
      <c r="M35" s="8">
        <v>232.04587002999997</v>
      </c>
      <c r="N35" s="8">
        <f t="shared" si="17"/>
        <v>813.76951052999982</v>
      </c>
      <c r="O35" s="8">
        <v>348.5397302099999</v>
      </c>
      <c r="P35" s="8">
        <v>249.64060014999998</v>
      </c>
      <c r="Q35" s="8">
        <v>257.39486679000004</v>
      </c>
      <c r="R35" s="8">
        <f t="shared" si="18"/>
        <v>855.57519714999989</v>
      </c>
      <c r="S35" s="8">
        <f t="shared" si="6"/>
        <v>1669.3447076799998</v>
      </c>
      <c r="T35" s="8">
        <f t="shared" si="19"/>
        <v>3384.4211890199999</v>
      </c>
      <c r="U35" s="8"/>
      <c r="V35" s="8"/>
    </row>
    <row r="36" spans="1:22" ht="15" customHeight="1" x14ac:dyDescent="0.3">
      <c r="A36" s="12" t="s">
        <v>49</v>
      </c>
      <c r="B36" s="8">
        <v>619.52742685000021</v>
      </c>
      <c r="C36" s="8">
        <v>232.91883258000001</v>
      </c>
      <c r="D36" s="8">
        <v>295.70263252000007</v>
      </c>
      <c r="E36" s="8">
        <f t="shared" si="15"/>
        <v>1148.1488919500002</v>
      </c>
      <c r="F36" s="8">
        <v>684.07059526</v>
      </c>
      <c r="G36" s="8">
        <v>478.32608077999998</v>
      </c>
      <c r="H36" s="8">
        <v>443.16725451999997</v>
      </c>
      <c r="I36" s="8">
        <f t="shared" si="16"/>
        <v>1605.5639305599998</v>
      </c>
      <c r="J36" s="8">
        <f t="shared" si="3"/>
        <v>2753.71282251</v>
      </c>
      <c r="K36" s="8">
        <v>555.27511120999986</v>
      </c>
      <c r="L36" s="8">
        <v>511.16319796999989</v>
      </c>
      <c r="M36" s="8">
        <v>420.57575100999998</v>
      </c>
      <c r="N36" s="8">
        <f t="shared" si="17"/>
        <v>1487.0140601899998</v>
      </c>
      <c r="O36" s="8">
        <v>661.40805423999996</v>
      </c>
      <c r="P36" s="8">
        <v>537.39053992999993</v>
      </c>
      <c r="Q36" s="8">
        <v>306.22413342999994</v>
      </c>
      <c r="R36" s="8">
        <f t="shared" si="18"/>
        <v>1505.0227275999998</v>
      </c>
      <c r="S36" s="8">
        <f t="shared" si="6"/>
        <v>2992.0367877899998</v>
      </c>
      <c r="T36" s="8">
        <f t="shared" si="19"/>
        <v>5745.7496102999994</v>
      </c>
      <c r="U36" s="8"/>
      <c r="V36" s="8"/>
    </row>
    <row r="37" spans="1:22" ht="15" customHeight="1" x14ac:dyDescent="0.3">
      <c r="A37" s="12" t="s">
        <v>50</v>
      </c>
      <c r="B37" s="8">
        <v>1061.1220690199993</v>
      </c>
      <c r="C37" s="8">
        <v>614.91558952999935</v>
      </c>
      <c r="D37" s="8">
        <v>565.26923727999974</v>
      </c>
      <c r="E37" s="8">
        <f t="shared" si="15"/>
        <v>2241.3068958299982</v>
      </c>
      <c r="F37" s="8">
        <v>1268.6936250000001</v>
      </c>
      <c r="G37" s="8">
        <v>794.17573478999975</v>
      </c>
      <c r="H37" s="8">
        <v>748.27730639999982</v>
      </c>
      <c r="I37" s="8">
        <f t="shared" si="16"/>
        <v>2811.1466661899999</v>
      </c>
      <c r="J37" s="8">
        <f t="shared" si="3"/>
        <v>5052.4535620199986</v>
      </c>
      <c r="K37" s="8">
        <v>1013.9222245499998</v>
      </c>
      <c r="L37" s="8">
        <v>1089.0344850669999</v>
      </c>
      <c r="M37" s="8">
        <v>791.2278499529998</v>
      </c>
      <c r="N37" s="8">
        <f t="shared" si="17"/>
        <v>2894.1845595699992</v>
      </c>
      <c r="O37" s="8">
        <v>1030.2543109099997</v>
      </c>
      <c r="P37" s="8">
        <v>1247.3009803</v>
      </c>
      <c r="Q37" s="8">
        <v>728.13681496999982</v>
      </c>
      <c r="R37" s="8">
        <f t="shared" si="18"/>
        <v>3005.6921061799994</v>
      </c>
      <c r="S37" s="8">
        <f t="shared" si="6"/>
        <v>5899.8766657499982</v>
      </c>
      <c r="T37" s="8">
        <f t="shared" si="19"/>
        <v>10952.330227769997</v>
      </c>
      <c r="U37" s="8"/>
      <c r="V37" s="8"/>
    </row>
    <row r="38" spans="1:22" s="10" customFormat="1" ht="15" customHeight="1" x14ac:dyDescent="0.3">
      <c r="A38" s="3"/>
      <c r="B38" s="11"/>
      <c r="C38" s="11"/>
      <c r="D38" s="11"/>
      <c r="E38" s="11"/>
      <c r="F38" s="11"/>
      <c r="G38" s="11"/>
      <c r="H38" s="11"/>
      <c r="I38" s="11"/>
      <c r="J38" s="11"/>
      <c r="K38" s="11"/>
      <c r="L38" s="11"/>
      <c r="M38" s="11"/>
      <c r="N38" s="11"/>
      <c r="O38" s="11"/>
      <c r="P38" s="11"/>
      <c r="Q38" s="11"/>
      <c r="R38" s="11"/>
      <c r="S38" s="11"/>
      <c r="T38" s="11"/>
      <c r="U38" s="11"/>
      <c r="V38" s="11"/>
    </row>
    <row r="39" spans="1:22" s="10" customFormat="1" ht="15" customHeight="1" x14ac:dyDescent="0.25">
      <c r="A39" s="10" t="s">
        <v>51</v>
      </c>
      <c r="B39" s="11">
        <f>SUM(B40:B43)</f>
        <v>1415.4235366799999</v>
      </c>
      <c r="C39" s="11">
        <f t="shared" ref="C39:Q39" si="20">SUM(C40:C43)</f>
        <v>705.30395021999936</v>
      </c>
      <c r="D39" s="11">
        <f t="shared" si="20"/>
        <v>863.21162080999989</v>
      </c>
      <c r="E39" s="11">
        <f t="shared" ref="E39:E43" si="21">SUM(B39:D39)</f>
        <v>2983.939107709999</v>
      </c>
      <c r="F39" s="11">
        <f t="shared" si="20"/>
        <v>1561.3324933700003</v>
      </c>
      <c r="G39" s="11">
        <f t="shared" si="20"/>
        <v>1074.9643645900001</v>
      </c>
      <c r="H39" s="11">
        <f t="shared" si="20"/>
        <v>1187.3489315899997</v>
      </c>
      <c r="I39" s="11">
        <f t="shared" ref="I39:I43" si="22">SUM(F39:H39)</f>
        <v>3823.6457895499998</v>
      </c>
      <c r="J39" s="11">
        <f t="shared" si="3"/>
        <v>6807.5848972599988</v>
      </c>
      <c r="K39" s="11">
        <f t="shared" si="20"/>
        <v>1361.3760323399999</v>
      </c>
      <c r="L39" s="11">
        <f t="shared" si="20"/>
        <v>1328.5950968699999</v>
      </c>
      <c r="M39" s="11">
        <f t="shared" si="20"/>
        <v>1088.5965911999999</v>
      </c>
      <c r="N39" s="11">
        <f t="shared" ref="N39:N43" si="23">SUM(K39:M39)</f>
        <v>3778.5677204100002</v>
      </c>
      <c r="O39" s="11">
        <f t="shared" si="20"/>
        <v>1613.7455385970002</v>
      </c>
      <c r="P39" s="11">
        <f t="shared" si="20"/>
        <v>1403.7771468230001</v>
      </c>
      <c r="Q39" s="11">
        <f t="shared" si="20"/>
        <v>1274.0835318499999</v>
      </c>
      <c r="R39" s="11">
        <f t="shared" ref="R39:R43" si="24">SUM(O39:Q39)</f>
        <v>4291.6062172700003</v>
      </c>
      <c r="S39" s="11">
        <f t="shared" si="6"/>
        <v>8070.1739376800006</v>
      </c>
      <c r="T39" s="11">
        <f t="shared" ref="T39:T43" si="25">+J39+S39</f>
        <v>14877.758834939999</v>
      </c>
      <c r="U39" s="11"/>
      <c r="V39" s="11"/>
    </row>
    <row r="40" spans="1:22" ht="15" customHeight="1" x14ac:dyDescent="0.3">
      <c r="A40" s="12" t="s">
        <v>52</v>
      </c>
      <c r="B40" s="8">
        <v>482.20519967999979</v>
      </c>
      <c r="C40" s="8">
        <v>250.05887214999993</v>
      </c>
      <c r="D40" s="8">
        <v>336.67800697000001</v>
      </c>
      <c r="E40" s="8">
        <f t="shared" si="21"/>
        <v>1068.9420787999998</v>
      </c>
      <c r="F40" s="8">
        <v>565.10096267000006</v>
      </c>
      <c r="G40" s="8">
        <v>404.21368658000006</v>
      </c>
      <c r="H40" s="8">
        <v>451.88199812000005</v>
      </c>
      <c r="I40" s="8">
        <f t="shared" si="22"/>
        <v>1421.1966473700002</v>
      </c>
      <c r="J40" s="8">
        <f t="shared" si="3"/>
        <v>2490.1387261700002</v>
      </c>
      <c r="K40" s="8">
        <v>479.49813694999995</v>
      </c>
      <c r="L40" s="8">
        <v>476.43884834999989</v>
      </c>
      <c r="M40" s="8">
        <v>384.75989638999999</v>
      </c>
      <c r="N40" s="8">
        <f t="shared" si="23"/>
        <v>1340.6968816899998</v>
      </c>
      <c r="O40" s="8">
        <v>578.20358009699987</v>
      </c>
      <c r="P40" s="8">
        <v>523.54342249299998</v>
      </c>
      <c r="Q40" s="8">
        <v>512.25234006000005</v>
      </c>
      <c r="R40" s="8">
        <f t="shared" si="24"/>
        <v>1613.9993426499998</v>
      </c>
      <c r="S40" s="8">
        <f t="shared" si="6"/>
        <v>2954.6962243399994</v>
      </c>
      <c r="T40" s="8">
        <f t="shared" si="25"/>
        <v>5444.8349505099995</v>
      </c>
      <c r="U40" s="8"/>
      <c r="V40" s="8"/>
    </row>
    <row r="41" spans="1:22" ht="15" customHeight="1" x14ac:dyDescent="0.3">
      <c r="A41" s="12" t="s">
        <v>53</v>
      </c>
      <c r="B41" s="8">
        <v>696.44454375999999</v>
      </c>
      <c r="C41" s="8">
        <v>303.61358661999947</v>
      </c>
      <c r="D41" s="8">
        <v>369.79535616999993</v>
      </c>
      <c r="E41" s="8">
        <f t="shared" si="21"/>
        <v>1369.8534865499994</v>
      </c>
      <c r="F41" s="8">
        <v>693.8505211800001</v>
      </c>
      <c r="G41" s="8">
        <v>444.6765694500001</v>
      </c>
      <c r="H41" s="8">
        <v>513.14178248999974</v>
      </c>
      <c r="I41" s="8">
        <f t="shared" si="22"/>
        <v>1651.6688731199999</v>
      </c>
      <c r="J41" s="8">
        <f t="shared" si="3"/>
        <v>3021.5223596699993</v>
      </c>
      <c r="K41" s="8">
        <v>677.5649764399999</v>
      </c>
      <c r="L41" s="8">
        <v>651.56289613999979</v>
      </c>
      <c r="M41" s="8">
        <v>510.87788463999982</v>
      </c>
      <c r="N41" s="8">
        <f t="shared" si="23"/>
        <v>1840.0057572199996</v>
      </c>
      <c r="O41" s="8">
        <v>772.10025560000031</v>
      </c>
      <c r="P41" s="8">
        <v>656.94842906999997</v>
      </c>
      <c r="Q41" s="8">
        <v>547.76825315999986</v>
      </c>
      <c r="R41" s="8">
        <f t="shared" si="24"/>
        <v>1976.8169378300001</v>
      </c>
      <c r="S41" s="8">
        <f t="shared" si="6"/>
        <v>3816.8226950499998</v>
      </c>
      <c r="T41" s="8">
        <f t="shared" si="25"/>
        <v>6838.3450547199991</v>
      </c>
      <c r="U41" s="8"/>
      <c r="V41" s="8"/>
    </row>
    <row r="42" spans="1:22" ht="15" customHeight="1" x14ac:dyDescent="0.3">
      <c r="A42" s="12" t="s">
        <v>54</v>
      </c>
      <c r="B42" s="8">
        <v>155.98373889000001</v>
      </c>
      <c r="C42" s="8">
        <v>117.86780678999999</v>
      </c>
      <c r="D42" s="8">
        <v>124.75699073</v>
      </c>
      <c r="E42" s="8">
        <f t="shared" si="21"/>
        <v>398.60853641</v>
      </c>
      <c r="F42" s="8">
        <v>242.07981226999999</v>
      </c>
      <c r="G42" s="8">
        <v>180.52028792000002</v>
      </c>
      <c r="H42" s="8">
        <v>177.42483760000002</v>
      </c>
      <c r="I42" s="8">
        <f t="shared" si="22"/>
        <v>600.02493779000008</v>
      </c>
      <c r="J42" s="8">
        <f t="shared" si="3"/>
        <v>998.63347420000014</v>
      </c>
      <c r="K42" s="8">
        <v>146.41010762000005</v>
      </c>
      <c r="L42" s="8">
        <v>142.75612087000002</v>
      </c>
      <c r="M42" s="8">
        <v>156.52599155000001</v>
      </c>
      <c r="N42" s="8">
        <f t="shared" si="23"/>
        <v>445.69222004000011</v>
      </c>
      <c r="O42" s="8">
        <v>177.74958688000007</v>
      </c>
      <c r="P42" s="8">
        <v>172.09780449000002</v>
      </c>
      <c r="Q42" s="8">
        <v>158.61076281999999</v>
      </c>
      <c r="R42" s="8">
        <f t="shared" si="24"/>
        <v>508.45815419000007</v>
      </c>
      <c r="S42" s="8">
        <f t="shared" si="6"/>
        <v>954.15037423000012</v>
      </c>
      <c r="T42" s="8">
        <f t="shared" si="25"/>
        <v>1952.7838484300003</v>
      </c>
      <c r="U42" s="8"/>
      <c r="V42" s="8"/>
    </row>
    <row r="43" spans="1:22" ht="15" customHeight="1" x14ac:dyDescent="0.3">
      <c r="A43" s="12" t="s">
        <v>55</v>
      </c>
      <c r="B43" s="8">
        <v>80.790054349999977</v>
      </c>
      <c r="C43" s="8">
        <v>33.763684659999996</v>
      </c>
      <c r="D43" s="8">
        <v>31.981266939999998</v>
      </c>
      <c r="E43" s="8">
        <f t="shared" si="21"/>
        <v>146.53500594999997</v>
      </c>
      <c r="F43" s="8">
        <v>60.301197249999987</v>
      </c>
      <c r="G43" s="8">
        <v>45.553820639999998</v>
      </c>
      <c r="H43" s="8">
        <v>44.900313379999993</v>
      </c>
      <c r="I43" s="8">
        <f t="shared" si="22"/>
        <v>150.75533126999997</v>
      </c>
      <c r="J43" s="8">
        <f t="shared" si="3"/>
        <v>297.29033721999997</v>
      </c>
      <c r="K43" s="8">
        <v>57.902811329999999</v>
      </c>
      <c r="L43" s="8">
        <v>57.837231510000002</v>
      </c>
      <c r="M43" s="8">
        <v>36.432818620000006</v>
      </c>
      <c r="N43" s="8">
        <f t="shared" si="23"/>
        <v>152.17286146000001</v>
      </c>
      <c r="O43" s="8">
        <v>85.692116020000014</v>
      </c>
      <c r="P43" s="8">
        <v>51.187490770000004</v>
      </c>
      <c r="Q43" s="8">
        <v>55.45217581</v>
      </c>
      <c r="R43" s="8">
        <f t="shared" si="24"/>
        <v>192.33178260000003</v>
      </c>
      <c r="S43" s="8">
        <f t="shared" si="6"/>
        <v>344.50464406000003</v>
      </c>
      <c r="T43" s="8">
        <f t="shared" si="25"/>
        <v>641.79498128</v>
      </c>
      <c r="U43" s="8"/>
      <c r="V43" s="8"/>
    </row>
    <row r="44" spans="1:22" s="10" customFormat="1" ht="15" customHeight="1" x14ac:dyDescent="0.3">
      <c r="A44" s="3"/>
      <c r="B44" s="11"/>
      <c r="C44" s="11"/>
      <c r="D44" s="11"/>
      <c r="E44" s="11"/>
      <c r="F44" s="11"/>
      <c r="G44" s="11"/>
      <c r="H44" s="11"/>
      <c r="I44" s="11"/>
      <c r="J44" s="11"/>
      <c r="K44" s="11"/>
      <c r="L44" s="11"/>
      <c r="M44" s="11"/>
      <c r="N44" s="11"/>
      <c r="O44" s="11"/>
      <c r="P44" s="11"/>
      <c r="Q44" s="11"/>
      <c r="R44" s="11"/>
      <c r="S44" s="11"/>
      <c r="T44" s="11"/>
      <c r="U44" s="11"/>
      <c r="V44" s="11"/>
    </row>
    <row r="45" spans="1:22" s="10" customFormat="1" ht="15" customHeight="1" x14ac:dyDescent="0.25">
      <c r="A45" s="10" t="s">
        <v>56</v>
      </c>
      <c r="B45" s="11">
        <f>SUM(B46:B54)</f>
        <v>8567.9227307899946</v>
      </c>
      <c r="C45" s="11">
        <f t="shared" ref="C45:Q45" si="26">SUM(C46:C54)</f>
        <v>4585.4370764100013</v>
      </c>
      <c r="D45" s="11">
        <f t="shared" si="26"/>
        <v>4643.3064373299994</v>
      </c>
      <c r="E45" s="11">
        <f t="shared" ref="E45:E54" si="27">SUM(B45:D45)</f>
        <v>17796.666244529995</v>
      </c>
      <c r="F45" s="11">
        <f t="shared" si="26"/>
        <v>10233.948764739998</v>
      </c>
      <c r="G45" s="11">
        <f t="shared" si="26"/>
        <v>6704.7200213199994</v>
      </c>
      <c r="H45" s="11">
        <f t="shared" si="26"/>
        <v>5529.1720821000008</v>
      </c>
      <c r="I45" s="11">
        <f t="shared" ref="I45:I54" si="28">SUM(F45:H45)</f>
        <v>22467.840868160001</v>
      </c>
      <c r="J45" s="11">
        <f t="shared" si="3"/>
        <v>40264.50711269</v>
      </c>
      <c r="K45" s="11">
        <f t="shared" si="26"/>
        <v>8798.6193603400006</v>
      </c>
      <c r="L45" s="11">
        <f t="shared" si="26"/>
        <v>6805.0417375200013</v>
      </c>
      <c r="M45" s="11">
        <f t="shared" si="26"/>
        <v>5470.6717667000003</v>
      </c>
      <c r="N45" s="11">
        <f t="shared" ref="N45:N54" si="29">SUM(K45:M45)</f>
        <v>21074.332864560001</v>
      </c>
      <c r="O45" s="11">
        <f t="shared" si="26"/>
        <v>9266.3863561899998</v>
      </c>
      <c r="P45" s="11">
        <f t="shared" si="26"/>
        <v>6918.9968416299998</v>
      </c>
      <c r="Q45" s="11">
        <f t="shared" si="26"/>
        <v>5692.3045765800016</v>
      </c>
      <c r="R45" s="11">
        <f t="shared" ref="R45:R54" si="30">SUM(O45:Q45)</f>
        <v>21877.687774400001</v>
      </c>
      <c r="S45" s="11">
        <f t="shared" si="6"/>
        <v>42952.020638960006</v>
      </c>
      <c r="T45" s="11">
        <f t="shared" ref="T45:T54" si="31">+J45+S45</f>
        <v>83216.527751650006</v>
      </c>
      <c r="U45" s="11"/>
      <c r="V45" s="11"/>
    </row>
    <row r="46" spans="1:22" ht="15" customHeight="1" x14ac:dyDescent="0.3">
      <c r="A46" s="12" t="s">
        <v>57</v>
      </c>
      <c r="B46" s="8">
        <v>70.129078469999982</v>
      </c>
      <c r="C46" s="8">
        <v>35.219158919999991</v>
      </c>
      <c r="D46" s="8">
        <v>49.455956669999999</v>
      </c>
      <c r="E46" s="8">
        <f t="shared" si="27"/>
        <v>154.80419405999999</v>
      </c>
      <c r="F46" s="8">
        <v>75.231841100000011</v>
      </c>
      <c r="G46" s="8">
        <v>50.329680739999993</v>
      </c>
      <c r="H46" s="8">
        <v>64.120313580000001</v>
      </c>
      <c r="I46" s="8">
        <f t="shared" si="28"/>
        <v>189.68183542000003</v>
      </c>
      <c r="J46" s="8">
        <f t="shared" si="3"/>
        <v>344.48602948000001</v>
      </c>
      <c r="K46" s="8">
        <v>104.26354428</v>
      </c>
      <c r="L46" s="8">
        <v>65.260415179999995</v>
      </c>
      <c r="M46" s="8">
        <v>78.701678789999988</v>
      </c>
      <c r="N46" s="8">
        <f t="shared" si="29"/>
        <v>248.22563825</v>
      </c>
      <c r="O46" s="8">
        <v>97.394427469999968</v>
      </c>
      <c r="P46" s="8">
        <v>68.555416190000003</v>
      </c>
      <c r="Q46" s="8">
        <v>70.08916434999999</v>
      </c>
      <c r="R46" s="8">
        <f t="shared" si="30"/>
        <v>236.03900800999998</v>
      </c>
      <c r="S46" s="8">
        <f t="shared" si="6"/>
        <v>484.26464625999995</v>
      </c>
      <c r="T46" s="8">
        <f t="shared" si="31"/>
        <v>828.75067573999991</v>
      </c>
      <c r="U46" s="8"/>
      <c r="V46" s="8"/>
    </row>
    <row r="47" spans="1:22" ht="15" customHeight="1" x14ac:dyDescent="0.3">
      <c r="A47" s="12" t="s">
        <v>58</v>
      </c>
      <c r="B47" s="8">
        <v>746.32518761999893</v>
      </c>
      <c r="C47" s="8">
        <v>282.03833957000018</v>
      </c>
      <c r="D47" s="8">
        <v>393.25215948999994</v>
      </c>
      <c r="E47" s="8">
        <f t="shared" si="27"/>
        <v>1421.615686679999</v>
      </c>
      <c r="F47" s="8">
        <v>603.8126553699999</v>
      </c>
      <c r="G47" s="8">
        <v>397.22978673</v>
      </c>
      <c r="H47" s="8">
        <v>414.04821197999991</v>
      </c>
      <c r="I47" s="8">
        <f t="shared" si="28"/>
        <v>1415.0906540799997</v>
      </c>
      <c r="J47" s="8">
        <f t="shared" si="3"/>
        <v>2836.706340759999</v>
      </c>
      <c r="K47" s="8">
        <v>615.64996499000006</v>
      </c>
      <c r="L47" s="8">
        <v>441.30572122000012</v>
      </c>
      <c r="M47" s="8">
        <v>336.22478142000023</v>
      </c>
      <c r="N47" s="8">
        <f t="shared" si="29"/>
        <v>1393.1804676300005</v>
      </c>
      <c r="O47" s="8">
        <v>526.98749043000009</v>
      </c>
      <c r="P47" s="8">
        <v>446.29267923000009</v>
      </c>
      <c r="Q47" s="8">
        <v>542.3690682099998</v>
      </c>
      <c r="R47" s="8">
        <f t="shared" si="30"/>
        <v>1515.64923787</v>
      </c>
      <c r="S47" s="8">
        <f t="shared" si="6"/>
        <v>2908.8297055000003</v>
      </c>
      <c r="T47" s="8">
        <f t="shared" si="31"/>
        <v>5745.5360462599992</v>
      </c>
      <c r="U47" s="8"/>
      <c r="V47" s="8"/>
    </row>
    <row r="48" spans="1:22" ht="15" customHeight="1" x14ac:dyDescent="0.3">
      <c r="A48" s="12" t="s">
        <v>59</v>
      </c>
      <c r="B48" s="8">
        <v>2018.8843512699987</v>
      </c>
      <c r="C48" s="8">
        <v>1010.8928230700002</v>
      </c>
      <c r="D48" s="8">
        <v>1203.1528187400004</v>
      </c>
      <c r="E48" s="8">
        <f t="shared" si="27"/>
        <v>4232.9299930799989</v>
      </c>
      <c r="F48" s="8">
        <v>2878.7695452100002</v>
      </c>
      <c r="G48" s="8">
        <v>1505.2914265000004</v>
      </c>
      <c r="H48" s="8">
        <v>1284.6345764400012</v>
      </c>
      <c r="I48" s="8">
        <f t="shared" si="28"/>
        <v>5668.6955481500017</v>
      </c>
      <c r="J48" s="8">
        <f t="shared" si="3"/>
        <v>9901.6255412300015</v>
      </c>
      <c r="K48" s="8">
        <v>2235.0477593200003</v>
      </c>
      <c r="L48" s="8">
        <v>1446.7657901099999</v>
      </c>
      <c r="M48" s="8">
        <v>1385.45644554</v>
      </c>
      <c r="N48" s="8">
        <f t="shared" si="29"/>
        <v>5067.26999497</v>
      </c>
      <c r="O48" s="8">
        <v>2360.4329867799997</v>
      </c>
      <c r="P48" s="8">
        <v>1671.3029639499998</v>
      </c>
      <c r="Q48" s="8">
        <v>1500.4340486000008</v>
      </c>
      <c r="R48" s="8">
        <f t="shared" si="30"/>
        <v>5532.1699993300008</v>
      </c>
      <c r="S48" s="8">
        <f t="shared" si="6"/>
        <v>10599.439994300001</v>
      </c>
      <c r="T48" s="8">
        <f t="shared" si="31"/>
        <v>20501.065535530004</v>
      </c>
      <c r="U48" s="8"/>
      <c r="V48" s="8"/>
    </row>
    <row r="49" spans="1:22" ht="15" customHeight="1" x14ac:dyDescent="0.3">
      <c r="A49" s="12" t="s">
        <v>60</v>
      </c>
      <c r="B49" s="8">
        <v>800.97733947999973</v>
      </c>
      <c r="C49" s="8">
        <v>861.75536907999981</v>
      </c>
      <c r="D49" s="8">
        <v>527.41072770999983</v>
      </c>
      <c r="E49" s="8">
        <f t="shared" si="27"/>
        <v>2190.1434362699993</v>
      </c>
      <c r="F49" s="8">
        <v>1036.4561455399996</v>
      </c>
      <c r="G49" s="8">
        <v>643.12522048999995</v>
      </c>
      <c r="H49" s="8">
        <v>573.10645802999977</v>
      </c>
      <c r="I49" s="8">
        <f t="shared" si="28"/>
        <v>2252.6878240599995</v>
      </c>
      <c r="J49" s="8">
        <f t="shared" si="3"/>
        <v>4442.8312603299983</v>
      </c>
      <c r="K49" s="8">
        <v>854.98662940999986</v>
      </c>
      <c r="L49" s="8">
        <v>651.53896125999995</v>
      </c>
      <c r="M49" s="8">
        <v>653.24726424000005</v>
      </c>
      <c r="N49" s="8">
        <f t="shared" si="29"/>
        <v>2159.7728549100002</v>
      </c>
      <c r="O49" s="8">
        <v>848.98677036000004</v>
      </c>
      <c r="P49" s="8">
        <v>667.22508714999992</v>
      </c>
      <c r="Q49" s="8">
        <v>618.8782063299999</v>
      </c>
      <c r="R49" s="8">
        <f t="shared" si="30"/>
        <v>2135.0900638399999</v>
      </c>
      <c r="S49" s="8">
        <f t="shared" si="6"/>
        <v>4294.8629187500001</v>
      </c>
      <c r="T49" s="8">
        <f t="shared" si="31"/>
        <v>8737.6941790799974</v>
      </c>
      <c r="U49" s="8"/>
      <c r="V49" s="8"/>
    </row>
    <row r="50" spans="1:22" ht="18" customHeight="1" x14ac:dyDescent="0.3">
      <c r="A50" s="12" t="s">
        <v>61</v>
      </c>
      <c r="B50" s="8">
        <v>2033.3138336800007</v>
      </c>
      <c r="C50" s="8">
        <v>860.93037235000031</v>
      </c>
      <c r="D50" s="8">
        <v>971.83182537000016</v>
      </c>
      <c r="E50" s="8">
        <f t="shared" si="27"/>
        <v>3866.0760314000008</v>
      </c>
      <c r="F50" s="8">
        <v>2391.2676175799998</v>
      </c>
      <c r="G50" s="8">
        <v>1292.1716654000002</v>
      </c>
      <c r="H50" s="8">
        <v>1140.8161089099999</v>
      </c>
      <c r="I50" s="8">
        <f t="shared" si="28"/>
        <v>4824.2553918899994</v>
      </c>
      <c r="J50" s="8">
        <f t="shared" si="3"/>
        <v>8690.3314232900011</v>
      </c>
      <c r="K50" s="8">
        <v>2247.1203778500003</v>
      </c>
      <c r="L50" s="8">
        <v>1529.6621388000003</v>
      </c>
      <c r="M50" s="8">
        <v>1276.3079239199999</v>
      </c>
      <c r="N50" s="8">
        <f t="shared" si="29"/>
        <v>5053.0904405700003</v>
      </c>
      <c r="O50" s="8">
        <v>2551.52906644</v>
      </c>
      <c r="P50" s="8">
        <v>1515.9288986099991</v>
      </c>
      <c r="Q50" s="8">
        <v>1281.7604375200001</v>
      </c>
      <c r="R50" s="8">
        <f t="shared" si="30"/>
        <v>5349.2184025699989</v>
      </c>
      <c r="S50" s="8">
        <f t="shared" si="6"/>
        <v>10402.308843139999</v>
      </c>
      <c r="T50" s="8">
        <f t="shared" si="31"/>
        <v>19092.64026643</v>
      </c>
      <c r="U50" s="8"/>
      <c r="V50" s="8"/>
    </row>
    <row r="51" spans="1:22" ht="15" customHeight="1" x14ac:dyDescent="0.3">
      <c r="A51" s="12" t="s">
        <v>62</v>
      </c>
      <c r="B51" s="8">
        <v>1043.5842966900002</v>
      </c>
      <c r="C51" s="8">
        <v>401.3911605200002</v>
      </c>
      <c r="D51" s="8">
        <v>441.41086269999994</v>
      </c>
      <c r="E51" s="8">
        <f t="shared" si="27"/>
        <v>1886.3863199100006</v>
      </c>
      <c r="F51" s="8">
        <v>796.44261359000018</v>
      </c>
      <c r="G51" s="8">
        <v>559.41665761000013</v>
      </c>
      <c r="H51" s="8">
        <v>568.67658789000018</v>
      </c>
      <c r="I51" s="8">
        <f t="shared" si="28"/>
        <v>1924.5358590900005</v>
      </c>
      <c r="J51" s="8">
        <f t="shared" si="3"/>
        <v>3810.9221790000011</v>
      </c>
      <c r="K51" s="8">
        <v>671.72373415000015</v>
      </c>
      <c r="L51" s="8">
        <v>553.7698998999997</v>
      </c>
      <c r="M51" s="8">
        <v>530.61430504999998</v>
      </c>
      <c r="N51" s="8">
        <f t="shared" si="29"/>
        <v>1756.1079390999998</v>
      </c>
      <c r="O51" s="8">
        <v>761.46732914000017</v>
      </c>
      <c r="P51" s="8">
        <v>456.90746421000011</v>
      </c>
      <c r="Q51" s="8">
        <v>446.68981846999998</v>
      </c>
      <c r="R51" s="8">
        <f t="shared" si="30"/>
        <v>1665.0646118200002</v>
      </c>
      <c r="S51" s="8">
        <f t="shared" si="6"/>
        <v>3421.17255092</v>
      </c>
      <c r="T51" s="8">
        <f t="shared" si="31"/>
        <v>7232.0947299200016</v>
      </c>
      <c r="U51" s="8"/>
      <c r="V51" s="8"/>
    </row>
    <row r="52" spans="1:22" ht="18" customHeight="1" x14ac:dyDescent="0.3">
      <c r="A52" s="12" t="s">
        <v>63</v>
      </c>
      <c r="B52" s="8">
        <v>263.61318287000006</v>
      </c>
      <c r="C52" s="8">
        <v>97.919909519999962</v>
      </c>
      <c r="D52" s="8">
        <v>114.80613537999999</v>
      </c>
      <c r="E52" s="8">
        <f t="shared" si="27"/>
        <v>476.33922777000004</v>
      </c>
      <c r="F52" s="8">
        <v>385.39986452000011</v>
      </c>
      <c r="G52" s="8">
        <v>237.83835252</v>
      </c>
      <c r="H52" s="8">
        <v>104.57043736000001</v>
      </c>
      <c r="I52" s="8">
        <f t="shared" si="28"/>
        <v>727.80865440000014</v>
      </c>
      <c r="J52" s="8">
        <f t="shared" si="3"/>
        <v>1204.1478821700002</v>
      </c>
      <c r="K52" s="8">
        <v>179.02898288999992</v>
      </c>
      <c r="L52" s="8">
        <v>227.61427835999996</v>
      </c>
      <c r="M52" s="8">
        <v>131.67679475000003</v>
      </c>
      <c r="N52" s="8">
        <f t="shared" si="29"/>
        <v>538.32005599999991</v>
      </c>
      <c r="O52" s="8">
        <v>195.07324018999998</v>
      </c>
      <c r="P52" s="8">
        <v>235.91126366000006</v>
      </c>
      <c r="Q52" s="8">
        <v>251.01161251999997</v>
      </c>
      <c r="R52" s="8">
        <f t="shared" si="30"/>
        <v>681.99611636999998</v>
      </c>
      <c r="S52" s="8">
        <f t="shared" si="6"/>
        <v>1220.31617237</v>
      </c>
      <c r="T52" s="8">
        <f t="shared" si="31"/>
        <v>2424.4640545400002</v>
      </c>
      <c r="U52" s="8"/>
      <c r="V52" s="8"/>
    </row>
    <row r="53" spans="1:22" ht="15" customHeight="1" x14ac:dyDescent="0.3">
      <c r="A53" s="12" t="s">
        <v>64</v>
      </c>
      <c r="B53" s="8">
        <v>1300.6557797699979</v>
      </c>
      <c r="C53" s="8">
        <v>842.74557842000047</v>
      </c>
      <c r="D53" s="8">
        <v>764.19181743000024</v>
      </c>
      <c r="E53" s="8">
        <f t="shared" si="27"/>
        <v>2907.5931756199989</v>
      </c>
      <c r="F53" s="8">
        <v>1630.4863162199997</v>
      </c>
      <c r="G53" s="8">
        <v>1757.8235879799997</v>
      </c>
      <c r="H53" s="8">
        <v>1079.1120531299998</v>
      </c>
      <c r="I53" s="8">
        <f t="shared" si="28"/>
        <v>4467.4219573299997</v>
      </c>
      <c r="J53" s="8">
        <f t="shared" si="3"/>
        <v>7375.0151329499986</v>
      </c>
      <c r="K53" s="8">
        <v>1516.2517212200003</v>
      </c>
      <c r="L53" s="8">
        <v>1602.9293567000011</v>
      </c>
      <c r="M53" s="8">
        <v>865.84560069999964</v>
      </c>
      <c r="N53" s="8">
        <f t="shared" si="29"/>
        <v>3985.0266786200009</v>
      </c>
      <c r="O53" s="8">
        <v>1541.3352682100001</v>
      </c>
      <c r="P53" s="8">
        <v>1525.9127424500005</v>
      </c>
      <c r="Q53" s="8">
        <v>641.95130556999982</v>
      </c>
      <c r="R53" s="8">
        <f t="shared" si="30"/>
        <v>3709.1993162300005</v>
      </c>
      <c r="S53" s="8">
        <f t="shared" si="6"/>
        <v>7694.2259948500014</v>
      </c>
      <c r="T53" s="8">
        <f t="shared" si="31"/>
        <v>15069.2411278</v>
      </c>
      <c r="U53" s="8"/>
      <c r="V53" s="8"/>
    </row>
    <row r="54" spans="1:22" ht="15" customHeight="1" x14ac:dyDescent="0.3">
      <c r="A54" s="12" t="s">
        <v>65</v>
      </c>
      <c r="B54" s="8">
        <v>290.43968094000041</v>
      </c>
      <c r="C54" s="8">
        <v>192.54436496000011</v>
      </c>
      <c r="D54" s="8">
        <v>177.79413384000006</v>
      </c>
      <c r="E54" s="8">
        <f t="shared" si="27"/>
        <v>660.77817974000061</v>
      </c>
      <c r="F54" s="8">
        <v>436.08216561</v>
      </c>
      <c r="G54" s="8">
        <v>261.49364334999996</v>
      </c>
      <c r="H54" s="8">
        <v>300.08733477999999</v>
      </c>
      <c r="I54" s="8">
        <f t="shared" si="28"/>
        <v>997.6631437399999</v>
      </c>
      <c r="J54" s="8">
        <f t="shared" si="3"/>
        <v>1658.4413234800004</v>
      </c>
      <c r="K54" s="8">
        <v>374.54664622999991</v>
      </c>
      <c r="L54" s="8">
        <v>286.19517599</v>
      </c>
      <c r="M54" s="8">
        <v>212.59697229</v>
      </c>
      <c r="N54" s="8">
        <f t="shared" si="29"/>
        <v>873.33879450999984</v>
      </c>
      <c r="O54" s="8">
        <v>383.17977716999991</v>
      </c>
      <c r="P54" s="8">
        <v>330.96032617999992</v>
      </c>
      <c r="Q54" s="8">
        <v>339.12091500999992</v>
      </c>
      <c r="R54" s="8">
        <f t="shared" si="30"/>
        <v>1053.2610183599998</v>
      </c>
      <c r="S54" s="8">
        <f t="shared" si="6"/>
        <v>1926.5998128699996</v>
      </c>
      <c r="T54" s="8">
        <f t="shared" si="31"/>
        <v>3585.0411363499998</v>
      </c>
      <c r="U54" s="8"/>
      <c r="V54" s="8"/>
    </row>
    <row r="55" spans="1:22" s="10" customFormat="1" ht="15" customHeight="1" x14ac:dyDescent="0.3">
      <c r="A55" s="3"/>
      <c r="B55" s="11"/>
      <c r="C55" s="11"/>
      <c r="D55" s="11"/>
      <c r="E55" s="11"/>
      <c r="F55" s="11"/>
      <c r="G55" s="11"/>
      <c r="H55" s="11"/>
      <c r="I55" s="11"/>
      <c r="J55" s="11"/>
      <c r="K55" s="11"/>
      <c r="L55" s="11"/>
      <c r="M55" s="11"/>
      <c r="N55" s="11"/>
      <c r="O55" s="11"/>
      <c r="P55" s="11"/>
      <c r="Q55" s="11"/>
      <c r="R55" s="11"/>
      <c r="S55" s="11"/>
      <c r="T55" s="11"/>
      <c r="U55" s="11"/>
      <c r="V55" s="11"/>
    </row>
    <row r="56" spans="1:22" s="10" customFormat="1" ht="15" customHeight="1" x14ac:dyDescent="0.25">
      <c r="A56" s="10" t="s">
        <v>66</v>
      </c>
      <c r="B56" s="11">
        <f>SUM(B57:B62)</f>
        <v>11587.887450329996</v>
      </c>
      <c r="C56" s="11">
        <f t="shared" ref="C56:Q56" si="32">SUM(C57:C62)</f>
        <v>5739.6510956999982</v>
      </c>
      <c r="D56" s="11">
        <f t="shared" si="32"/>
        <v>6003.8633301999989</v>
      </c>
      <c r="E56" s="11">
        <f t="shared" ref="E56:E62" si="33">SUM(B56:D56)</f>
        <v>23331.401876229993</v>
      </c>
      <c r="F56" s="11">
        <f t="shared" si="32"/>
        <v>13849.522393099998</v>
      </c>
      <c r="G56" s="11">
        <f t="shared" si="32"/>
        <v>8104.5463095799978</v>
      </c>
      <c r="H56" s="11">
        <f t="shared" si="32"/>
        <v>6362.7257194199965</v>
      </c>
      <c r="I56" s="11">
        <f t="shared" ref="I56:I62" si="34">SUM(F56:H56)</f>
        <v>28316.794422099993</v>
      </c>
      <c r="J56" s="11">
        <f t="shared" si="3"/>
        <v>51648.196298329989</v>
      </c>
      <c r="K56" s="11">
        <f t="shared" si="32"/>
        <v>11379.617982960001</v>
      </c>
      <c r="L56" s="11">
        <f t="shared" si="32"/>
        <v>9044.4781531099998</v>
      </c>
      <c r="M56" s="11">
        <f t="shared" si="32"/>
        <v>7113.2216911999985</v>
      </c>
      <c r="N56" s="11">
        <f t="shared" ref="N56:N62" si="35">SUM(K56:M56)</f>
        <v>27537.317827270002</v>
      </c>
      <c r="O56" s="11">
        <f t="shared" si="32"/>
        <v>12415.160894839999</v>
      </c>
      <c r="P56" s="11">
        <f t="shared" si="32"/>
        <v>8927.8222346900002</v>
      </c>
      <c r="Q56" s="11">
        <f t="shared" si="32"/>
        <v>7187.0483328299979</v>
      </c>
      <c r="R56" s="11">
        <f t="shared" ref="R56:R62" si="36">SUM(O56:Q56)</f>
        <v>28530.031462359999</v>
      </c>
      <c r="S56" s="11">
        <f t="shared" si="6"/>
        <v>56067.349289630001</v>
      </c>
      <c r="T56" s="11">
        <f t="shared" ref="T56:T62" si="37">+J56+S56</f>
        <v>107715.54558795999</v>
      </c>
      <c r="U56" s="11"/>
      <c r="V56" s="11"/>
    </row>
    <row r="57" spans="1:22" ht="15" customHeight="1" x14ac:dyDescent="0.3">
      <c r="A57" s="12" t="s">
        <v>67</v>
      </c>
      <c r="B57" s="8">
        <v>2437.1241676599989</v>
      </c>
      <c r="C57" s="8">
        <v>1238.59510396</v>
      </c>
      <c r="D57" s="8">
        <v>1448.1450673999993</v>
      </c>
      <c r="E57" s="8">
        <f t="shared" si="33"/>
        <v>5123.8643390199977</v>
      </c>
      <c r="F57" s="8">
        <v>3009.2176620499995</v>
      </c>
      <c r="G57" s="8">
        <v>1855.6367695099993</v>
      </c>
      <c r="H57" s="8">
        <v>1572.2316755499994</v>
      </c>
      <c r="I57" s="8">
        <f t="shared" si="34"/>
        <v>6437.0861071099989</v>
      </c>
      <c r="J57" s="8">
        <f t="shared" si="3"/>
        <v>11560.950446129997</v>
      </c>
      <c r="K57" s="8">
        <v>2365.3785615400002</v>
      </c>
      <c r="L57" s="8">
        <v>2140.0185044699992</v>
      </c>
      <c r="M57" s="8">
        <v>1620.5283077099998</v>
      </c>
      <c r="N57" s="8">
        <f t="shared" si="35"/>
        <v>6125.9253737199997</v>
      </c>
      <c r="O57" s="8">
        <v>2743.3672825399999</v>
      </c>
      <c r="P57" s="8">
        <v>1938.7803695999999</v>
      </c>
      <c r="Q57" s="8">
        <v>1464.2633101799997</v>
      </c>
      <c r="R57" s="8">
        <f t="shared" si="36"/>
        <v>6146.4109623200002</v>
      </c>
      <c r="S57" s="8">
        <f t="shared" si="6"/>
        <v>12272.33633604</v>
      </c>
      <c r="T57" s="8">
        <f t="shared" si="37"/>
        <v>23833.286782169998</v>
      </c>
      <c r="U57" s="8"/>
      <c r="V57" s="8"/>
    </row>
    <row r="58" spans="1:22" ht="15" customHeight="1" x14ac:dyDescent="0.3">
      <c r="A58" s="12" t="s">
        <v>68</v>
      </c>
      <c r="B58" s="8">
        <v>3794.0899666800042</v>
      </c>
      <c r="C58" s="8">
        <v>1599.3455656399997</v>
      </c>
      <c r="D58" s="8">
        <v>1636.5361430100002</v>
      </c>
      <c r="E58" s="8">
        <f t="shared" si="33"/>
        <v>7029.9716753300036</v>
      </c>
      <c r="F58" s="8">
        <v>3911.0333358000007</v>
      </c>
      <c r="G58" s="8">
        <v>2308.7866885899998</v>
      </c>
      <c r="H58" s="8">
        <v>1838.0376122799998</v>
      </c>
      <c r="I58" s="8">
        <f t="shared" si="34"/>
        <v>8057.8576366700008</v>
      </c>
      <c r="J58" s="8">
        <f t="shared" si="3"/>
        <v>15087.829312000005</v>
      </c>
      <c r="K58" s="8">
        <v>3211.3074620900006</v>
      </c>
      <c r="L58" s="8">
        <v>2466.118905150001</v>
      </c>
      <c r="M58" s="8">
        <v>2072.6878463200001</v>
      </c>
      <c r="N58" s="8">
        <f t="shared" si="35"/>
        <v>7750.1142135600012</v>
      </c>
      <c r="O58" s="8">
        <v>3567.5616718900014</v>
      </c>
      <c r="P58" s="8">
        <v>2479.7582443199999</v>
      </c>
      <c r="Q58" s="8">
        <v>2041.3092641299986</v>
      </c>
      <c r="R58" s="8">
        <f t="shared" si="36"/>
        <v>8088.6291803399999</v>
      </c>
      <c r="S58" s="8">
        <f t="shared" si="6"/>
        <v>15838.7433939</v>
      </c>
      <c r="T58" s="8">
        <f t="shared" si="37"/>
        <v>30926.572705900006</v>
      </c>
      <c r="U58" s="8"/>
      <c r="V58" s="8"/>
    </row>
    <row r="59" spans="1:22" ht="15" customHeight="1" x14ac:dyDescent="0.3">
      <c r="A59" s="12" t="s">
        <v>69</v>
      </c>
      <c r="B59" s="8">
        <v>3550.2379774199949</v>
      </c>
      <c r="C59" s="8">
        <v>2036.0524659599982</v>
      </c>
      <c r="D59" s="8">
        <v>2013.7827235999998</v>
      </c>
      <c r="E59" s="8">
        <f t="shared" si="33"/>
        <v>7600.0731669799934</v>
      </c>
      <c r="F59" s="8">
        <v>4916.0550637999986</v>
      </c>
      <c r="G59" s="8">
        <v>2834.6087727099998</v>
      </c>
      <c r="H59" s="8">
        <v>1906.1857436899986</v>
      </c>
      <c r="I59" s="8">
        <f t="shared" si="34"/>
        <v>9656.8495801999979</v>
      </c>
      <c r="J59" s="8">
        <f t="shared" si="3"/>
        <v>17256.92274717999</v>
      </c>
      <c r="K59" s="8">
        <v>3956.6406871700005</v>
      </c>
      <c r="L59" s="8">
        <v>3076.8660229599991</v>
      </c>
      <c r="M59" s="8">
        <v>2328.3444833599992</v>
      </c>
      <c r="N59" s="8">
        <f t="shared" si="35"/>
        <v>9361.851193489998</v>
      </c>
      <c r="O59" s="8">
        <v>4176.9381523199991</v>
      </c>
      <c r="P59" s="8">
        <v>3197.9522335500005</v>
      </c>
      <c r="Q59" s="8">
        <v>2370.7228834799989</v>
      </c>
      <c r="R59" s="8">
        <f t="shared" si="36"/>
        <v>9745.6132693499985</v>
      </c>
      <c r="S59" s="8">
        <f t="shared" si="6"/>
        <v>19107.464462839998</v>
      </c>
      <c r="T59" s="8">
        <f t="shared" si="37"/>
        <v>36364.387210019988</v>
      </c>
      <c r="U59" s="8"/>
      <c r="V59" s="8"/>
    </row>
    <row r="60" spans="1:22" ht="15" customHeight="1" x14ac:dyDescent="0.3">
      <c r="A60" s="12" t="s">
        <v>70</v>
      </c>
      <c r="B60" s="8">
        <v>111.0067193899999</v>
      </c>
      <c r="C60" s="8">
        <v>66.214232879999997</v>
      </c>
      <c r="D60" s="8">
        <v>65.608770020000009</v>
      </c>
      <c r="E60" s="8">
        <f t="shared" si="33"/>
        <v>242.82972228999989</v>
      </c>
      <c r="F60" s="8">
        <v>123.12602502000001</v>
      </c>
      <c r="G60" s="8">
        <v>94.648993949999991</v>
      </c>
      <c r="H60" s="8">
        <v>92.843054109999997</v>
      </c>
      <c r="I60" s="8">
        <f t="shared" si="34"/>
        <v>310.61807308000004</v>
      </c>
      <c r="J60" s="8">
        <f t="shared" si="3"/>
        <v>553.44779536999999</v>
      </c>
      <c r="K60" s="8">
        <v>160.52950831999999</v>
      </c>
      <c r="L60" s="8">
        <v>125.77519403999999</v>
      </c>
      <c r="M60" s="8">
        <v>107.16682969</v>
      </c>
      <c r="N60" s="8">
        <f t="shared" si="35"/>
        <v>393.47153204999995</v>
      </c>
      <c r="O60" s="8">
        <v>123.36629264000001</v>
      </c>
      <c r="P60" s="8">
        <v>92.325058429999984</v>
      </c>
      <c r="Q60" s="8">
        <v>107.73937423000005</v>
      </c>
      <c r="R60" s="8">
        <f t="shared" si="36"/>
        <v>323.43072530000006</v>
      </c>
      <c r="S60" s="8">
        <f t="shared" si="6"/>
        <v>716.90225735000001</v>
      </c>
      <c r="T60" s="8">
        <f t="shared" si="37"/>
        <v>1270.3500527199999</v>
      </c>
      <c r="U60" s="8"/>
      <c r="V60" s="8"/>
    </row>
    <row r="61" spans="1:22" ht="18" customHeight="1" x14ac:dyDescent="0.3">
      <c r="A61" s="12" t="s">
        <v>71</v>
      </c>
      <c r="B61" s="8">
        <v>985.23765049999895</v>
      </c>
      <c r="C61" s="8">
        <v>423.51705083999985</v>
      </c>
      <c r="D61" s="8">
        <v>460.44125077999996</v>
      </c>
      <c r="E61" s="8">
        <f t="shared" si="33"/>
        <v>1869.1959521199988</v>
      </c>
      <c r="F61" s="8">
        <v>1189.7827712899993</v>
      </c>
      <c r="G61" s="8">
        <v>600.11228402999961</v>
      </c>
      <c r="H61" s="8">
        <v>460.18181589999989</v>
      </c>
      <c r="I61" s="8">
        <f t="shared" si="34"/>
        <v>2250.0768712199988</v>
      </c>
      <c r="J61" s="8">
        <f t="shared" si="3"/>
        <v>4119.2728233399976</v>
      </c>
      <c r="K61" s="8">
        <v>999.27698698000006</v>
      </c>
      <c r="L61" s="8">
        <v>672.89447376000055</v>
      </c>
      <c r="M61" s="8">
        <v>518.12005162000014</v>
      </c>
      <c r="N61" s="8">
        <f t="shared" si="35"/>
        <v>2190.2915123600005</v>
      </c>
      <c r="O61" s="8">
        <v>1097.2640417500002</v>
      </c>
      <c r="P61" s="8">
        <v>644.74163944999952</v>
      </c>
      <c r="Q61" s="8">
        <v>641.81714645</v>
      </c>
      <c r="R61" s="8">
        <f t="shared" si="36"/>
        <v>2383.8228276499999</v>
      </c>
      <c r="S61" s="8">
        <f t="shared" si="6"/>
        <v>4574.1143400100009</v>
      </c>
      <c r="T61" s="8">
        <f t="shared" si="37"/>
        <v>8693.3871633499984</v>
      </c>
      <c r="U61" s="8"/>
      <c r="V61" s="8"/>
    </row>
    <row r="62" spans="1:22" ht="18" customHeight="1" x14ac:dyDescent="0.3">
      <c r="A62" s="12" t="s">
        <v>72</v>
      </c>
      <c r="B62" s="8">
        <v>710.19096867999997</v>
      </c>
      <c r="C62" s="8">
        <v>375.92667641999998</v>
      </c>
      <c r="D62" s="8">
        <v>379.34937539000003</v>
      </c>
      <c r="E62" s="8">
        <f t="shared" si="33"/>
        <v>1465.4670204899999</v>
      </c>
      <c r="F62" s="8">
        <v>700.30753513999991</v>
      </c>
      <c r="G62" s="8">
        <v>410.75280079000021</v>
      </c>
      <c r="H62" s="8">
        <v>493.24581788999984</v>
      </c>
      <c r="I62" s="8">
        <f t="shared" si="34"/>
        <v>1604.30615382</v>
      </c>
      <c r="J62" s="8">
        <f t="shared" si="3"/>
        <v>3069.7731743099998</v>
      </c>
      <c r="K62" s="8">
        <v>686.48477685999978</v>
      </c>
      <c r="L62" s="8">
        <v>562.80505273000006</v>
      </c>
      <c r="M62" s="8">
        <v>466.3741725000001</v>
      </c>
      <c r="N62" s="8">
        <f t="shared" si="35"/>
        <v>1715.6640020899999</v>
      </c>
      <c r="O62" s="8">
        <v>706.66345369999988</v>
      </c>
      <c r="P62" s="8">
        <v>574.2646893399999</v>
      </c>
      <c r="Q62" s="8">
        <v>561.1963543600001</v>
      </c>
      <c r="R62" s="8">
        <f t="shared" si="36"/>
        <v>1842.1244973999997</v>
      </c>
      <c r="S62" s="8">
        <f t="shared" si="6"/>
        <v>3557.7884994899996</v>
      </c>
      <c r="T62" s="8">
        <f t="shared" si="37"/>
        <v>6627.561673799999</v>
      </c>
      <c r="U62" s="8"/>
      <c r="V62" s="8"/>
    </row>
    <row r="63" spans="1:22" s="10" customFormat="1" ht="15" customHeight="1" x14ac:dyDescent="0.3">
      <c r="A63" s="3"/>
      <c r="B63" s="11"/>
      <c r="C63" s="11"/>
      <c r="D63" s="11"/>
      <c r="E63" s="11"/>
      <c r="F63" s="11"/>
      <c r="G63" s="11"/>
      <c r="H63" s="11"/>
      <c r="I63" s="11"/>
      <c r="J63" s="11"/>
      <c r="K63" s="11"/>
      <c r="L63" s="11"/>
      <c r="M63" s="11"/>
      <c r="N63" s="11"/>
      <c r="O63" s="11"/>
      <c r="P63" s="11"/>
      <c r="Q63" s="11"/>
      <c r="R63" s="11"/>
      <c r="S63" s="11"/>
      <c r="T63" s="11"/>
      <c r="U63" s="11"/>
      <c r="V63" s="11"/>
    </row>
    <row r="64" spans="1:22" s="10" customFormat="1" ht="15" customHeight="1" x14ac:dyDescent="0.25">
      <c r="A64" s="10" t="s">
        <v>73</v>
      </c>
      <c r="B64" s="11">
        <f>SUM(B65:B69)</f>
        <v>1141.5852689199992</v>
      </c>
      <c r="C64" s="11">
        <f t="shared" ref="C64:Q64" si="38">SUM(C65:C69)</f>
        <v>556.95972550000033</v>
      </c>
      <c r="D64" s="11">
        <f t="shared" si="38"/>
        <v>551.63593939999976</v>
      </c>
      <c r="E64" s="11">
        <f t="shared" ref="E64:E69" si="39">SUM(B64:D64)</f>
        <v>2250.1809338199992</v>
      </c>
      <c r="F64" s="11">
        <f t="shared" si="38"/>
        <v>1321.4182165300001</v>
      </c>
      <c r="G64" s="11">
        <f t="shared" si="38"/>
        <v>849.40640715999973</v>
      </c>
      <c r="H64" s="11">
        <f t="shared" si="38"/>
        <v>779.2579647499997</v>
      </c>
      <c r="I64" s="11">
        <f t="shared" ref="I64:I69" si="40">SUM(F64:H64)</f>
        <v>2950.0825884399997</v>
      </c>
      <c r="J64" s="11">
        <f t="shared" si="3"/>
        <v>5200.2635222599984</v>
      </c>
      <c r="K64" s="11">
        <f t="shared" si="38"/>
        <v>1157.1468737600001</v>
      </c>
      <c r="L64" s="11">
        <f t="shared" si="38"/>
        <v>763.08336489999988</v>
      </c>
      <c r="M64" s="11">
        <f t="shared" si="38"/>
        <v>666.37082495999971</v>
      </c>
      <c r="N64" s="11">
        <f t="shared" ref="N64:N69" si="41">SUM(K64:M64)</f>
        <v>2586.6010636199999</v>
      </c>
      <c r="O64" s="11">
        <f t="shared" si="38"/>
        <v>1107.1764790799998</v>
      </c>
      <c r="P64" s="11">
        <f t="shared" si="38"/>
        <v>720.28673389999983</v>
      </c>
      <c r="Q64" s="11">
        <f t="shared" si="38"/>
        <v>705.89329072999999</v>
      </c>
      <c r="R64" s="11">
        <f t="shared" ref="R64:R69" si="42">SUM(O64:Q64)</f>
        <v>2533.3565037099997</v>
      </c>
      <c r="S64" s="11">
        <f t="shared" si="6"/>
        <v>5119.9575673299996</v>
      </c>
      <c r="T64" s="11">
        <f t="shared" ref="T64:T69" si="43">+J64+S64</f>
        <v>10320.221089589999</v>
      </c>
      <c r="U64" s="11"/>
      <c r="V64" s="11"/>
    </row>
    <row r="65" spans="1:22" ht="15" customHeight="1" x14ac:dyDescent="0.3">
      <c r="A65" s="12" t="s">
        <v>74</v>
      </c>
      <c r="B65" s="8">
        <v>75.835836640000025</v>
      </c>
      <c r="C65" s="8">
        <v>23.565166119999997</v>
      </c>
      <c r="D65" s="8">
        <v>30.542988709999999</v>
      </c>
      <c r="E65" s="8">
        <f t="shared" si="39"/>
        <v>129.94399147000001</v>
      </c>
      <c r="F65" s="8">
        <v>65.744787589999987</v>
      </c>
      <c r="G65" s="8">
        <v>60.686641950000002</v>
      </c>
      <c r="H65" s="8">
        <v>50.313382040000008</v>
      </c>
      <c r="I65" s="8">
        <f t="shared" si="40"/>
        <v>176.74481157999998</v>
      </c>
      <c r="J65" s="8">
        <f t="shared" si="3"/>
        <v>306.68880304999999</v>
      </c>
      <c r="K65" s="8">
        <v>54.343783260000002</v>
      </c>
      <c r="L65" s="8">
        <v>42.550735889999999</v>
      </c>
      <c r="M65" s="8">
        <v>38.382459949999998</v>
      </c>
      <c r="N65" s="8">
        <f t="shared" si="41"/>
        <v>135.27697910000001</v>
      </c>
      <c r="O65" s="8">
        <v>55.001603610000032</v>
      </c>
      <c r="P65" s="8">
        <v>48.820529560000018</v>
      </c>
      <c r="Q65" s="8">
        <v>82.661962229999986</v>
      </c>
      <c r="R65" s="8">
        <f t="shared" si="42"/>
        <v>186.48409540000006</v>
      </c>
      <c r="S65" s="8">
        <f t="shared" si="6"/>
        <v>321.76107450000006</v>
      </c>
      <c r="T65" s="8">
        <f t="shared" si="43"/>
        <v>628.44987755000011</v>
      </c>
      <c r="U65" s="8"/>
      <c r="V65" s="8"/>
    </row>
    <row r="66" spans="1:22" ht="15" customHeight="1" x14ac:dyDescent="0.3">
      <c r="A66" s="12" t="s">
        <v>75</v>
      </c>
      <c r="B66" s="8">
        <v>124.33765271999991</v>
      </c>
      <c r="C66" s="8">
        <v>56.160752980000005</v>
      </c>
      <c r="D66" s="8">
        <v>60.009405510000001</v>
      </c>
      <c r="E66" s="8">
        <f t="shared" si="39"/>
        <v>240.50781120999991</v>
      </c>
      <c r="F66" s="8">
        <v>139.35845194000001</v>
      </c>
      <c r="G66" s="8">
        <v>101.50127121999999</v>
      </c>
      <c r="H66" s="8">
        <v>77.244107959999994</v>
      </c>
      <c r="I66" s="8">
        <f t="shared" si="40"/>
        <v>318.10383112</v>
      </c>
      <c r="J66" s="8">
        <f t="shared" si="3"/>
        <v>558.61164232999988</v>
      </c>
      <c r="K66" s="8">
        <v>127.85927500999998</v>
      </c>
      <c r="L66" s="8">
        <v>91.292526129999999</v>
      </c>
      <c r="M66" s="8">
        <v>71.594855749999994</v>
      </c>
      <c r="N66" s="8">
        <f t="shared" si="41"/>
        <v>290.74665688999994</v>
      </c>
      <c r="O66" s="8">
        <v>119.02598389999993</v>
      </c>
      <c r="P66" s="8">
        <v>75.664875099999989</v>
      </c>
      <c r="Q66" s="8">
        <v>83.837173000000007</v>
      </c>
      <c r="R66" s="8">
        <f t="shared" si="42"/>
        <v>278.52803199999994</v>
      </c>
      <c r="S66" s="8">
        <f t="shared" si="6"/>
        <v>569.27468888999988</v>
      </c>
      <c r="T66" s="8">
        <f t="shared" si="43"/>
        <v>1127.8863312199996</v>
      </c>
      <c r="U66" s="8"/>
      <c r="V66" s="8"/>
    </row>
    <row r="67" spans="1:22" ht="15" customHeight="1" x14ac:dyDescent="0.3">
      <c r="A67" s="12" t="s">
        <v>76</v>
      </c>
      <c r="B67" s="8">
        <v>295.59818717999991</v>
      </c>
      <c r="C67" s="8">
        <v>128.88392591999985</v>
      </c>
      <c r="D67" s="8">
        <v>147.67389361999994</v>
      </c>
      <c r="E67" s="8">
        <f t="shared" si="39"/>
        <v>572.15600671999971</v>
      </c>
      <c r="F67" s="8">
        <v>373.35774119000013</v>
      </c>
      <c r="G67" s="8">
        <v>266.74002186999996</v>
      </c>
      <c r="H67" s="8">
        <v>199.88007214999988</v>
      </c>
      <c r="I67" s="8">
        <f t="shared" si="40"/>
        <v>839.97783520999997</v>
      </c>
      <c r="J67" s="8">
        <f t="shared" si="3"/>
        <v>1412.1338419299996</v>
      </c>
      <c r="K67" s="8">
        <v>314.10728296999997</v>
      </c>
      <c r="L67" s="8">
        <v>199.82128295999996</v>
      </c>
      <c r="M67" s="8">
        <v>167.03135201999996</v>
      </c>
      <c r="N67" s="8">
        <f t="shared" si="41"/>
        <v>680.95991794999986</v>
      </c>
      <c r="O67" s="8">
        <v>292.24147991999996</v>
      </c>
      <c r="P67" s="8">
        <v>208.84174746999997</v>
      </c>
      <c r="Q67" s="8">
        <v>171.35882530000012</v>
      </c>
      <c r="R67" s="8">
        <f t="shared" si="42"/>
        <v>672.44205269000008</v>
      </c>
      <c r="S67" s="8">
        <f t="shared" si="6"/>
        <v>1353.4019706399999</v>
      </c>
      <c r="T67" s="8">
        <f t="shared" si="43"/>
        <v>2765.5358125699995</v>
      </c>
      <c r="U67" s="8"/>
      <c r="V67" s="8"/>
    </row>
    <row r="68" spans="1:22" ht="15" customHeight="1" x14ac:dyDescent="0.3">
      <c r="A68" s="12" t="s">
        <v>77</v>
      </c>
      <c r="B68" s="8">
        <v>485.02107037999934</v>
      </c>
      <c r="C68" s="8">
        <v>315.4899823600004</v>
      </c>
      <c r="D68" s="8">
        <v>273.70085573999984</v>
      </c>
      <c r="E68" s="8">
        <f t="shared" si="39"/>
        <v>1074.2119084799997</v>
      </c>
      <c r="F68" s="8">
        <v>626.14151663999985</v>
      </c>
      <c r="G68" s="8">
        <v>374.93568139999985</v>
      </c>
      <c r="H68" s="8">
        <v>311.25294840999993</v>
      </c>
      <c r="I68" s="8">
        <f t="shared" si="40"/>
        <v>1312.3301464499996</v>
      </c>
      <c r="J68" s="8">
        <f t="shared" si="3"/>
        <v>2386.5420549299993</v>
      </c>
      <c r="K68" s="8">
        <v>530.31534973999999</v>
      </c>
      <c r="L68" s="8">
        <v>333.96156504999982</v>
      </c>
      <c r="M68" s="8">
        <v>294.62361295999983</v>
      </c>
      <c r="N68" s="8">
        <f t="shared" si="41"/>
        <v>1158.9005277499996</v>
      </c>
      <c r="O68" s="8">
        <v>471.39643842999976</v>
      </c>
      <c r="P68" s="8">
        <v>343.94412916999983</v>
      </c>
      <c r="Q68" s="8">
        <v>301.74376639999986</v>
      </c>
      <c r="R68" s="8">
        <f t="shared" si="42"/>
        <v>1117.0843339999994</v>
      </c>
      <c r="S68" s="8">
        <f t="shared" si="6"/>
        <v>2275.9848617499993</v>
      </c>
      <c r="T68" s="8">
        <f t="shared" si="43"/>
        <v>4662.526916679999</v>
      </c>
      <c r="U68" s="8"/>
      <c r="V68" s="8"/>
    </row>
    <row r="69" spans="1:22" ht="15" customHeight="1" x14ac:dyDescent="0.3">
      <c r="A69" s="12" t="s">
        <v>78</v>
      </c>
      <c r="B69" s="8">
        <v>160.79252199999999</v>
      </c>
      <c r="C69" s="8">
        <v>32.859898119999997</v>
      </c>
      <c r="D69" s="8">
        <v>39.708795819999992</v>
      </c>
      <c r="E69" s="8">
        <f t="shared" si="39"/>
        <v>233.36121593999997</v>
      </c>
      <c r="F69" s="8">
        <v>116.81571917000002</v>
      </c>
      <c r="G69" s="8">
        <v>45.542790719999999</v>
      </c>
      <c r="H69" s="8">
        <v>140.56745418999998</v>
      </c>
      <c r="I69" s="8">
        <f t="shared" si="40"/>
        <v>302.92596407999997</v>
      </c>
      <c r="J69" s="8">
        <f t="shared" si="3"/>
        <v>536.28718001999994</v>
      </c>
      <c r="K69" s="8">
        <v>130.52118278000003</v>
      </c>
      <c r="L69" s="8">
        <v>95.45725487</v>
      </c>
      <c r="M69" s="8">
        <v>94.738544279999985</v>
      </c>
      <c r="N69" s="8">
        <f t="shared" si="41"/>
        <v>320.71698193000003</v>
      </c>
      <c r="O69" s="8">
        <v>169.51097321999998</v>
      </c>
      <c r="P69" s="8">
        <v>43.015452600000003</v>
      </c>
      <c r="Q69" s="8">
        <v>66.291563799999992</v>
      </c>
      <c r="R69" s="8">
        <f t="shared" si="42"/>
        <v>278.81798961999999</v>
      </c>
      <c r="S69" s="8">
        <f t="shared" si="6"/>
        <v>599.53497155000002</v>
      </c>
      <c r="T69" s="8">
        <f t="shared" si="43"/>
        <v>1135.82215157</v>
      </c>
      <c r="U69" s="8"/>
      <c r="V69" s="8"/>
    </row>
    <row r="70" spans="1:22" s="10" customFormat="1" ht="15" customHeight="1" x14ac:dyDescent="0.3">
      <c r="A70" s="3"/>
      <c r="B70" s="11"/>
      <c r="C70" s="11"/>
      <c r="D70" s="11"/>
      <c r="E70" s="11"/>
      <c r="F70" s="11"/>
      <c r="G70" s="11"/>
      <c r="H70" s="11"/>
      <c r="I70" s="11"/>
      <c r="J70" s="11"/>
      <c r="K70" s="11"/>
      <c r="L70" s="11"/>
      <c r="M70" s="11"/>
      <c r="N70" s="11"/>
      <c r="O70" s="11"/>
      <c r="P70" s="11"/>
      <c r="Q70" s="11"/>
      <c r="R70" s="11"/>
      <c r="S70" s="11"/>
      <c r="T70" s="11"/>
      <c r="U70" s="11"/>
      <c r="V70" s="11"/>
    </row>
    <row r="71" spans="1:22" s="10" customFormat="1" ht="15" customHeight="1" x14ac:dyDescent="0.25">
      <c r="A71" s="10" t="s">
        <v>79</v>
      </c>
      <c r="B71" s="11">
        <f>SUM(B72:B77)</f>
        <v>2192.9351107300004</v>
      </c>
      <c r="C71" s="11">
        <f t="shared" ref="C71:Q71" si="44">SUM(C72:C77)</f>
        <v>869.51957621999975</v>
      </c>
      <c r="D71" s="11">
        <f t="shared" si="44"/>
        <v>1080.1217893099999</v>
      </c>
      <c r="E71" s="11">
        <f t="shared" ref="E71:E77" si="45">SUM(B71:D71)</f>
        <v>4142.5764762600002</v>
      </c>
      <c r="F71" s="11">
        <f t="shared" si="44"/>
        <v>2159.30031207</v>
      </c>
      <c r="G71" s="11">
        <f t="shared" si="44"/>
        <v>1359.6627918800002</v>
      </c>
      <c r="H71" s="11">
        <f t="shared" si="44"/>
        <v>1359.4742459299998</v>
      </c>
      <c r="I71" s="11">
        <f t="shared" ref="I71:I77" si="46">SUM(F71:H71)</f>
        <v>4878.4373498799996</v>
      </c>
      <c r="J71" s="11">
        <f t="shared" si="3"/>
        <v>9021.0138261399989</v>
      </c>
      <c r="K71" s="11">
        <f t="shared" si="44"/>
        <v>2044.1691012300003</v>
      </c>
      <c r="L71" s="11">
        <f t="shared" si="44"/>
        <v>1668.3231427999997</v>
      </c>
      <c r="M71" s="11">
        <f t="shared" si="44"/>
        <v>1505.1889394099999</v>
      </c>
      <c r="N71" s="11">
        <f t="shared" ref="N71:N77" si="47">SUM(K71:M71)</f>
        <v>5217.6811834399996</v>
      </c>
      <c r="O71" s="11">
        <f t="shared" si="44"/>
        <v>2224.7835791900002</v>
      </c>
      <c r="P71" s="11">
        <f t="shared" si="44"/>
        <v>1597.0126829199999</v>
      </c>
      <c r="Q71" s="11">
        <f t="shared" si="44"/>
        <v>2192.5038313900004</v>
      </c>
      <c r="R71" s="11">
        <f t="shared" ref="R71:R77" si="48">SUM(O71:Q71)</f>
        <v>6014.3000935</v>
      </c>
      <c r="S71" s="11">
        <f t="shared" si="6"/>
        <v>11231.98127694</v>
      </c>
      <c r="T71" s="11">
        <f t="shared" ref="T71:T77" si="49">+J71+S71</f>
        <v>20252.99510308</v>
      </c>
      <c r="U71" s="11"/>
      <c r="V71" s="11"/>
    </row>
    <row r="72" spans="1:22" ht="15" customHeight="1" x14ac:dyDescent="0.3">
      <c r="A72" s="12" t="s">
        <v>80</v>
      </c>
      <c r="B72" s="8">
        <v>657.59120787000018</v>
      </c>
      <c r="C72" s="8">
        <v>321.3846698399999</v>
      </c>
      <c r="D72" s="8">
        <v>313.35426124999998</v>
      </c>
      <c r="E72" s="8">
        <f t="shared" si="45"/>
        <v>1292.3301389600001</v>
      </c>
      <c r="F72" s="8">
        <v>708.53575464999994</v>
      </c>
      <c r="G72" s="8">
        <v>468.78425992999996</v>
      </c>
      <c r="H72" s="8">
        <v>477.65157868999995</v>
      </c>
      <c r="I72" s="8">
        <f t="shared" si="46"/>
        <v>1654.9715932699999</v>
      </c>
      <c r="J72" s="8">
        <f t="shared" ref="J72:J77" si="50">+E72+I72</f>
        <v>2947.3017322300002</v>
      </c>
      <c r="K72" s="8">
        <v>723.41495573999998</v>
      </c>
      <c r="L72" s="8">
        <v>717.83016417999988</v>
      </c>
      <c r="M72" s="8">
        <v>499.95131769</v>
      </c>
      <c r="N72" s="8">
        <f t="shared" si="47"/>
        <v>1941.19643761</v>
      </c>
      <c r="O72" s="8">
        <v>901.92918288999988</v>
      </c>
      <c r="P72" s="8">
        <v>618.8659031799998</v>
      </c>
      <c r="Q72" s="8">
        <v>1071.2829961700002</v>
      </c>
      <c r="R72" s="8">
        <f t="shared" si="48"/>
        <v>2592.0780822400002</v>
      </c>
      <c r="S72" s="8">
        <f t="shared" ref="S72:S77" si="51">+N72+R72</f>
        <v>4533.2745198499997</v>
      </c>
      <c r="T72" s="8">
        <f t="shared" si="49"/>
        <v>7480.5762520799999</v>
      </c>
      <c r="U72" s="8"/>
      <c r="V72" s="8"/>
    </row>
    <row r="73" spans="1:22" ht="15" customHeight="1" x14ac:dyDescent="0.3">
      <c r="A73" s="12" t="s">
        <v>81</v>
      </c>
      <c r="B73" s="8">
        <v>159.63651770999985</v>
      </c>
      <c r="C73" s="8">
        <v>80.413490980000049</v>
      </c>
      <c r="D73" s="8">
        <v>76.128032140000002</v>
      </c>
      <c r="E73" s="8">
        <f t="shared" si="45"/>
        <v>316.17804082999993</v>
      </c>
      <c r="F73" s="8">
        <v>156.39743904999997</v>
      </c>
      <c r="G73" s="8">
        <v>119.47302502999999</v>
      </c>
      <c r="H73" s="8">
        <v>85.899002619999976</v>
      </c>
      <c r="I73" s="8">
        <f t="shared" si="46"/>
        <v>361.76946669999995</v>
      </c>
      <c r="J73" s="8">
        <f t="shared" si="50"/>
        <v>677.94750752999994</v>
      </c>
      <c r="K73" s="8">
        <v>154.62454178999999</v>
      </c>
      <c r="L73" s="8">
        <v>107.02741437</v>
      </c>
      <c r="M73" s="8">
        <v>130.40174503999998</v>
      </c>
      <c r="N73" s="8">
        <f t="shared" si="47"/>
        <v>392.05370119999998</v>
      </c>
      <c r="O73" s="8">
        <v>146.11736419000005</v>
      </c>
      <c r="P73" s="8">
        <v>136.18230367000001</v>
      </c>
      <c r="Q73" s="8">
        <v>148.58741805000003</v>
      </c>
      <c r="R73" s="8">
        <f t="shared" si="48"/>
        <v>430.88708591000011</v>
      </c>
      <c r="S73" s="8">
        <f t="shared" si="51"/>
        <v>822.94078711000009</v>
      </c>
      <c r="T73" s="8">
        <f t="shared" si="49"/>
        <v>1500.8882946399999</v>
      </c>
      <c r="U73" s="8"/>
      <c r="V73" s="8"/>
    </row>
    <row r="74" spans="1:22" ht="15" customHeight="1" x14ac:dyDescent="0.3">
      <c r="A74" s="12" t="s">
        <v>82</v>
      </c>
      <c r="B74" s="8">
        <v>828.17313355000056</v>
      </c>
      <c r="C74" s="8">
        <v>270.84111804999986</v>
      </c>
      <c r="D74" s="8">
        <v>408.5385671599999</v>
      </c>
      <c r="E74" s="8">
        <f t="shared" si="45"/>
        <v>1507.5528187600005</v>
      </c>
      <c r="F74" s="8">
        <v>826.21579320000001</v>
      </c>
      <c r="G74" s="8">
        <v>437.27228112000012</v>
      </c>
      <c r="H74" s="8">
        <v>478.51962601000002</v>
      </c>
      <c r="I74" s="8">
        <f t="shared" si="46"/>
        <v>1742.0077003300003</v>
      </c>
      <c r="J74" s="8">
        <f t="shared" si="50"/>
        <v>3249.5605190900005</v>
      </c>
      <c r="K74" s="8">
        <v>660.61757771000021</v>
      </c>
      <c r="L74" s="8">
        <v>516.83351932000005</v>
      </c>
      <c r="M74" s="8">
        <v>514.5753322600001</v>
      </c>
      <c r="N74" s="8">
        <f t="shared" si="47"/>
        <v>1692.0264292900004</v>
      </c>
      <c r="O74" s="8">
        <v>649.78557689000013</v>
      </c>
      <c r="P74" s="8">
        <v>498.77883421999985</v>
      </c>
      <c r="Q74" s="8">
        <v>439.27608533000006</v>
      </c>
      <c r="R74" s="8">
        <f t="shared" si="48"/>
        <v>1587.8404964400002</v>
      </c>
      <c r="S74" s="8">
        <f t="shared" si="51"/>
        <v>3279.8669257300007</v>
      </c>
      <c r="T74" s="8">
        <f t="shared" si="49"/>
        <v>6529.4274448200013</v>
      </c>
      <c r="U74" s="8"/>
      <c r="V74" s="8"/>
    </row>
    <row r="75" spans="1:22" ht="15" customHeight="1" x14ac:dyDescent="0.3">
      <c r="A75" s="12" t="s">
        <v>83</v>
      </c>
      <c r="B75" s="8">
        <v>113.20851257000002</v>
      </c>
      <c r="C75" s="8">
        <v>40.127473359999996</v>
      </c>
      <c r="D75" s="8">
        <v>67.58133522</v>
      </c>
      <c r="E75" s="8">
        <f t="shared" si="45"/>
        <v>220.91732115000002</v>
      </c>
      <c r="F75" s="8">
        <v>114.95716987000002</v>
      </c>
      <c r="G75" s="8">
        <v>73.529622109999991</v>
      </c>
      <c r="H75" s="8">
        <v>58.753853239999984</v>
      </c>
      <c r="I75" s="8">
        <f t="shared" si="46"/>
        <v>247.24064522</v>
      </c>
      <c r="J75" s="8">
        <f t="shared" si="50"/>
        <v>468.15796637000005</v>
      </c>
      <c r="K75" s="8">
        <v>114.87330856999998</v>
      </c>
      <c r="L75" s="8">
        <v>80.849569599999995</v>
      </c>
      <c r="M75" s="8">
        <v>74.00427959000001</v>
      </c>
      <c r="N75" s="8">
        <f t="shared" si="47"/>
        <v>269.72715775999995</v>
      </c>
      <c r="O75" s="8">
        <v>109.61490836000007</v>
      </c>
      <c r="P75" s="8">
        <v>73.868601869999992</v>
      </c>
      <c r="Q75" s="8">
        <v>80.288762140000003</v>
      </c>
      <c r="R75" s="8">
        <f t="shared" si="48"/>
        <v>263.77227237000005</v>
      </c>
      <c r="S75" s="8">
        <f t="shared" si="51"/>
        <v>533.49943013000006</v>
      </c>
      <c r="T75" s="8">
        <f t="shared" si="49"/>
        <v>1001.6573965000001</v>
      </c>
      <c r="U75" s="8"/>
      <c r="V75" s="8"/>
    </row>
    <row r="76" spans="1:22" ht="15" customHeight="1" x14ac:dyDescent="0.3">
      <c r="A76" s="12" t="s">
        <v>84</v>
      </c>
      <c r="B76" s="8">
        <v>247.20678337999993</v>
      </c>
      <c r="C76" s="8">
        <v>70.521952870000007</v>
      </c>
      <c r="D76" s="8">
        <v>97.549124720000023</v>
      </c>
      <c r="E76" s="8">
        <f t="shared" si="45"/>
        <v>415.27786096999995</v>
      </c>
      <c r="F76" s="8">
        <v>144.95563996000001</v>
      </c>
      <c r="G76" s="8">
        <v>85.382943150000003</v>
      </c>
      <c r="H76" s="8">
        <v>105.30195964000002</v>
      </c>
      <c r="I76" s="8">
        <f t="shared" si="46"/>
        <v>335.64054275000001</v>
      </c>
      <c r="J76" s="8">
        <f t="shared" si="50"/>
        <v>750.91840372000001</v>
      </c>
      <c r="K76" s="8">
        <v>168.40086247999997</v>
      </c>
      <c r="L76" s="8">
        <v>89.260209499999988</v>
      </c>
      <c r="M76" s="8">
        <v>93.20031041</v>
      </c>
      <c r="N76" s="8">
        <f t="shared" si="47"/>
        <v>350.86138238999996</v>
      </c>
      <c r="O76" s="8">
        <v>146.27209820000002</v>
      </c>
      <c r="P76" s="8">
        <v>109.84166294999999</v>
      </c>
      <c r="Q76" s="8">
        <v>146.59841335000002</v>
      </c>
      <c r="R76" s="8">
        <f t="shared" si="48"/>
        <v>402.71217450000006</v>
      </c>
      <c r="S76" s="8">
        <f t="shared" si="51"/>
        <v>753.57355688999996</v>
      </c>
      <c r="T76" s="8">
        <f t="shared" si="49"/>
        <v>1504.49196061</v>
      </c>
      <c r="U76" s="8"/>
      <c r="V76" s="8"/>
    </row>
    <row r="77" spans="1:22" ht="15" customHeight="1" x14ac:dyDescent="0.3">
      <c r="A77" s="12" t="s">
        <v>85</v>
      </c>
      <c r="B77" s="8">
        <v>187.11895564999986</v>
      </c>
      <c r="C77" s="8">
        <v>86.230871120000003</v>
      </c>
      <c r="D77" s="8">
        <v>116.97046882000001</v>
      </c>
      <c r="E77" s="8">
        <f t="shared" si="45"/>
        <v>390.32029558999989</v>
      </c>
      <c r="F77" s="8">
        <v>208.23851533999996</v>
      </c>
      <c r="G77" s="8">
        <v>175.22066053999998</v>
      </c>
      <c r="H77" s="8">
        <v>153.34822573</v>
      </c>
      <c r="I77" s="8">
        <f t="shared" si="46"/>
        <v>536.80740160999994</v>
      </c>
      <c r="J77" s="8">
        <f t="shared" si="50"/>
        <v>927.12769719999983</v>
      </c>
      <c r="K77" s="8">
        <v>222.23785493999998</v>
      </c>
      <c r="L77" s="8">
        <v>156.52226583000001</v>
      </c>
      <c r="M77" s="8">
        <v>193.05595441999995</v>
      </c>
      <c r="N77" s="8">
        <f t="shared" si="47"/>
        <v>571.81607518999988</v>
      </c>
      <c r="O77" s="8">
        <v>271.0644486600001</v>
      </c>
      <c r="P77" s="8">
        <v>159.47537703000006</v>
      </c>
      <c r="Q77" s="8">
        <v>306.47015635000002</v>
      </c>
      <c r="R77" s="8">
        <f t="shared" si="48"/>
        <v>737.00998204000018</v>
      </c>
      <c r="S77" s="8">
        <f t="shared" si="51"/>
        <v>1308.8260572300001</v>
      </c>
      <c r="T77" s="8">
        <f t="shared" si="49"/>
        <v>2235.9537544300001</v>
      </c>
      <c r="U77" s="8"/>
      <c r="V77" s="8"/>
    </row>
    <row r="78" spans="1:22" s="10" customFormat="1" ht="15" customHeight="1" x14ac:dyDescent="0.3">
      <c r="A78" s="3"/>
      <c r="B78" s="11"/>
      <c r="C78" s="11"/>
      <c r="D78" s="11"/>
      <c r="E78" s="11"/>
      <c r="F78" s="11"/>
      <c r="G78" s="11"/>
      <c r="H78" s="11"/>
      <c r="I78" s="11"/>
      <c r="J78" s="11"/>
      <c r="K78" s="11"/>
      <c r="L78" s="11"/>
      <c r="M78" s="11"/>
      <c r="N78" s="11"/>
      <c r="O78" s="11"/>
      <c r="P78" s="11"/>
      <c r="Q78" s="11"/>
      <c r="R78" s="11"/>
      <c r="S78" s="11"/>
      <c r="T78" s="11"/>
      <c r="U78" s="11"/>
      <c r="V78" s="11"/>
    </row>
    <row r="79" spans="1:22" s="10" customFormat="1" ht="15" customHeight="1" x14ac:dyDescent="0.25">
      <c r="A79" s="10" t="s">
        <v>86</v>
      </c>
      <c r="B79" s="11">
        <f>SUM(B80:B84)</f>
        <v>1800.4582374800013</v>
      </c>
      <c r="C79" s="11">
        <f t="shared" ref="C79:Q79" si="52">SUM(C80:C84)</f>
        <v>845.70877761999941</v>
      </c>
      <c r="D79" s="11">
        <f t="shared" si="52"/>
        <v>1043.5344092399996</v>
      </c>
      <c r="E79" s="11">
        <f t="shared" ref="E79:E84" si="53">SUM(B79:D79)</f>
        <v>3689.7014243400004</v>
      </c>
      <c r="F79" s="11">
        <f t="shared" si="52"/>
        <v>2144.1843121300008</v>
      </c>
      <c r="G79" s="11">
        <f t="shared" si="52"/>
        <v>1397.2817416399987</v>
      </c>
      <c r="H79" s="11">
        <f t="shared" si="52"/>
        <v>1358.1008383599988</v>
      </c>
      <c r="I79" s="11">
        <f t="shared" ref="I79:I84" si="54">SUM(F79:H79)</f>
        <v>4899.5668921299985</v>
      </c>
      <c r="J79" s="11">
        <f t="shared" ref="J79:J84" si="55">+E79+I79</f>
        <v>8589.2683164699993</v>
      </c>
      <c r="K79" s="11">
        <f t="shared" si="52"/>
        <v>2004.5728141300001</v>
      </c>
      <c r="L79" s="11">
        <f t="shared" si="52"/>
        <v>1403.7700693900001</v>
      </c>
      <c r="M79" s="11">
        <f t="shared" si="52"/>
        <v>1342.4853011500004</v>
      </c>
      <c r="N79" s="11">
        <f t="shared" ref="N79:N84" si="56">SUM(K79:M79)</f>
        <v>4750.8281846700011</v>
      </c>
      <c r="O79" s="11">
        <f t="shared" si="52"/>
        <v>2032.0004412900003</v>
      </c>
      <c r="P79" s="11">
        <f t="shared" si="52"/>
        <v>1384.6927226400003</v>
      </c>
      <c r="Q79" s="11">
        <f t="shared" si="52"/>
        <v>1560.3241404400001</v>
      </c>
      <c r="R79" s="11">
        <f t="shared" ref="R79:R84" si="57">SUM(O79:Q79)</f>
        <v>4977.0173043700006</v>
      </c>
      <c r="S79" s="11">
        <f t="shared" ref="S79:S84" si="58">+N79+R79</f>
        <v>9727.8454890400026</v>
      </c>
      <c r="T79" s="11">
        <f t="shared" ref="T79:T84" si="59">+J79+S79</f>
        <v>18317.113805510002</v>
      </c>
      <c r="U79" s="11"/>
      <c r="V79" s="11"/>
    </row>
    <row r="80" spans="1:22" ht="15" customHeight="1" x14ac:dyDescent="0.3">
      <c r="A80" s="12" t="s">
        <v>87</v>
      </c>
      <c r="B80" s="8">
        <v>295.08323432000026</v>
      </c>
      <c r="C80" s="8">
        <v>114.21918660999992</v>
      </c>
      <c r="D80" s="8">
        <v>120.17678241</v>
      </c>
      <c r="E80" s="8">
        <f t="shared" si="53"/>
        <v>529.47920334000014</v>
      </c>
      <c r="F80" s="8">
        <v>308.02805443</v>
      </c>
      <c r="G80" s="8">
        <v>205.17747306000004</v>
      </c>
      <c r="H80" s="8">
        <v>184.23187877000001</v>
      </c>
      <c r="I80" s="8">
        <f t="shared" si="54"/>
        <v>697.43740625999999</v>
      </c>
      <c r="J80" s="8">
        <f t="shared" si="55"/>
        <v>1226.9166096000001</v>
      </c>
      <c r="K80" s="8">
        <v>295.28034853999992</v>
      </c>
      <c r="L80" s="8">
        <v>214.54914623000002</v>
      </c>
      <c r="M80" s="8">
        <v>209.50328987000006</v>
      </c>
      <c r="N80" s="8">
        <f t="shared" si="56"/>
        <v>719.33278464</v>
      </c>
      <c r="O80" s="8">
        <v>301.05859970000006</v>
      </c>
      <c r="P80" s="8">
        <v>189.12594340000007</v>
      </c>
      <c r="Q80" s="8">
        <v>231.80279113</v>
      </c>
      <c r="R80" s="8">
        <f t="shared" si="57"/>
        <v>721.98733423000022</v>
      </c>
      <c r="S80" s="8">
        <f t="shared" si="58"/>
        <v>1441.3201188700002</v>
      </c>
      <c r="T80" s="8">
        <f t="shared" si="59"/>
        <v>2668.2367284700003</v>
      </c>
      <c r="U80" s="8"/>
      <c r="V80" s="8"/>
    </row>
    <row r="81" spans="1:22" ht="15" customHeight="1" x14ac:dyDescent="0.3">
      <c r="A81" s="12" t="s">
        <v>88</v>
      </c>
      <c r="B81" s="8">
        <v>112.10820037000002</v>
      </c>
      <c r="C81" s="8">
        <v>58.560542969999986</v>
      </c>
      <c r="D81" s="8">
        <v>88.092363679999991</v>
      </c>
      <c r="E81" s="8">
        <f t="shared" si="53"/>
        <v>258.76110702</v>
      </c>
      <c r="F81" s="8">
        <v>136.53980157999999</v>
      </c>
      <c r="G81" s="8">
        <v>81.907355449999997</v>
      </c>
      <c r="H81" s="8">
        <v>105.18112202</v>
      </c>
      <c r="I81" s="8">
        <f t="shared" si="54"/>
        <v>323.62827904999995</v>
      </c>
      <c r="J81" s="8">
        <f t="shared" si="55"/>
        <v>582.38938607</v>
      </c>
      <c r="K81" s="8">
        <v>114.22624078</v>
      </c>
      <c r="L81" s="8">
        <v>89.241753220000035</v>
      </c>
      <c r="M81" s="8">
        <v>109.18151871000001</v>
      </c>
      <c r="N81" s="8">
        <f t="shared" si="56"/>
        <v>312.64951271000007</v>
      </c>
      <c r="O81" s="8">
        <v>138.58487826999999</v>
      </c>
      <c r="P81" s="8">
        <v>126.03438661999998</v>
      </c>
      <c r="Q81" s="8">
        <v>100.36188647</v>
      </c>
      <c r="R81" s="8">
        <f t="shared" si="57"/>
        <v>364.98115135999996</v>
      </c>
      <c r="S81" s="8">
        <f t="shared" si="58"/>
        <v>677.63066406999997</v>
      </c>
      <c r="T81" s="8">
        <f t="shared" si="59"/>
        <v>1260.02005014</v>
      </c>
      <c r="U81" s="8"/>
      <c r="V81" s="8"/>
    </row>
    <row r="82" spans="1:22" ht="15" customHeight="1" x14ac:dyDescent="0.3">
      <c r="A82" s="12" t="s">
        <v>89</v>
      </c>
      <c r="B82" s="8">
        <v>218.07584811000018</v>
      </c>
      <c r="C82" s="8">
        <v>93.666086739999997</v>
      </c>
      <c r="D82" s="8">
        <v>112.03305016999998</v>
      </c>
      <c r="E82" s="8">
        <f t="shared" si="53"/>
        <v>423.77498502000014</v>
      </c>
      <c r="F82" s="8">
        <v>227.72290999000001</v>
      </c>
      <c r="G82" s="8">
        <v>142.71931064999998</v>
      </c>
      <c r="H82" s="8">
        <v>143.88760996999997</v>
      </c>
      <c r="I82" s="8">
        <f t="shared" si="54"/>
        <v>514.32983060999993</v>
      </c>
      <c r="J82" s="8">
        <f t="shared" si="55"/>
        <v>938.10481563000008</v>
      </c>
      <c r="K82" s="8">
        <v>203.82356280999991</v>
      </c>
      <c r="L82" s="8">
        <v>124.27776944999998</v>
      </c>
      <c r="M82" s="8">
        <v>169.90039358000004</v>
      </c>
      <c r="N82" s="8">
        <f t="shared" si="56"/>
        <v>498.00172583999995</v>
      </c>
      <c r="O82" s="8">
        <v>183.23261799999989</v>
      </c>
      <c r="P82" s="8">
        <v>138.07565781</v>
      </c>
      <c r="Q82" s="8">
        <v>167.28745185</v>
      </c>
      <c r="R82" s="8">
        <f t="shared" si="57"/>
        <v>488.59572765999985</v>
      </c>
      <c r="S82" s="8">
        <f t="shared" si="58"/>
        <v>986.5974534999998</v>
      </c>
      <c r="T82" s="8">
        <f t="shared" si="59"/>
        <v>1924.7022691299999</v>
      </c>
      <c r="U82" s="8"/>
      <c r="V82" s="8"/>
    </row>
    <row r="83" spans="1:22" ht="15" customHeight="1" x14ac:dyDescent="0.3">
      <c r="A83" s="12" t="s">
        <v>90</v>
      </c>
      <c r="B83" s="8">
        <v>193.7988162499999</v>
      </c>
      <c r="C83" s="8">
        <v>103.31747474999999</v>
      </c>
      <c r="D83" s="8">
        <v>126.61567645</v>
      </c>
      <c r="E83" s="8">
        <f t="shared" si="53"/>
        <v>423.73196744999984</v>
      </c>
      <c r="F83" s="8">
        <v>242.66223844000001</v>
      </c>
      <c r="G83" s="8">
        <v>141.89853830000001</v>
      </c>
      <c r="H83" s="8">
        <v>200.58658543000001</v>
      </c>
      <c r="I83" s="8">
        <f t="shared" si="54"/>
        <v>585.14736217000006</v>
      </c>
      <c r="J83" s="8">
        <f t="shared" si="55"/>
        <v>1008.8793296199999</v>
      </c>
      <c r="K83" s="8">
        <v>227.30255820000002</v>
      </c>
      <c r="L83" s="8">
        <v>160.92545987</v>
      </c>
      <c r="M83" s="8">
        <v>144.17141599000001</v>
      </c>
      <c r="N83" s="8">
        <f t="shared" si="56"/>
        <v>532.39943405999998</v>
      </c>
      <c r="O83" s="8">
        <v>208.47578002000003</v>
      </c>
      <c r="P83" s="8">
        <v>127.33391717000002</v>
      </c>
      <c r="Q83" s="8">
        <v>187.94002621000001</v>
      </c>
      <c r="R83" s="8">
        <f t="shared" si="57"/>
        <v>523.74972340000011</v>
      </c>
      <c r="S83" s="8">
        <f t="shared" si="58"/>
        <v>1056.14915746</v>
      </c>
      <c r="T83" s="8">
        <f t="shared" si="59"/>
        <v>2065.0284870799996</v>
      </c>
      <c r="U83" s="8"/>
      <c r="V83" s="8"/>
    </row>
    <row r="84" spans="1:22" ht="18" customHeight="1" x14ac:dyDescent="0.3">
      <c r="A84" s="12" t="s">
        <v>91</v>
      </c>
      <c r="B84" s="8">
        <v>981.39213843000107</v>
      </c>
      <c r="C84" s="8">
        <v>475.94548654999949</v>
      </c>
      <c r="D84" s="8">
        <v>596.61653652999973</v>
      </c>
      <c r="E84" s="8">
        <f t="shared" si="53"/>
        <v>2053.9541615100002</v>
      </c>
      <c r="F84" s="8">
        <v>1229.2313076900004</v>
      </c>
      <c r="G84" s="8">
        <v>825.57906417999868</v>
      </c>
      <c r="H84" s="8">
        <v>724.21364216999893</v>
      </c>
      <c r="I84" s="8">
        <f t="shared" si="54"/>
        <v>2779.0240140399978</v>
      </c>
      <c r="J84" s="8">
        <f t="shared" si="55"/>
        <v>4832.978175549998</v>
      </c>
      <c r="K84" s="8">
        <v>1163.9401038000001</v>
      </c>
      <c r="L84" s="8">
        <v>814.77594062000014</v>
      </c>
      <c r="M84" s="8">
        <v>709.72868300000039</v>
      </c>
      <c r="N84" s="8">
        <f t="shared" si="56"/>
        <v>2688.4447274200006</v>
      </c>
      <c r="O84" s="8">
        <v>1200.6485653000004</v>
      </c>
      <c r="P84" s="8">
        <v>804.12281764000011</v>
      </c>
      <c r="Q84" s="8">
        <v>872.93198477999999</v>
      </c>
      <c r="R84" s="8">
        <f t="shared" si="57"/>
        <v>2877.7033677200006</v>
      </c>
      <c r="S84" s="8">
        <f t="shared" si="58"/>
        <v>5566.1480951400008</v>
      </c>
      <c r="T84" s="8">
        <f t="shared" si="59"/>
        <v>10399.126270689998</v>
      </c>
      <c r="U84" s="8"/>
      <c r="V84" s="8"/>
    </row>
    <row r="85" spans="1:22" s="10" customFormat="1" ht="15" customHeight="1" x14ac:dyDescent="0.3">
      <c r="A85" s="3"/>
      <c r="B85" s="11"/>
      <c r="C85" s="11"/>
      <c r="D85" s="11"/>
      <c r="E85" s="11"/>
      <c r="F85" s="11"/>
      <c r="G85" s="11"/>
      <c r="H85" s="11"/>
      <c r="I85" s="11"/>
      <c r="J85" s="11"/>
      <c r="K85" s="11"/>
      <c r="L85" s="11"/>
      <c r="M85" s="11"/>
      <c r="N85" s="11"/>
      <c r="O85" s="11"/>
      <c r="P85" s="11"/>
      <c r="Q85" s="11"/>
      <c r="R85" s="11"/>
      <c r="S85" s="11"/>
      <c r="T85" s="11"/>
      <c r="U85" s="11"/>
      <c r="V85" s="11"/>
    </row>
    <row r="86" spans="1:22" s="10" customFormat="1" ht="15" customHeight="1" x14ac:dyDescent="0.25">
      <c r="A86" s="10" t="s">
        <v>92</v>
      </c>
      <c r="B86" s="11">
        <f>SUM(B87:B88)</f>
        <v>1672.8228162900009</v>
      </c>
      <c r="C86" s="11">
        <f t="shared" ref="C86:Q86" si="60">SUM(C87:C88)</f>
        <v>805.10429728999975</v>
      </c>
      <c r="D86" s="11">
        <f t="shared" si="60"/>
        <v>935.28271983000025</v>
      </c>
      <c r="E86" s="11">
        <f t="shared" ref="E86:E88" si="61">SUM(B86:D86)</f>
        <v>3413.209833410001</v>
      </c>
      <c r="F86" s="11">
        <f t="shared" si="60"/>
        <v>2002.6554134</v>
      </c>
      <c r="G86" s="11">
        <f t="shared" si="60"/>
        <v>1221.1471415200001</v>
      </c>
      <c r="H86" s="11">
        <f t="shared" si="60"/>
        <v>1123.9461900199999</v>
      </c>
      <c r="I86" s="11">
        <f t="shared" ref="I86:I88" si="62">SUM(F86:H86)</f>
        <v>4347.7487449399996</v>
      </c>
      <c r="J86" s="11">
        <f t="shared" ref="J86:J88" si="63">+E86+I86</f>
        <v>7760.9585783500006</v>
      </c>
      <c r="K86" s="11">
        <f t="shared" si="60"/>
        <v>1632.9767564599997</v>
      </c>
      <c r="L86" s="11">
        <f t="shared" si="60"/>
        <v>1206.1214913899994</v>
      </c>
      <c r="M86" s="11">
        <f t="shared" si="60"/>
        <v>1361.4051920500001</v>
      </c>
      <c r="N86" s="11">
        <f t="shared" ref="N86:N88" si="64">SUM(K86:M86)</f>
        <v>4200.5034398999996</v>
      </c>
      <c r="O86" s="11">
        <f t="shared" si="60"/>
        <v>2124.2235320200007</v>
      </c>
      <c r="P86" s="11">
        <f t="shared" si="60"/>
        <v>1178.0405195100002</v>
      </c>
      <c r="Q86" s="11">
        <f t="shared" si="60"/>
        <v>1043.8417387300001</v>
      </c>
      <c r="R86" s="11">
        <f t="shared" ref="R86:R88" si="65">SUM(O86:Q86)</f>
        <v>4346.1057902600005</v>
      </c>
      <c r="S86" s="11">
        <f t="shared" ref="S86:S88" si="66">+N86+R86</f>
        <v>8546.6092301600002</v>
      </c>
      <c r="T86" s="11">
        <f t="shared" ref="T86:T88" si="67">+J86+S86</f>
        <v>16307.567808510001</v>
      </c>
      <c r="U86" s="11"/>
      <c r="V86" s="11"/>
    </row>
    <row r="87" spans="1:22" ht="15" customHeight="1" x14ac:dyDescent="0.3">
      <c r="A87" s="12" t="s">
        <v>93</v>
      </c>
      <c r="B87" s="8">
        <v>1213.0591668100005</v>
      </c>
      <c r="C87" s="8">
        <v>557.92052244999979</v>
      </c>
      <c r="D87" s="8">
        <v>649.0685425500003</v>
      </c>
      <c r="E87" s="8">
        <f t="shared" si="61"/>
        <v>2420.0482318100003</v>
      </c>
      <c r="F87" s="8">
        <v>1452.43819067</v>
      </c>
      <c r="G87" s="8">
        <v>882.78297608000003</v>
      </c>
      <c r="H87" s="8">
        <v>748.95115827999996</v>
      </c>
      <c r="I87" s="8">
        <f t="shared" si="62"/>
        <v>3084.1723250300001</v>
      </c>
      <c r="J87" s="8">
        <f t="shared" si="63"/>
        <v>5504.2205568400004</v>
      </c>
      <c r="K87" s="8">
        <v>1205.0237977799998</v>
      </c>
      <c r="L87" s="8">
        <v>845.31442737999953</v>
      </c>
      <c r="M87" s="8">
        <v>1091.0910487200001</v>
      </c>
      <c r="N87" s="8">
        <f t="shared" si="64"/>
        <v>3141.4292738799995</v>
      </c>
      <c r="O87" s="8">
        <v>1600.5454896400006</v>
      </c>
      <c r="P87" s="8">
        <v>869.79694626000014</v>
      </c>
      <c r="Q87" s="8">
        <v>677.37918241000011</v>
      </c>
      <c r="R87" s="8">
        <f t="shared" si="65"/>
        <v>3147.7216183100008</v>
      </c>
      <c r="S87" s="8">
        <f t="shared" si="66"/>
        <v>6289.1508921900004</v>
      </c>
      <c r="T87" s="8">
        <f t="shared" si="67"/>
        <v>11793.371449030001</v>
      </c>
      <c r="U87" s="8"/>
      <c r="V87" s="8"/>
    </row>
    <row r="88" spans="1:22" ht="15" customHeight="1" x14ac:dyDescent="0.3">
      <c r="A88" s="12" t="s">
        <v>94</v>
      </c>
      <c r="B88" s="8">
        <v>459.76364948000031</v>
      </c>
      <c r="C88" s="8">
        <v>247.18377483999998</v>
      </c>
      <c r="D88" s="8">
        <v>286.21417727999994</v>
      </c>
      <c r="E88" s="8">
        <f t="shared" si="61"/>
        <v>993.16160160000027</v>
      </c>
      <c r="F88" s="8">
        <v>550.21722273</v>
      </c>
      <c r="G88" s="8">
        <v>338.36416544000014</v>
      </c>
      <c r="H88" s="8">
        <v>374.99503174000006</v>
      </c>
      <c r="I88" s="8">
        <f t="shared" si="62"/>
        <v>1263.5764199100001</v>
      </c>
      <c r="J88" s="8">
        <f t="shared" si="63"/>
        <v>2256.7380215100002</v>
      </c>
      <c r="K88" s="8">
        <v>427.95295867999994</v>
      </c>
      <c r="L88" s="8">
        <v>360.80706400999992</v>
      </c>
      <c r="M88" s="8">
        <v>270.31414333000009</v>
      </c>
      <c r="N88" s="8">
        <f t="shared" si="64"/>
        <v>1059.0741660200001</v>
      </c>
      <c r="O88" s="8">
        <v>523.67804238000019</v>
      </c>
      <c r="P88" s="8">
        <v>308.24357325000005</v>
      </c>
      <c r="Q88" s="8">
        <v>366.46255632000003</v>
      </c>
      <c r="R88" s="8">
        <f t="shared" si="65"/>
        <v>1198.3841719500003</v>
      </c>
      <c r="S88" s="8">
        <f t="shared" si="66"/>
        <v>2257.4583379700007</v>
      </c>
      <c r="T88" s="8">
        <f t="shared" si="67"/>
        <v>4514.1963594800009</v>
      </c>
      <c r="U88" s="8"/>
      <c r="V88" s="8"/>
    </row>
    <row r="89" spans="1:22" s="10" customFormat="1" ht="15" customHeight="1" x14ac:dyDescent="0.3">
      <c r="A89" s="3"/>
      <c r="B89" s="11"/>
      <c r="C89" s="11"/>
      <c r="D89" s="11"/>
      <c r="E89" s="11"/>
      <c r="F89" s="11"/>
      <c r="G89" s="11"/>
      <c r="H89" s="11"/>
      <c r="I89" s="11"/>
      <c r="J89" s="11"/>
      <c r="K89" s="11"/>
      <c r="L89" s="11"/>
      <c r="M89" s="11"/>
      <c r="N89" s="11"/>
      <c r="O89" s="11"/>
      <c r="P89" s="11"/>
      <c r="Q89" s="11"/>
      <c r="R89" s="11"/>
      <c r="S89" s="11"/>
      <c r="T89" s="11"/>
      <c r="U89" s="11"/>
      <c r="V89" s="11"/>
    </row>
    <row r="90" spans="1:22" s="10" customFormat="1" ht="15" customHeight="1" x14ac:dyDescent="0.25">
      <c r="A90" s="10" t="s">
        <v>95</v>
      </c>
      <c r="B90" s="11">
        <f>SUM(B91:B94)</f>
        <v>9018.1580851700055</v>
      </c>
      <c r="C90" s="11">
        <f t="shared" ref="C90:Q90" si="68">SUM(C91:C94)</f>
        <v>4428.6668624499989</v>
      </c>
      <c r="D90" s="11">
        <f t="shared" si="68"/>
        <v>4812.1545272199983</v>
      </c>
      <c r="E90" s="11">
        <f t="shared" ref="E90:E94" si="69">SUM(B90:D90)</f>
        <v>18258.979474840002</v>
      </c>
      <c r="F90" s="11">
        <f t="shared" si="68"/>
        <v>11962.373517690001</v>
      </c>
      <c r="G90" s="11">
        <f t="shared" si="68"/>
        <v>7724.3697837199998</v>
      </c>
      <c r="H90" s="11">
        <f t="shared" si="68"/>
        <v>5919.0542295099985</v>
      </c>
      <c r="I90" s="11">
        <f t="shared" ref="I90:I94" si="70">SUM(F90:H90)</f>
        <v>25605.797530920001</v>
      </c>
      <c r="J90" s="11">
        <f t="shared" ref="J90:J94" si="71">+E90+I90</f>
        <v>43864.777005759999</v>
      </c>
      <c r="K90" s="11">
        <f t="shared" si="68"/>
        <v>9599.636376729999</v>
      </c>
      <c r="L90" s="11">
        <f t="shared" si="68"/>
        <v>8758.4100080699973</v>
      </c>
      <c r="M90" s="11">
        <f t="shared" si="68"/>
        <v>5739.9165188199995</v>
      </c>
      <c r="N90" s="11">
        <f t="shared" ref="N90:N94" si="72">SUM(K90:M90)</f>
        <v>24097.962903619995</v>
      </c>
      <c r="O90" s="11">
        <f t="shared" si="68"/>
        <v>9282.0550319199974</v>
      </c>
      <c r="P90" s="11">
        <f t="shared" si="68"/>
        <v>8519.4219273199997</v>
      </c>
      <c r="Q90" s="11">
        <f t="shared" si="68"/>
        <v>6113.7114226100002</v>
      </c>
      <c r="R90" s="11">
        <f t="shared" ref="R90:R94" si="73">SUM(O90:Q90)</f>
        <v>23915.188381849999</v>
      </c>
      <c r="S90" s="11">
        <f t="shared" ref="S90:S94" si="74">+N90+R90</f>
        <v>48013.151285469998</v>
      </c>
      <c r="T90" s="11">
        <f t="shared" ref="T90:T94" si="75">+J90+S90</f>
        <v>91877.928291229997</v>
      </c>
      <c r="U90" s="11"/>
      <c r="V90" s="11"/>
    </row>
    <row r="91" spans="1:22" ht="15" customHeight="1" x14ac:dyDescent="0.3">
      <c r="A91" s="12" t="s">
        <v>96</v>
      </c>
      <c r="B91" s="8">
        <v>367.37835611000025</v>
      </c>
      <c r="C91" s="8">
        <v>219.01496095999997</v>
      </c>
      <c r="D91" s="8">
        <v>209.25285885000002</v>
      </c>
      <c r="E91" s="8">
        <f t="shared" si="69"/>
        <v>795.64617592000025</v>
      </c>
      <c r="F91" s="8">
        <v>419.98455109999998</v>
      </c>
      <c r="G91" s="8">
        <v>347.02622333000005</v>
      </c>
      <c r="H91" s="8">
        <v>318.16515300999998</v>
      </c>
      <c r="I91" s="8">
        <f t="shared" si="70"/>
        <v>1085.1759274400001</v>
      </c>
      <c r="J91" s="8">
        <f t="shared" si="71"/>
        <v>1880.8221033600003</v>
      </c>
      <c r="K91" s="8">
        <v>506.11734524999986</v>
      </c>
      <c r="L91" s="8">
        <v>360.08397547999988</v>
      </c>
      <c r="M91" s="8">
        <v>360.50988673000001</v>
      </c>
      <c r="N91" s="8">
        <f t="shared" si="72"/>
        <v>1226.7112074599997</v>
      </c>
      <c r="O91" s="8">
        <v>563.9336057700001</v>
      </c>
      <c r="P91" s="8">
        <v>419.91990024999996</v>
      </c>
      <c r="Q91" s="8">
        <v>359.72979172999993</v>
      </c>
      <c r="R91" s="8">
        <f t="shared" si="73"/>
        <v>1343.5832977499999</v>
      </c>
      <c r="S91" s="8">
        <f t="shared" si="74"/>
        <v>2570.2945052099994</v>
      </c>
      <c r="T91" s="8">
        <f t="shared" si="75"/>
        <v>4451.1166085699997</v>
      </c>
      <c r="U91" s="8"/>
      <c r="V91" s="8"/>
    </row>
    <row r="92" spans="1:22" ht="15" customHeight="1" x14ac:dyDescent="0.3">
      <c r="A92" s="12" t="s">
        <v>97</v>
      </c>
      <c r="B92" s="8">
        <v>2339.4623543400048</v>
      </c>
      <c r="C92" s="8">
        <v>1164.8512525100002</v>
      </c>
      <c r="D92" s="8">
        <v>1202.1885977499996</v>
      </c>
      <c r="E92" s="8">
        <f t="shared" si="69"/>
        <v>4706.5022046000049</v>
      </c>
      <c r="F92" s="8">
        <v>2737.6264988200001</v>
      </c>
      <c r="G92" s="8">
        <v>1686.6295084400003</v>
      </c>
      <c r="H92" s="8">
        <v>1442.5345153499995</v>
      </c>
      <c r="I92" s="8">
        <f t="shared" si="70"/>
        <v>5866.7905226100002</v>
      </c>
      <c r="J92" s="8">
        <f t="shared" si="71"/>
        <v>10573.292727210006</v>
      </c>
      <c r="K92" s="8">
        <v>2357.5240932699999</v>
      </c>
      <c r="L92" s="8">
        <v>1728.5344185700001</v>
      </c>
      <c r="M92" s="8">
        <v>1402.8491979000007</v>
      </c>
      <c r="N92" s="8">
        <f t="shared" si="72"/>
        <v>5488.9077097400004</v>
      </c>
      <c r="O92" s="8">
        <v>2389.88428011</v>
      </c>
      <c r="P92" s="8">
        <v>2000.9579671200008</v>
      </c>
      <c r="Q92" s="8">
        <v>1467.7129552199995</v>
      </c>
      <c r="R92" s="8">
        <f t="shared" si="73"/>
        <v>5858.5552024500003</v>
      </c>
      <c r="S92" s="8">
        <f t="shared" si="74"/>
        <v>11347.46291219</v>
      </c>
      <c r="T92" s="8">
        <f t="shared" si="75"/>
        <v>21920.755639400006</v>
      </c>
      <c r="U92" s="8"/>
      <c r="V92" s="8"/>
    </row>
    <row r="93" spans="1:22" ht="15" customHeight="1" x14ac:dyDescent="0.3">
      <c r="A93" s="12" t="s">
        <v>98</v>
      </c>
      <c r="B93" s="8">
        <v>2585.5558541699993</v>
      </c>
      <c r="C93" s="8">
        <v>1024.1492497699985</v>
      </c>
      <c r="D93" s="8">
        <v>1272.5233721299994</v>
      </c>
      <c r="E93" s="8">
        <f t="shared" si="69"/>
        <v>4882.2284760699968</v>
      </c>
      <c r="F93" s="8">
        <v>3068.1590695499999</v>
      </c>
      <c r="G93" s="8">
        <v>1980.8956679999992</v>
      </c>
      <c r="H93" s="8">
        <v>1470.8148506799998</v>
      </c>
      <c r="I93" s="8">
        <f t="shared" si="70"/>
        <v>6519.869588229999</v>
      </c>
      <c r="J93" s="8">
        <f t="shared" si="71"/>
        <v>11402.098064299997</v>
      </c>
      <c r="K93" s="8">
        <v>2369.5700816400004</v>
      </c>
      <c r="L93" s="8">
        <v>1906.6515234400001</v>
      </c>
      <c r="M93" s="8">
        <v>1421.4958179199989</v>
      </c>
      <c r="N93" s="8">
        <f t="shared" si="72"/>
        <v>5697.7174230000001</v>
      </c>
      <c r="O93" s="8">
        <v>2355.7435595299976</v>
      </c>
      <c r="P93" s="8">
        <v>1896.5477919200005</v>
      </c>
      <c r="Q93" s="8">
        <v>1457.4543822000005</v>
      </c>
      <c r="R93" s="8">
        <f t="shared" si="73"/>
        <v>5709.7457336499983</v>
      </c>
      <c r="S93" s="8">
        <f t="shared" si="74"/>
        <v>11407.463156649999</v>
      </c>
      <c r="T93" s="8">
        <f t="shared" si="75"/>
        <v>22809.561220949996</v>
      </c>
      <c r="U93" s="8"/>
      <c r="V93" s="8"/>
    </row>
    <row r="94" spans="1:22" ht="18" customHeight="1" x14ac:dyDescent="0.3">
      <c r="A94" s="12" t="s">
        <v>99</v>
      </c>
      <c r="B94" s="8">
        <v>3725.7615205499997</v>
      </c>
      <c r="C94" s="8">
        <v>2020.6513992100001</v>
      </c>
      <c r="D94" s="8">
        <v>2128.18969849</v>
      </c>
      <c r="E94" s="8">
        <f t="shared" si="69"/>
        <v>7874.6026182499991</v>
      </c>
      <c r="F94" s="8">
        <v>5736.6033982199997</v>
      </c>
      <c r="G94" s="8">
        <v>3709.8183839500002</v>
      </c>
      <c r="H94" s="8">
        <v>2687.5397104699991</v>
      </c>
      <c r="I94" s="8">
        <f t="shared" si="70"/>
        <v>12133.961492639999</v>
      </c>
      <c r="J94" s="8">
        <f t="shared" si="71"/>
        <v>20008.564110889998</v>
      </c>
      <c r="K94" s="8">
        <v>4366.42485657</v>
      </c>
      <c r="L94" s="8">
        <v>4763.1400905799983</v>
      </c>
      <c r="M94" s="8">
        <v>2555.0616162699998</v>
      </c>
      <c r="N94" s="8">
        <f t="shared" si="72"/>
        <v>11684.626563419999</v>
      </c>
      <c r="O94" s="8">
        <v>3972.4935865100001</v>
      </c>
      <c r="P94" s="8">
        <v>4201.9962680299996</v>
      </c>
      <c r="Q94" s="8">
        <v>2828.81429346</v>
      </c>
      <c r="R94" s="8">
        <f t="shared" si="73"/>
        <v>11003.304147999999</v>
      </c>
      <c r="S94" s="8">
        <f t="shared" si="74"/>
        <v>22687.930711419998</v>
      </c>
      <c r="T94" s="8">
        <f t="shared" si="75"/>
        <v>42696.494822309993</v>
      </c>
      <c r="U94" s="8"/>
      <c r="V94" s="8"/>
    </row>
    <row r="95" spans="1:22" ht="15" customHeight="1" x14ac:dyDescent="0.3">
      <c r="A95" s="12"/>
      <c r="B95" s="8"/>
      <c r="C95" s="8"/>
      <c r="D95" s="8"/>
      <c r="E95" s="8"/>
      <c r="F95" s="8"/>
      <c r="G95" s="8"/>
      <c r="H95" s="8"/>
      <c r="I95" s="8"/>
      <c r="J95" s="8"/>
      <c r="K95" s="8"/>
      <c r="L95" s="8"/>
      <c r="M95" s="8"/>
      <c r="N95" s="8"/>
      <c r="O95" s="8"/>
      <c r="P95" s="8"/>
      <c r="Q95" s="8"/>
      <c r="R95" s="8"/>
      <c r="S95" s="8"/>
      <c r="T95" s="8"/>
      <c r="U95" s="8"/>
      <c r="V95" s="8"/>
    </row>
    <row r="96" spans="1:22" s="10" customFormat="1" ht="15" customHeight="1" x14ac:dyDescent="0.25">
      <c r="A96" s="13" t="s">
        <v>100</v>
      </c>
      <c r="B96" s="11">
        <f>SUM(B97:B102)</f>
        <v>1430.5595045699997</v>
      </c>
      <c r="C96" s="11">
        <f t="shared" ref="C96:Q96" si="76">SUM(C97:C102)</f>
        <v>767.33183224999993</v>
      </c>
      <c r="D96" s="11">
        <f t="shared" si="76"/>
        <v>869.04314763000002</v>
      </c>
      <c r="E96" s="11">
        <f t="shared" ref="E96:E102" si="77">SUM(B96:D96)</f>
        <v>3066.9344844499997</v>
      </c>
      <c r="F96" s="11">
        <f t="shared" si="76"/>
        <v>1633.6892709499998</v>
      </c>
      <c r="G96" s="11">
        <f t="shared" si="76"/>
        <v>1328.0595422200001</v>
      </c>
      <c r="H96" s="11">
        <f t="shared" si="76"/>
        <v>1291.99185863</v>
      </c>
      <c r="I96" s="11">
        <f t="shared" ref="I96:I102" si="78">SUM(F96:H96)</f>
        <v>4253.7406718000002</v>
      </c>
      <c r="J96" s="11">
        <f t="shared" ref="J96:J102" si="79">+E96+I96</f>
        <v>7320.6751562499994</v>
      </c>
      <c r="K96" s="11">
        <f t="shared" si="76"/>
        <v>1634.7565017000002</v>
      </c>
      <c r="L96" s="11">
        <f t="shared" si="76"/>
        <v>1274.4610108040001</v>
      </c>
      <c r="M96" s="11">
        <f t="shared" si="76"/>
        <v>1258.9328054600001</v>
      </c>
      <c r="N96" s="11">
        <f t="shared" ref="N96:N102" si="80">SUM(K96:M96)</f>
        <v>4168.1503179640004</v>
      </c>
      <c r="O96" s="11">
        <f t="shared" si="76"/>
        <v>1592.4049218800005</v>
      </c>
      <c r="P96" s="11">
        <f t="shared" si="76"/>
        <v>1218.68644726</v>
      </c>
      <c r="Q96" s="11">
        <f t="shared" si="76"/>
        <v>1484.0617088599997</v>
      </c>
      <c r="R96" s="11">
        <f t="shared" ref="R96:R102" si="81">SUM(O96:Q96)</f>
        <v>4295.1530780000003</v>
      </c>
      <c r="S96" s="11">
        <f t="shared" ref="S96:S102" si="82">+N96+R96</f>
        <v>8463.3033959640015</v>
      </c>
      <c r="T96" s="11">
        <f t="shared" ref="T96:T102" si="83">+J96+S96</f>
        <v>15783.978552214001</v>
      </c>
      <c r="U96" s="11"/>
      <c r="V96" s="11"/>
    </row>
    <row r="97" spans="1:22" ht="15" customHeight="1" x14ac:dyDescent="0.3">
      <c r="A97" s="12" t="s">
        <v>101</v>
      </c>
      <c r="B97" s="8">
        <v>89.218027739999982</v>
      </c>
      <c r="C97" s="8">
        <v>71.150543060000004</v>
      </c>
      <c r="D97" s="8">
        <v>82.116496260000005</v>
      </c>
      <c r="E97" s="8">
        <f t="shared" si="77"/>
        <v>242.48506706000001</v>
      </c>
      <c r="F97" s="8">
        <v>134.21633651000002</v>
      </c>
      <c r="G97" s="8">
        <v>100.70576328999999</v>
      </c>
      <c r="H97" s="8">
        <v>102.33811602000002</v>
      </c>
      <c r="I97" s="8">
        <f t="shared" si="78"/>
        <v>337.26021582000004</v>
      </c>
      <c r="J97" s="8">
        <f t="shared" si="79"/>
        <v>579.7452828800001</v>
      </c>
      <c r="K97" s="8">
        <v>132.18582793000002</v>
      </c>
      <c r="L97" s="8">
        <v>110.42786549000002</v>
      </c>
      <c r="M97" s="8">
        <v>79.987526990000006</v>
      </c>
      <c r="N97" s="8">
        <f t="shared" si="80"/>
        <v>322.60122041000005</v>
      </c>
      <c r="O97" s="8">
        <v>124.86176656000001</v>
      </c>
      <c r="P97" s="8">
        <v>85.747389799999993</v>
      </c>
      <c r="Q97" s="8">
        <v>104.31107687000001</v>
      </c>
      <c r="R97" s="8">
        <f t="shared" si="81"/>
        <v>314.92023323000001</v>
      </c>
      <c r="S97" s="8">
        <f t="shared" si="82"/>
        <v>637.52145364000012</v>
      </c>
      <c r="T97" s="8">
        <f t="shared" si="83"/>
        <v>1217.2667365200002</v>
      </c>
      <c r="U97" s="8"/>
      <c r="V97" s="8"/>
    </row>
    <row r="98" spans="1:22" ht="15" customHeight="1" x14ac:dyDescent="0.3">
      <c r="A98" s="12" t="s">
        <v>102</v>
      </c>
      <c r="B98" s="8">
        <v>353.6352520999996</v>
      </c>
      <c r="C98" s="8">
        <v>157.15350897999997</v>
      </c>
      <c r="D98" s="8">
        <v>172.47693176999999</v>
      </c>
      <c r="E98" s="8">
        <f t="shared" si="77"/>
        <v>683.2656928499996</v>
      </c>
      <c r="F98" s="8">
        <v>398.70602902000002</v>
      </c>
      <c r="G98" s="8">
        <v>328.32300351999999</v>
      </c>
      <c r="H98" s="8">
        <v>240.77538127999998</v>
      </c>
      <c r="I98" s="8">
        <f t="shared" si="78"/>
        <v>967.80441382000004</v>
      </c>
      <c r="J98" s="8">
        <f t="shared" si="79"/>
        <v>1651.0701066699996</v>
      </c>
      <c r="K98" s="8">
        <v>352.30827488000011</v>
      </c>
      <c r="L98" s="8">
        <v>321.43260666000003</v>
      </c>
      <c r="M98" s="8">
        <v>232.48752709000004</v>
      </c>
      <c r="N98" s="8">
        <f t="shared" si="80"/>
        <v>906.22840863000022</v>
      </c>
      <c r="O98" s="8">
        <v>323.25762921000006</v>
      </c>
      <c r="P98" s="8">
        <v>252.83639674</v>
      </c>
      <c r="Q98" s="8">
        <v>296.12518762000002</v>
      </c>
      <c r="R98" s="8">
        <f t="shared" si="81"/>
        <v>872.21921357000008</v>
      </c>
      <c r="S98" s="8">
        <f t="shared" si="82"/>
        <v>1778.4476222000003</v>
      </c>
      <c r="T98" s="8">
        <f t="shared" si="83"/>
        <v>3429.5177288699997</v>
      </c>
      <c r="U98" s="8"/>
      <c r="V98" s="8"/>
    </row>
    <row r="99" spans="1:22" ht="15" customHeight="1" x14ac:dyDescent="0.3">
      <c r="A99" s="12" t="s">
        <v>103</v>
      </c>
      <c r="B99" s="8">
        <v>121.69252502000009</v>
      </c>
      <c r="C99" s="8">
        <v>69.864747839999978</v>
      </c>
      <c r="D99" s="8">
        <v>66.064716800000014</v>
      </c>
      <c r="E99" s="8">
        <f t="shared" si="77"/>
        <v>257.62198966000005</v>
      </c>
      <c r="F99" s="8">
        <v>118.91242644999998</v>
      </c>
      <c r="G99" s="8">
        <v>121.50761559</v>
      </c>
      <c r="H99" s="8">
        <v>99.083970309999998</v>
      </c>
      <c r="I99" s="8">
        <f t="shared" si="78"/>
        <v>339.50401234999998</v>
      </c>
      <c r="J99" s="8">
        <f t="shared" si="79"/>
        <v>597.12600201000009</v>
      </c>
      <c r="K99" s="8">
        <v>151.73022841999995</v>
      </c>
      <c r="L99" s="8">
        <v>99.023164009999988</v>
      </c>
      <c r="M99" s="8">
        <v>135.37661156999999</v>
      </c>
      <c r="N99" s="8">
        <f t="shared" si="80"/>
        <v>386.13000399999993</v>
      </c>
      <c r="O99" s="8">
        <v>132.83996565999999</v>
      </c>
      <c r="P99" s="8">
        <v>119.02325021999999</v>
      </c>
      <c r="Q99" s="8">
        <v>169.41844893000001</v>
      </c>
      <c r="R99" s="8">
        <f t="shared" si="81"/>
        <v>421.28166481</v>
      </c>
      <c r="S99" s="8">
        <f t="shared" si="82"/>
        <v>807.41166880999992</v>
      </c>
      <c r="T99" s="8">
        <f t="shared" si="83"/>
        <v>1404.5376708200001</v>
      </c>
      <c r="U99" s="8"/>
      <c r="V99" s="8"/>
    </row>
    <row r="100" spans="1:22" ht="15" customHeight="1" x14ac:dyDescent="0.3">
      <c r="A100" s="12" t="s">
        <v>104</v>
      </c>
      <c r="B100" s="8">
        <v>153.21455601000014</v>
      </c>
      <c r="C100" s="8">
        <v>93.541011760000018</v>
      </c>
      <c r="D100" s="8">
        <v>81.63963677000001</v>
      </c>
      <c r="E100" s="8">
        <f t="shared" si="77"/>
        <v>328.39520454000012</v>
      </c>
      <c r="F100" s="8">
        <v>189.00523500000003</v>
      </c>
      <c r="G100" s="8">
        <v>126.86663002000002</v>
      </c>
      <c r="H100" s="8">
        <v>136.11157903999998</v>
      </c>
      <c r="I100" s="8">
        <f t="shared" si="78"/>
        <v>451.98344406000001</v>
      </c>
      <c r="J100" s="8">
        <f t="shared" si="79"/>
        <v>780.37864860000013</v>
      </c>
      <c r="K100" s="8">
        <v>188.55531975</v>
      </c>
      <c r="L100" s="8">
        <v>133.96547857000002</v>
      </c>
      <c r="M100" s="8">
        <v>146.33173023000001</v>
      </c>
      <c r="N100" s="8">
        <f t="shared" si="80"/>
        <v>468.85252855000005</v>
      </c>
      <c r="O100" s="8">
        <v>170.60126980000001</v>
      </c>
      <c r="P100" s="8">
        <v>130.48114352000002</v>
      </c>
      <c r="Q100" s="8">
        <v>199.22308117000003</v>
      </c>
      <c r="R100" s="8">
        <f t="shared" si="81"/>
        <v>500.30549449</v>
      </c>
      <c r="S100" s="8">
        <f t="shared" si="82"/>
        <v>969.15802303999999</v>
      </c>
      <c r="T100" s="8">
        <f t="shared" si="83"/>
        <v>1749.5366716400001</v>
      </c>
      <c r="U100" s="8"/>
      <c r="V100" s="8"/>
    </row>
    <row r="101" spans="1:22" ht="15" customHeight="1" x14ac:dyDescent="0.3">
      <c r="A101" s="12" t="s">
        <v>105</v>
      </c>
      <c r="B101" s="8">
        <v>107.0507446500001</v>
      </c>
      <c r="C101" s="8">
        <v>66.644471339999996</v>
      </c>
      <c r="D101" s="8">
        <v>58.762472990000006</v>
      </c>
      <c r="E101" s="8">
        <f t="shared" si="77"/>
        <v>232.45768898000011</v>
      </c>
      <c r="F101" s="8">
        <v>133.90800455000002</v>
      </c>
      <c r="G101" s="8">
        <v>82.723979710000009</v>
      </c>
      <c r="H101" s="8">
        <v>86.094016870000004</v>
      </c>
      <c r="I101" s="8">
        <f t="shared" si="78"/>
        <v>302.72600113000004</v>
      </c>
      <c r="J101" s="8">
        <f t="shared" si="79"/>
        <v>535.18369011000016</v>
      </c>
      <c r="K101" s="8">
        <v>112.02782605000002</v>
      </c>
      <c r="L101" s="8">
        <v>84.886662854000008</v>
      </c>
      <c r="M101" s="8">
        <v>90.221769800000004</v>
      </c>
      <c r="N101" s="8">
        <f t="shared" si="80"/>
        <v>287.13625870400006</v>
      </c>
      <c r="O101" s="8">
        <v>109.95126071999996</v>
      </c>
      <c r="P101" s="8">
        <v>86.111185090000006</v>
      </c>
      <c r="Q101" s="8">
        <v>79.808004199999971</v>
      </c>
      <c r="R101" s="8">
        <f t="shared" si="81"/>
        <v>275.87045000999996</v>
      </c>
      <c r="S101" s="8">
        <f t="shared" si="82"/>
        <v>563.00670871400007</v>
      </c>
      <c r="T101" s="8">
        <f t="shared" si="83"/>
        <v>1098.1903988240001</v>
      </c>
      <c r="U101" s="8"/>
      <c r="V101" s="8"/>
    </row>
    <row r="102" spans="1:22" ht="18" customHeight="1" x14ac:dyDescent="0.3">
      <c r="A102" s="12" t="s">
        <v>106</v>
      </c>
      <c r="B102" s="8">
        <v>605.74839904999976</v>
      </c>
      <c r="C102" s="8">
        <v>308.97754926999994</v>
      </c>
      <c r="D102" s="8">
        <v>407.98289304000002</v>
      </c>
      <c r="E102" s="8">
        <f t="shared" si="77"/>
        <v>1322.7088413599997</v>
      </c>
      <c r="F102" s="8">
        <v>658.94123941999976</v>
      </c>
      <c r="G102" s="8">
        <v>567.93255009000018</v>
      </c>
      <c r="H102" s="8">
        <v>627.58879511000009</v>
      </c>
      <c r="I102" s="8">
        <f t="shared" si="78"/>
        <v>1854.4625846199999</v>
      </c>
      <c r="J102" s="8">
        <f t="shared" si="79"/>
        <v>3177.1714259799996</v>
      </c>
      <c r="K102" s="8">
        <v>697.94902467000009</v>
      </c>
      <c r="L102" s="8">
        <v>524.72523321999995</v>
      </c>
      <c r="M102" s="8">
        <v>574.52763977999996</v>
      </c>
      <c r="N102" s="8">
        <f t="shared" si="80"/>
        <v>1797.2018976700001</v>
      </c>
      <c r="O102" s="8">
        <v>730.89302993000035</v>
      </c>
      <c r="P102" s="8">
        <v>544.4870818899999</v>
      </c>
      <c r="Q102" s="8">
        <v>635.17591006999965</v>
      </c>
      <c r="R102" s="8">
        <f t="shared" si="81"/>
        <v>1910.55602189</v>
      </c>
      <c r="S102" s="8">
        <f t="shared" si="82"/>
        <v>3707.7579195600001</v>
      </c>
      <c r="T102" s="8">
        <f t="shared" si="83"/>
        <v>6884.9293455400002</v>
      </c>
      <c r="U102" s="8"/>
      <c r="V102" s="8"/>
    </row>
    <row r="103" spans="1:22" s="10" customFormat="1" ht="15" customHeight="1" x14ac:dyDescent="0.3">
      <c r="A103" s="12"/>
      <c r="B103" s="11"/>
      <c r="C103" s="11"/>
      <c r="D103" s="11"/>
      <c r="E103" s="11"/>
      <c r="F103" s="11"/>
      <c r="G103" s="11"/>
      <c r="H103" s="11"/>
      <c r="I103" s="11"/>
      <c r="J103" s="11"/>
      <c r="K103" s="11"/>
      <c r="L103" s="11"/>
      <c r="M103" s="11"/>
      <c r="N103" s="11"/>
      <c r="O103" s="11"/>
      <c r="P103" s="11"/>
      <c r="Q103" s="11"/>
      <c r="R103" s="11"/>
      <c r="S103" s="11"/>
      <c r="T103" s="11"/>
      <c r="U103" s="11"/>
      <c r="V103" s="11"/>
    </row>
    <row r="104" spans="1:22" s="10" customFormat="1" ht="15" customHeight="1" x14ac:dyDescent="0.25">
      <c r="A104" s="13" t="s">
        <v>107</v>
      </c>
      <c r="B104" s="11">
        <f>SUM(B105:B109)</f>
        <v>1083.7312428200003</v>
      </c>
      <c r="C104" s="11">
        <f t="shared" ref="C104:Q104" si="84">SUM(C105:C109)</f>
        <v>479.4523117</v>
      </c>
      <c r="D104" s="11">
        <f t="shared" si="84"/>
        <v>554.56883505999997</v>
      </c>
      <c r="E104" s="11">
        <f t="shared" ref="E104:E107" si="85">SUM(B104:D104)</f>
        <v>2117.75238958</v>
      </c>
      <c r="F104" s="11">
        <f t="shared" si="84"/>
        <v>1045.8894270599999</v>
      </c>
      <c r="G104" s="11">
        <f t="shared" si="84"/>
        <v>715.29275120000011</v>
      </c>
      <c r="H104" s="11">
        <f t="shared" si="84"/>
        <v>766.5203457099999</v>
      </c>
      <c r="I104" s="11">
        <f t="shared" ref="I104:I107" si="86">SUM(F104:H104)</f>
        <v>2527.7025239699997</v>
      </c>
      <c r="J104" s="11">
        <f t="shared" ref="J104:J107" si="87">+E104+I104</f>
        <v>4645.4549135500001</v>
      </c>
      <c r="K104" s="11">
        <f t="shared" si="84"/>
        <v>941.90280654000003</v>
      </c>
      <c r="L104" s="11">
        <f t="shared" si="84"/>
        <v>798.92292163000002</v>
      </c>
      <c r="M104" s="11">
        <f t="shared" si="84"/>
        <v>743.30339912999989</v>
      </c>
      <c r="N104" s="11">
        <f t="shared" ref="N104:N107" si="88">SUM(K104:M104)</f>
        <v>2484.1291272999997</v>
      </c>
      <c r="O104" s="11">
        <f t="shared" si="84"/>
        <v>1139.0369896</v>
      </c>
      <c r="P104" s="11">
        <f t="shared" si="84"/>
        <v>776.05686955999988</v>
      </c>
      <c r="Q104" s="11">
        <f t="shared" si="84"/>
        <v>992.06716024000013</v>
      </c>
      <c r="R104" s="11">
        <f t="shared" ref="R104:R107" si="89">SUM(O104:Q104)</f>
        <v>2907.1610194</v>
      </c>
      <c r="S104" s="11">
        <f t="shared" ref="S104:S107" si="90">+N104+R104</f>
        <v>5391.2901466999992</v>
      </c>
      <c r="T104" s="11">
        <f t="shared" ref="T104:T107" si="91">+J104+S104</f>
        <v>10036.745060249999</v>
      </c>
      <c r="U104" s="11"/>
      <c r="V104" s="11"/>
    </row>
    <row r="105" spans="1:22" ht="15" customHeight="1" x14ac:dyDescent="0.3">
      <c r="A105" s="12" t="s">
        <v>108</v>
      </c>
      <c r="B105" s="8">
        <v>288.0395252900002</v>
      </c>
      <c r="C105" s="8">
        <v>134.50546873999988</v>
      </c>
      <c r="D105" s="8">
        <v>139.31751074000002</v>
      </c>
      <c r="E105" s="8">
        <f t="shared" si="85"/>
        <v>561.8625047700001</v>
      </c>
      <c r="F105" s="8">
        <v>317.01784213000002</v>
      </c>
      <c r="G105" s="8">
        <v>182.22466670999995</v>
      </c>
      <c r="H105" s="8">
        <v>164.03810453999998</v>
      </c>
      <c r="I105" s="8">
        <f t="shared" si="86"/>
        <v>663.28061337999998</v>
      </c>
      <c r="J105" s="8">
        <f t="shared" si="87"/>
        <v>1225.1431181500002</v>
      </c>
      <c r="K105" s="8">
        <v>260.81367421000004</v>
      </c>
      <c r="L105" s="8">
        <v>186.60101321000002</v>
      </c>
      <c r="M105" s="8">
        <v>164.04465288</v>
      </c>
      <c r="N105" s="8">
        <f t="shared" si="88"/>
        <v>611.45934030000012</v>
      </c>
      <c r="O105" s="8">
        <v>298.90540300999999</v>
      </c>
      <c r="P105" s="8">
        <v>201.70458465999997</v>
      </c>
      <c r="Q105" s="8">
        <v>294.16409219000008</v>
      </c>
      <c r="R105" s="8">
        <f t="shared" si="89"/>
        <v>794.77407986000003</v>
      </c>
      <c r="S105" s="8">
        <f t="shared" si="90"/>
        <v>1406.2334201600002</v>
      </c>
      <c r="T105" s="8">
        <f t="shared" si="91"/>
        <v>2631.3765383100003</v>
      </c>
      <c r="U105" s="8"/>
      <c r="V105" s="8"/>
    </row>
    <row r="106" spans="1:22" ht="15" customHeight="1" x14ac:dyDescent="0.3">
      <c r="A106" s="12" t="s">
        <v>109</v>
      </c>
      <c r="B106" s="8">
        <v>202.56111680999987</v>
      </c>
      <c r="C106" s="8">
        <v>108.20145675000009</v>
      </c>
      <c r="D106" s="8">
        <v>131.22635506000003</v>
      </c>
      <c r="E106" s="8">
        <f t="shared" si="85"/>
        <v>441.98892862000002</v>
      </c>
      <c r="F106" s="8">
        <v>233.60644110000004</v>
      </c>
      <c r="G106" s="8">
        <v>146.66900968000007</v>
      </c>
      <c r="H106" s="8">
        <v>160.46883348000006</v>
      </c>
      <c r="I106" s="8">
        <f t="shared" si="86"/>
        <v>540.7442842600002</v>
      </c>
      <c r="J106" s="8">
        <f t="shared" si="87"/>
        <v>982.73321288000022</v>
      </c>
      <c r="K106" s="8">
        <v>204.44681388999993</v>
      </c>
      <c r="L106" s="8">
        <v>169.36263643000001</v>
      </c>
      <c r="M106" s="8">
        <v>174.81255001</v>
      </c>
      <c r="N106" s="8">
        <f t="shared" si="88"/>
        <v>548.62200032999999</v>
      </c>
      <c r="O106" s="8">
        <v>244.78912809000002</v>
      </c>
      <c r="P106" s="8">
        <v>175.67852070999996</v>
      </c>
      <c r="Q106" s="8">
        <v>222.99752280999999</v>
      </c>
      <c r="R106" s="8">
        <f t="shared" si="89"/>
        <v>643.46517160999997</v>
      </c>
      <c r="S106" s="8">
        <f t="shared" si="90"/>
        <v>1192.08717194</v>
      </c>
      <c r="T106" s="8">
        <f t="shared" si="91"/>
        <v>2174.8203848200001</v>
      </c>
      <c r="U106" s="8"/>
      <c r="V106" s="8"/>
    </row>
    <row r="107" spans="1:22" ht="15" customHeight="1" x14ac:dyDescent="0.3">
      <c r="A107" s="12" t="s">
        <v>110</v>
      </c>
      <c r="B107" s="8">
        <v>93.735641620000024</v>
      </c>
      <c r="C107" s="8">
        <v>40.844538359999994</v>
      </c>
      <c r="D107" s="8">
        <v>52.58060906000005</v>
      </c>
      <c r="E107" s="8">
        <f t="shared" si="85"/>
        <v>187.16078904000008</v>
      </c>
      <c r="F107" s="8">
        <v>77.001826620000003</v>
      </c>
      <c r="G107" s="8">
        <v>70.666323799999986</v>
      </c>
      <c r="H107" s="8">
        <v>113.18813013999998</v>
      </c>
      <c r="I107" s="8">
        <f t="shared" si="86"/>
        <v>260.85628055999996</v>
      </c>
      <c r="J107" s="8">
        <f t="shared" si="87"/>
        <v>448.01706960000001</v>
      </c>
      <c r="K107" s="8">
        <v>47.660197959999998</v>
      </c>
      <c r="L107" s="8">
        <v>70.387913380000001</v>
      </c>
      <c r="M107" s="8">
        <v>83.427415579999987</v>
      </c>
      <c r="N107" s="8">
        <f t="shared" si="88"/>
        <v>201.47552691999999</v>
      </c>
      <c r="O107" s="8">
        <v>100.320188</v>
      </c>
      <c r="P107" s="8">
        <v>84.219255310000008</v>
      </c>
      <c r="Q107" s="8">
        <v>125.53702378999999</v>
      </c>
      <c r="R107" s="8">
        <f t="shared" si="89"/>
        <v>310.0764671</v>
      </c>
      <c r="S107" s="8">
        <f t="shared" si="90"/>
        <v>511.55199402</v>
      </c>
      <c r="T107" s="8">
        <f t="shared" si="91"/>
        <v>959.56906361999995</v>
      </c>
      <c r="U107" s="8"/>
      <c r="V107" s="8"/>
    </row>
    <row r="108" spans="1:22" ht="18" customHeight="1" x14ac:dyDescent="0.3">
      <c r="A108" s="12" t="s">
        <v>111</v>
      </c>
      <c r="B108" s="8"/>
      <c r="C108" s="8"/>
      <c r="D108" s="8"/>
      <c r="E108" s="8"/>
      <c r="F108" s="8"/>
      <c r="G108" s="8"/>
      <c r="H108" s="8"/>
      <c r="I108" s="8"/>
      <c r="J108" s="8"/>
      <c r="K108" s="8"/>
      <c r="L108" s="8"/>
      <c r="M108" s="8"/>
      <c r="N108" s="8"/>
      <c r="O108" s="8"/>
      <c r="P108" s="8"/>
      <c r="Q108" s="8"/>
      <c r="R108" s="8"/>
      <c r="S108" s="8"/>
      <c r="T108" s="8"/>
      <c r="U108" s="8"/>
      <c r="V108" s="8"/>
    </row>
    <row r="109" spans="1:22" ht="15" customHeight="1" x14ac:dyDescent="0.3">
      <c r="A109" s="12" t="s">
        <v>112</v>
      </c>
      <c r="B109" s="8">
        <v>499.39495910000016</v>
      </c>
      <c r="C109" s="8">
        <v>195.90084785000002</v>
      </c>
      <c r="D109" s="8">
        <v>231.44436019999992</v>
      </c>
      <c r="E109" s="8">
        <f>SUM(B109:D109)</f>
        <v>926.74016715000005</v>
      </c>
      <c r="F109" s="8">
        <v>418.26331720999985</v>
      </c>
      <c r="G109" s="8">
        <v>315.73275101000007</v>
      </c>
      <c r="H109" s="8">
        <v>328.82527754999995</v>
      </c>
      <c r="I109" s="8">
        <f>SUM(F109:H109)</f>
        <v>1062.8213457699999</v>
      </c>
      <c r="J109" s="8">
        <f t="shared" ref="J109" si="92">+E109+I109</f>
        <v>1989.56151292</v>
      </c>
      <c r="K109" s="8">
        <v>428.98212048000011</v>
      </c>
      <c r="L109" s="8">
        <v>372.57135860999995</v>
      </c>
      <c r="M109" s="8">
        <v>321.01878065999989</v>
      </c>
      <c r="N109" s="8">
        <f>SUM(K109:M109)</f>
        <v>1122.5722597500001</v>
      </c>
      <c r="O109" s="8">
        <v>495.02227049999999</v>
      </c>
      <c r="P109" s="8">
        <v>314.45450887999993</v>
      </c>
      <c r="Q109" s="8">
        <v>349.36852145</v>
      </c>
      <c r="R109" s="8">
        <f>SUM(O109:Q109)</f>
        <v>1158.8453008299998</v>
      </c>
      <c r="S109" s="8">
        <f t="shared" ref="S109" si="93">+N109+R109</f>
        <v>2281.4175605800001</v>
      </c>
      <c r="T109" s="8">
        <f>+J109+S109</f>
        <v>4270.9790735000006</v>
      </c>
      <c r="U109" s="8"/>
      <c r="V109" s="8"/>
    </row>
    <row r="110" spans="1:22" s="10" customFormat="1" ht="15" customHeight="1" x14ac:dyDescent="0.3">
      <c r="A110" s="12"/>
      <c r="B110" s="11"/>
      <c r="C110" s="11"/>
      <c r="D110" s="11"/>
      <c r="E110" s="11"/>
      <c r="F110" s="11"/>
      <c r="G110" s="11"/>
      <c r="H110" s="11"/>
      <c r="I110" s="11"/>
      <c r="J110" s="11"/>
      <c r="K110" s="11"/>
      <c r="L110" s="11"/>
      <c r="M110" s="11"/>
      <c r="N110" s="11"/>
      <c r="O110" s="11"/>
      <c r="P110" s="11"/>
      <c r="Q110" s="11"/>
      <c r="R110" s="11"/>
      <c r="S110" s="11"/>
      <c r="T110" s="11"/>
      <c r="U110" s="11"/>
      <c r="V110" s="11"/>
    </row>
    <row r="111" spans="1:22" s="10" customFormat="1" ht="15" customHeight="1" x14ac:dyDescent="0.25">
      <c r="A111" s="13" t="s">
        <v>113</v>
      </c>
      <c r="B111" s="11">
        <f>SUM(B112:B116)</f>
        <v>1888.9732490800006</v>
      </c>
      <c r="C111" s="11">
        <f t="shared" ref="C111:Q111" si="94">SUM(C112:C116)</f>
        <v>901.81078675000003</v>
      </c>
      <c r="D111" s="11">
        <f t="shared" si="94"/>
        <v>1277.3568150100002</v>
      </c>
      <c r="E111" s="11">
        <f t="shared" ref="E111:E116" si="95">SUM(B111:D111)</f>
        <v>4068.1408508400009</v>
      </c>
      <c r="F111" s="11">
        <f t="shared" si="94"/>
        <v>2082.7706108100001</v>
      </c>
      <c r="G111" s="11">
        <f t="shared" si="94"/>
        <v>1311.2505083199999</v>
      </c>
      <c r="H111" s="11">
        <f t="shared" si="94"/>
        <v>1554.2760221200001</v>
      </c>
      <c r="I111" s="11">
        <f t="shared" ref="I111:I116" si="96">SUM(F111:H111)</f>
        <v>4948.2971412500001</v>
      </c>
      <c r="J111" s="11">
        <f t="shared" ref="J111:J116" si="97">+E111+I111</f>
        <v>9016.437992090001</v>
      </c>
      <c r="K111" s="11">
        <f t="shared" si="94"/>
        <v>1957.7948500800001</v>
      </c>
      <c r="L111" s="11">
        <f t="shared" si="94"/>
        <v>1488.0085471800001</v>
      </c>
      <c r="M111" s="11">
        <f t="shared" si="94"/>
        <v>1392.0899120500003</v>
      </c>
      <c r="N111" s="11">
        <f t="shared" ref="N111:N116" si="98">SUM(K111:M111)</f>
        <v>4837.8933093100004</v>
      </c>
      <c r="O111" s="11">
        <f t="shared" si="94"/>
        <v>2569.2336323100008</v>
      </c>
      <c r="P111" s="11">
        <f t="shared" si="94"/>
        <v>1655.5994771399996</v>
      </c>
      <c r="Q111" s="11">
        <f t="shared" si="94"/>
        <v>1550.5627454500002</v>
      </c>
      <c r="R111" s="11">
        <f t="shared" ref="R111:R116" si="99">SUM(O111:Q111)</f>
        <v>5775.3958549000008</v>
      </c>
      <c r="S111" s="11">
        <f t="shared" ref="S111:S116" si="100">+N111+R111</f>
        <v>10613.28916421</v>
      </c>
      <c r="T111" s="11">
        <f t="shared" ref="T111:T116" si="101">+J111+S111</f>
        <v>19629.727156300003</v>
      </c>
      <c r="U111" s="11"/>
      <c r="V111" s="11"/>
    </row>
    <row r="112" spans="1:22" ht="15" customHeight="1" x14ac:dyDescent="0.3">
      <c r="A112" s="12" t="s">
        <v>114</v>
      </c>
      <c r="B112" s="8">
        <v>385.83803838999938</v>
      </c>
      <c r="C112" s="8">
        <v>185.21734556000001</v>
      </c>
      <c r="D112" s="8">
        <v>225.40783596000006</v>
      </c>
      <c r="E112" s="8">
        <f t="shared" si="95"/>
        <v>796.46321990999945</v>
      </c>
      <c r="F112" s="8">
        <v>419.79957474999992</v>
      </c>
      <c r="G112" s="8">
        <v>270.41947968999995</v>
      </c>
      <c r="H112" s="8">
        <v>303.60045566999997</v>
      </c>
      <c r="I112" s="8">
        <f t="shared" si="96"/>
        <v>993.81951010999978</v>
      </c>
      <c r="J112" s="8">
        <f t="shared" si="97"/>
        <v>1790.2827300199992</v>
      </c>
      <c r="K112" s="8">
        <v>360.04792666000003</v>
      </c>
      <c r="L112" s="8">
        <v>271.12939963999992</v>
      </c>
      <c r="M112" s="8">
        <v>278.20716269999991</v>
      </c>
      <c r="N112" s="8">
        <f t="shared" si="98"/>
        <v>909.38448899999992</v>
      </c>
      <c r="O112" s="8">
        <v>369.41178371000041</v>
      </c>
      <c r="P112" s="8">
        <v>368.46114790000001</v>
      </c>
      <c r="Q112" s="8">
        <v>320.58311907000001</v>
      </c>
      <c r="R112" s="8">
        <f t="shared" si="99"/>
        <v>1058.4560506800005</v>
      </c>
      <c r="S112" s="8">
        <f t="shared" si="100"/>
        <v>1967.8405396800003</v>
      </c>
      <c r="T112" s="8">
        <f t="shared" si="101"/>
        <v>3758.1232696999996</v>
      </c>
      <c r="U112" s="8"/>
      <c r="V112" s="8"/>
    </row>
    <row r="113" spans="1:22" ht="15" customHeight="1" x14ac:dyDescent="0.3">
      <c r="A113" s="12" t="s">
        <v>115</v>
      </c>
      <c r="B113" s="8">
        <v>245.99058073999998</v>
      </c>
      <c r="C113" s="8">
        <v>116.77776093000003</v>
      </c>
      <c r="D113" s="8">
        <v>170.55596838000005</v>
      </c>
      <c r="E113" s="8">
        <f t="shared" si="95"/>
        <v>533.32431005000012</v>
      </c>
      <c r="F113" s="8">
        <v>263.68038498999994</v>
      </c>
      <c r="G113" s="8">
        <v>163.50443802000001</v>
      </c>
      <c r="H113" s="8">
        <v>167.66409079000007</v>
      </c>
      <c r="I113" s="8">
        <f t="shared" si="96"/>
        <v>594.84891379999999</v>
      </c>
      <c r="J113" s="8">
        <f t="shared" si="97"/>
        <v>1128.1732238500001</v>
      </c>
      <c r="K113" s="8">
        <v>245.99724721999999</v>
      </c>
      <c r="L113" s="8">
        <v>177.04278769000004</v>
      </c>
      <c r="M113" s="8">
        <v>126.22132739000003</v>
      </c>
      <c r="N113" s="8">
        <f t="shared" si="98"/>
        <v>549.26136230000009</v>
      </c>
      <c r="O113" s="8">
        <v>248.80702244999989</v>
      </c>
      <c r="P113" s="8">
        <v>212.77498354000002</v>
      </c>
      <c r="Q113" s="8">
        <v>205.6172889100001</v>
      </c>
      <c r="R113" s="8">
        <f t="shared" si="99"/>
        <v>667.19929490000004</v>
      </c>
      <c r="S113" s="8">
        <f t="shared" si="100"/>
        <v>1216.4606572000002</v>
      </c>
      <c r="T113" s="8">
        <f t="shared" si="101"/>
        <v>2344.6338810500001</v>
      </c>
      <c r="U113" s="8"/>
      <c r="V113" s="8"/>
    </row>
    <row r="114" spans="1:22" ht="15" customHeight="1" x14ac:dyDescent="0.3">
      <c r="A114" s="12" t="s">
        <v>116</v>
      </c>
      <c r="B114" s="8">
        <v>214.0209796500001</v>
      </c>
      <c r="C114" s="8">
        <v>120.15390397000009</v>
      </c>
      <c r="D114" s="8">
        <v>123.01437190999999</v>
      </c>
      <c r="E114" s="8">
        <f t="shared" si="95"/>
        <v>457.1892555300002</v>
      </c>
      <c r="F114" s="8">
        <v>226.27021341</v>
      </c>
      <c r="G114" s="8">
        <v>167.61772453999995</v>
      </c>
      <c r="H114" s="8">
        <v>155.94719311</v>
      </c>
      <c r="I114" s="8">
        <f t="shared" si="96"/>
        <v>549.83513105999987</v>
      </c>
      <c r="J114" s="8">
        <f t="shared" si="97"/>
        <v>1007.0243865900001</v>
      </c>
      <c r="K114" s="8">
        <v>223.02948594</v>
      </c>
      <c r="L114" s="8">
        <v>162.24217514000003</v>
      </c>
      <c r="M114" s="8">
        <v>172.99132202999999</v>
      </c>
      <c r="N114" s="8">
        <f t="shared" si="98"/>
        <v>558.26298311000005</v>
      </c>
      <c r="O114" s="8">
        <v>211.53001165000006</v>
      </c>
      <c r="P114" s="8">
        <v>189.54293509000004</v>
      </c>
      <c r="Q114" s="8">
        <v>190.45976941000001</v>
      </c>
      <c r="R114" s="8">
        <f t="shared" si="99"/>
        <v>591.53271615000017</v>
      </c>
      <c r="S114" s="8">
        <f t="shared" si="100"/>
        <v>1149.7956992600002</v>
      </c>
      <c r="T114" s="8">
        <f t="shared" si="101"/>
        <v>2156.8200858500004</v>
      </c>
      <c r="U114" s="8"/>
      <c r="V114" s="8"/>
    </row>
    <row r="115" spans="1:22" ht="18" customHeight="1" x14ac:dyDescent="0.3">
      <c r="A115" s="12" t="s">
        <v>117</v>
      </c>
      <c r="B115" s="8">
        <v>106.11162528000003</v>
      </c>
      <c r="C115" s="8">
        <v>57.112853950000002</v>
      </c>
      <c r="D115" s="8">
        <v>74.196468360000011</v>
      </c>
      <c r="E115" s="8">
        <f t="shared" si="95"/>
        <v>237.42094759000005</v>
      </c>
      <c r="F115" s="8">
        <v>128.58578474000001</v>
      </c>
      <c r="G115" s="8">
        <v>119.34664309999999</v>
      </c>
      <c r="H115" s="8">
        <v>111.28532401000001</v>
      </c>
      <c r="I115" s="8">
        <f t="shared" si="96"/>
        <v>359.21775185000001</v>
      </c>
      <c r="J115" s="8">
        <f t="shared" si="97"/>
        <v>596.6386994400001</v>
      </c>
      <c r="K115" s="8">
        <v>124.08786615000004</v>
      </c>
      <c r="L115" s="8">
        <v>112.68775443</v>
      </c>
      <c r="M115" s="8">
        <v>135.17716052</v>
      </c>
      <c r="N115" s="8">
        <f t="shared" si="98"/>
        <v>371.95278110000004</v>
      </c>
      <c r="O115" s="8">
        <v>124.84881204999998</v>
      </c>
      <c r="P115" s="8">
        <v>105.58765572</v>
      </c>
      <c r="Q115" s="8">
        <v>128.09901431</v>
      </c>
      <c r="R115" s="8">
        <f t="shared" si="99"/>
        <v>358.53548207999995</v>
      </c>
      <c r="S115" s="8">
        <f t="shared" si="100"/>
        <v>730.48826317999999</v>
      </c>
      <c r="T115" s="8">
        <f t="shared" si="101"/>
        <v>1327.1269626200001</v>
      </c>
      <c r="U115" s="8"/>
      <c r="V115" s="8"/>
    </row>
    <row r="116" spans="1:22" ht="18" customHeight="1" x14ac:dyDescent="0.3">
      <c r="A116" s="12" t="s">
        <v>118</v>
      </c>
      <c r="B116" s="8">
        <v>937.01202502000115</v>
      </c>
      <c r="C116" s="8">
        <v>422.54892233999993</v>
      </c>
      <c r="D116" s="8">
        <v>684.18217040000002</v>
      </c>
      <c r="E116" s="8">
        <f t="shared" si="95"/>
        <v>2043.743117760001</v>
      </c>
      <c r="F116" s="8">
        <v>1044.4346529200002</v>
      </c>
      <c r="G116" s="8">
        <v>590.36222296999995</v>
      </c>
      <c r="H116" s="8">
        <v>815.77895853999996</v>
      </c>
      <c r="I116" s="8">
        <f t="shared" si="96"/>
        <v>2450.5758344300002</v>
      </c>
      <c r="J116" s="8">
        <f t="shared" si="97"/>
        <v>4494.3189521900013</v>
      </c>
      <c r="K116" s="8">
        <v>1004.63232411</v>
      </c>
      <c r="L116" s="8">
        <v>764.90643028</v>
      </c>
      <c r="M116" s="8">
        <v>679.4929394100003</v>
      </c>
      <c r="N116" s="8">
        <f t="shared" si="98"/>
        <v>2449.0316938000005</v>
      </c>
      <c r="O116" s="8">
        <v>1614.6360024500002</v>
      </c>
      <c r="P116" s="8">
        <v>779.23275488999968</v>
      </c>
      <c r="Q116" s="8">
        <v>705.80355374999999</v>
      </c>
      <c r="R116" s="8">
        <f t="shared" si="99"/>
        <v>3099.6723110899998</v>
      </c>
      <c r="S116" s="8">
        <f t="shared" si="100"/>
        <v>5548.7040048899999</v>
      </c>
      <c r="T116" s="8">
        <f t="shared" si="101"/>
        <v>10043.02295708</v>
      </c>
      <c r="U116" s="8"/>
      <c r="V116" s="8"/>
    </row>
    <row r="117" spans="1:22" s="10" customFormat="1" ht="15" customHeight="1" x14ac:dyDescent="0.3">
      <c r="A117" s="12"/>
      <c r="B117" s="11"/>
      <c r="C117" s="11"/>
      <c r="D117" s="11"/>
      <c r="E117" s="11"/>
      <c r="F117" s="11"/>
      <c r="G117" s="11"/>
      <c r="H117" s="11"/>
      <c r="I117" s="11"/>
      <c r="J117" s="11"/>
      <c r="K117" s="11"/>
      <c r="L117" s="11"/>
      <c r="M117" s="11"/>
      <c r="N117" s="11"/>
      <c r="O117" s="11"/>
      <c r="P117" s="11"/>
      <c r="Q117" s="11"/>
      <c r="R117" s="11"/>
      <c r="S117" s="11"/>
      <c r="T117" s="11"/>
      <c r="U117" s="11"/>
      <c r="V117" s="11"/>
    </row>
    <row r="118" spans="1:22" s="10" customFormat="1" ht="15" customHeight="1" x14ac:dyDescent="0.25">
      <c r="A118" s="13" t="s">
        <v>119</v>
      </c>
      <c r="B118" s="11">
        <f>SUM(B119:B123)</f>
        <v>5621.7113625799975</v>
      </c>
      <c r="C118" s="11">
        <f t="shared" ref="C118:Q118" si="102">SUM(C119:C123)</f>
        <v>2703.7361713200007</v>
      </c>
      <c r="D118" s="11">
        <f t="shared" si="102"/>
        <v>2737.1813611299995</v>
      </c>
      <c r="E118" s="11">
        <f t="shared" ref="E118:E123" si="103">SUM(B118:D118)</f>
        <v>11062.628895029997</v>
      </c>
      <c r="F118" s="11">
        <f t="shared" si="102"/>
        <v>6305.4595457270007</v>
      </c>
      <c r="G118" s="11">
        <f t="shared" si="102"/>
        <v>4114.2730064530006</v>
      </c>
      <c r="H118" s="11">
        <f t="shared" si="102"/>
        <v>3321.6359793170004</v>
      </c>
      <c r="I118" s="11">
        <f t="shared" ref="I118:I123" si="104">SUM(F118:H118)</f>
        <v>13741.368531497003</v>
      </c>
      <c r="J118" s="11">
        <f t="shared" ref="J118:J123" si="105">+E118+I118</f>
        <v>24803.997426526999</v>
      </c>
      <c r="K118" s="11">
        <f t="shared" si="102"/>
        <v>5681.1351010429998</v>
      </c>
      <c r="L118" s="11">
        <f t="shared" si="102"/>
        <v>4468.5408181169996</v>
      </c>
      <c r="M118" s="11">
        <f t="shared" si="102"/>
        <v>3218.4083339400004</v>
      </c>
      <c r="N118" s="11">
        <f t="shared" ref="N118:N123" si="106">SUM(K118:M118)</f>
        <v>13368.0842531</v>
      </c>
      <c r="O118" s="11">
        <f t="shared" si="102"/>
        <v>5992.897314060001</v>
      </c>
      <c r="P118" s="11">
        <f t="shared" si="102"/>
        <v>5221.9665393300002</v>
      </c>
      <c r="Q118" s="11">
        <f t="shared" si="102"/>
        <v>3325.7889655430004</v>
      </c>
      <c r="R118" s="11">
        <f t="shared" ref="R118:R123" si="107">SUM(O118:Q118)</f>
        <v>14540.652818933002</v>
      </c>
      <c r="S118" s="11">
        <f t="shared" ref="S118:S123" si="108">+N118+R118</f>
        <v>27908.737072033</v>
      </c>
      <c r="T118" s="11">
        <f t="shared" ref="T118:T123" si="109">+J118+S118</f>
        <v>52712.734498559999</v>
      </c>
      <c r="U118" s="11"/>
      <c r="V118" s="11"/>
    </row>
    <row r="119" spans="1:22" ht="15" customHeight="1" x14ac:dyDescent="0.3">
      <c r="A119" s="12" t="s">
        <v>120</v>
      </c>
      <c r="B119" s="8">
        <v>471.48292824999862</v>
      </c>
      <c r="C119" s="8">
        <v>246.86257467999999</v>
      </c>
      <c r="D119" s="8">
        <v>273.18315763999993</v>
      </c>
      <c r="E119" s="8">
        <f t="shared" si="103"/>
        <v>991.52866056999846</v>
      </c>
      <c r="F119" s="8">
        <v>546.13089151999975</v>
      </c>
      <c r="G119" s="8">
        <v>454.32498928999991</v>
      </c>
      <c r="H119" s="8">
        <v>414.4948019200001</v>
      </c>
      <c r="I119" s="8">
        <f t="shared" si="104"/>
        <v>1414.9506827299997</v>
      </c>
      <c r="J119" s="8">
        <f t="shared" si="105"/>
        <v>2406.4793432999982</v>
      </c>
      <c r="K119" s="8">
        <v>509.99553557000019</v>
      </c>
      <c r="L119" s="8">
        <v>480.10353061000001</v>
      </c>
      <c r="M119" s="8">
        <v>417.58828727000008</v>
      </c>
      <c r="N119" s="8">
        <f t="shared" si="106"/>
        <v>1407.6873534500003</v>
      </c>
      <c r="O119" s="8">
        <v>547.05409182000017</v>
      </c>
      <c r="P119" s="8">
        <v>464.05104851999999</v>
      </c>
      <c r="Q119" s="8">
        <v>379.10990523000015</v>
      </c>
      <c r="R119" s="8">
        <f t="shared" si="107"/>
        <v>1390.2150455700003</v>
      </c>
      <c r="S119" s="8">
        <f t="shared" si="108"/>
        <v>2797.9023990200003</v>
      </c>
      <c r="T119" s="8">
        <f t="shared" si="109"/>
        <v>5204.381742319998</v>
      </c>
      <c r="U119" s="8"/>
      <c r="V119" s="8"/>
    </row>
    <row r="120" spans="1:22" ht="15" customHeight="1" x14ac:dyDescent="0.3">
      <c r="A120" s="12" t="s">
        <v>121</v>
      </c>
      <c r="B120" s="8">
        <v>448.63997489999986</v>
      </c>
      <c r="C120" s="8">
        <v>250.32414133000009</v>
      </c>
      <c r="D120" s="8">
        <v>144.40913710000004</v>
      </c>
      <c r="E120" s="8">
        <f t="shared" si="103"/>
        <v>843.37325333000001</v>
      </c>
      <c r="F120" s="8">
        <v>249.096449667</v>
      </c>
      <c r="G120" s="8">
        <v>138.99527296299999</v>
      </c>
      <c r="H120" s="8">
        <v>161.92101439700002</v>
      </c>
      <c r="I120" s="8">
        <f t="shared" si="104"/>
        <v>550.01273702699996</v>
      </c>
      <c r="J120" s="8">
        <f t="shared" si="105"/>
        <v>1393.3859903570001</v>
      </c>
      <c r="K120" s="8">
        <v>205.05301161299994</v>
      </c>
      <c r="L120" s="8">
        <v>197.62610211699999</v>
      </c>
      <c r="M120" s="8">
        <v>182.80024298000001</v>
      </c>
      <c r="N120" s="8">
        <f t="shared" si="106"/>
        <v>585.47935670999993</v>
      </c>
      <c r="O120" s="8">
        <v>268.33110452000005</v>
      </c>
      <c r="P120" s="8">
        <v>223.34353719000006</v>
      </c>
      <c r="Q120" s="8">
        <v>165.21108115300004</v>
      </c>
      <c r="R120" s="8">
        <f t="shared" si="107"/>
        <v>656.88572286300018</v>
      </c>
      <c r="S120" s="8">
        <f t="shared" si="108"/>
        <v>1242.365079573</v>
      </c>
      <c r="T120" s="8">
        <f t="shared" si="109"/>
        <v>2635.7510699300001</v>
      </c>
      <c r="U120" s="8"/>
      <c r="V120" s="8"/>
    </row>
    <row r="121" spans="1:22" ht="15" customHeight="1" x14ac:dyDescent="0.3">
      <c r="A121" s="12" t="s">
        <v>122</v>
      </c>
      <c r="B121" s="8">
        <v>114.95089125999996</v>
      </c>
      <c r="C121" s="8">
        <v>50.206130330000008</v>
      </c>
      <c r="D121" s="8">
        <v>64.752371089999997</v>
      </c>
      <c r="E121" s="8">
        <f t="shared" si="103"/>
        <v>229.90939267999997</v>
      </c>
      <c r="F121" s="8">
        <v>107.61673303000001</v>
      </c>
      <c r="G121" s="8">
        <v>158.10874165999996</v>
      </c>
      <c r="H121" s="8">
        <v>125.69904159000002</v>
      </c>
      <c r="I121" s="8">
        <f t="shared" si="104"/>
        <v>391.42451627999998</v>
      </c>
      <c r="J121" s="8">
        <f t="shared" si="105"/>
        <v>621.33390895999992</v>
      </c>
      <c r="K121" s="8">
        <v>157.98030652</v>
      </c>
      <c r="L121" s="8">
        <v>109.27618778000003</v>
      </c>
      <c r="M121" s="8">
        <v>112.42889816000002</v>
      </c>
      <c r="N121" s="8">
        <f t="shared" si="106"/>
        <v>379.68539246000006</v>
      </c>
      <c r="O121" s="8">
        <v>206.36972420000001</v>
      </c>
      <c r="P121" s="8">
        <v>112.39391770000002</v>
      </c>
      <c r="Q121" s="8">
        <v>121.66823846000003</v>
      </c>
      <c r="R121" s="8">
        <f t="shared" si="107"/>
        <v>440.43188036000004</v>
      </c>
      <c r="S121" s="8">
        <f t="shared" si="108"/>
        <v>820.11727282000015</v>
      </c>
      <c r="T121" s="8">
        <f t="shared" si="109"/>
        <v>1441.4511817800001</v>
      </c>
      <c r="U121" s="8"/>
      <c r="V121" s="8"/>
    </row>
    <row r="122" spans="1:22" ht="15" customHeight="1" x14ac:dyDescent="0.3">
      <c r="A122" s="12" t="s">
        <v>123</v>
      </c>
      <c r="B122" s="8">
        <v>1589.0549810399998</v>
      </c>
      <c r="C122" s="8">
        <v>781.0693932600002</v>
      </c>
      <c r="D122" s="8">
        <v>847.48488606000001</v>
      </c>
      <c r="E122" s="8">
        <f t="shared" si="103"/>
        <v>3217.60926036</v>
      </c>
      <c r="F122" s="8">
        <v>1933.0285995400009</v>
      </c>
      <c r="G122" s="8">
        <v>1124.0091941600003</v>
      </c>
      <c r="H122" s="8">
        <v>1116.6693246700002</v>
      </c>
      <c r="I122" s="8">
        <f t="shared" si="104"/>
        <v>4173.7071183700009</v>
      </c>
      <c r="J122" s="8">
        <f t="shared" si="105"/>
        <v>7391.3163787300009</v>
      </c>
      <c r="K122" s="8">
        <v>1693.8442770999995</v>
      </c>
      <c r="L122" s="8">
        <v>1183.48662251</v>
      </c>
      <c r="M122" s="8">
        <v>996.42947632000028</v>
      </c>
      <c r="N122" s="8">
        <f t="shared" si="106"/>
        <v>3873.76037593</v>
      </c>
      <c r="O122" s="8">
        <v>1921.0692992100007</v>
      </c>
      <c r="P122" s="8">
        <v>1466.0928288100004</v>
      </c>
      <c r="Q122" s="8">
        <v>1043.0715439000003</v>
      </c>
      <c r="R122" s="8">
        <f t="shared" si="107"/>
        <v>4430.2336719200011</v>
      </c>
      <c r="S122" s="8">
        <f t="shared" si="108"/>
        <v>8303.9940478500012</v>
      </c>
      <c r="T122" s="8">
        <f t="shared" si="109"/>
        <v>15695.310426580003</v>
      </c>
      <c r="U122" s="8"/>
      <c r="V122" s="8"/>
    </row>
    <row r="123" spans="1:22" ht="18" customHeight="1" x14ac:dyDescent="0.3">
      <c r="A123" s="12" t="s">
        <v>124</v>
      </c>
      <c r="B123" s="8">
        <v>2997.5825871299994</v>
      </c>
      <c r="C123" s="8">
        <v>1375.2739317200003</v>
      </c>
      <c r="D123" s="8">
        <v>1407.3518092399997</v>
      </c>
      <c r="E123" s="8">
        <f t="shared" si="103"/>
        <v>5780.2083280899997</v>
      </c>
      <c r="F123" s="8">
        <v>3469.5868719699997</v>
      </c>
      <c r="G123" s="8">
        <v>2238.8348083800001</v>
      </c>
      <c r="H123" s="8">
        <v>1502.8517967400001</v>
      </c>
      <c r="I123" s="8">
        <f t="shared" si="104"/>
        <v>7211.2734770900006</v>
      </c>
      <c r="J123" s="8">
        <f t="shared" si="105"/>
        <v>12991.481805179999</v>
      </c>
      <c r="K123" s="8">
        <v>3114.2619702400002</v>
      </c>
      <c r="L123" s="8">
        <v>2498.0483750999997</v>
      </c>
      <c r="M123" s="8">
        <v>1509.1614292100001</v>
      </c>
      <c r="N123" s="8">
        <f t="shared" si="106"/>
        <v>7121.4717745500002</v>
      </c>
      <c r="O123" s="8">
        <v>3050.0730943099998</v>
      </c>
      <c r="P123" s="8">
        <v>2956.0852071099998</v>
      </c>
      <c r="Q123" s="8">
        <v>1616.7281967999998</v>
      </c>
      <c r="R123" s="8">
        <f t="shared" si="107"/>
        <v>7622.8864982199993</v>
      </c>
      <c r="S123" s="8">
        <f t="shared" si="108"/>
        <v>14744.35827277</v>
      </c>
      <c r="T123" s="8">
        <f t="shared" si="109"/>
        <v>27735.840077950001</v>
      </c>
      <c r="U123" s="8"/>
      <c r="V123" s="8"/>
    </row>
    <row r="124" spans="1:22" s="10" customFormat="1" ht="15" customHeight="1" x14ac:dyDescent="0.3">
      <c r="A124" s="12"/>
      <c r="B124" s="11"/>
      <c r="C124" s="11"/>
      <c r="D124" s="11"/>
      <c r="E124" s="11"/>
      <c r="F124" s="11"/>
      <c r="G124" s="11"/>
      <c r="H124" s="11"/>
      <c r="I124" s="11"/>
      <c r="J124" s="11"/>
      <c r="K124" s="11"/>
      <c r="L124" s="11"/>
      <c r="M124" s="11"/>
      <c r="N124" s="11"/>
      <c r="O124" s="11"/>
      <c r="P124" s="11"/>
      <c r="Q124" s="11"/>
      <c r="R124" s="11"/>
      <c r="S124" s="11"/>
      <c r="T124" s="11"/>
      <c r="U124" s="11"/>
      <c r="V124" s="11"/>
    </row>
    <row r="125" spans="1:22" s="10" customFormat="1" ht="15" customHeight="1" x14ac:dyDescent="0.25">
      <c r="A125" s="13" t="s">
        <v>125</v>
      </c>
      <c r="B125" s="11">
        <f>SUM(B126:B129)</f>
        <v>1643.9356619399991</v>
      </c>
      <c r="C125" s="11">
        <f t="shared" ref="C125:Q125" si="110">SUM(C126:C129)</f>
        <v>684.39014537999981</v>
      </c>
      <c r="D125" s="11">
        <f t="shared" si="110"/>
        <v>734.16321915999993</v>
      </c>
      <c r="E125" s="11">
        <f t="shared" ref="E125:E129" si="111">SUM(B125:D125)</f>
        <v>3062.4890264799988</v>
      </c>
      <c r="F125" s="11">
        <f t="shared" si="110"/>
        <v>1336.42967378</v>
      </c>
      <c r="G125" s="11">
        <f t="shared" si="110"/>
        <v>904.03365503000009</v>
      </c>
      <c r="H125" s="11">
        <f t="shared" si="110"/>
        <v>989.34211182000001</v>
      </c>
      <c r="I125" s="11">
        <f t="shared" ref="I125:I129" si="112">SUM(F125:H125)</f>
        <v>3229.8054406300002</v>
      </c>
      <c r="J125" s="11">
        <f t="shared" ref="J125:J129" si="113">+E125+I125</f>
        <v>6292.2944671099995</v>
      </c>
      <c r="K125" s="11">
        <f t="shared" si="110"/>
        <v>1422.4447737400005</v>
      </c>
      <c r="L125" s="11">
        <f t="shared" si="110"/>
        <v>1052.41224547</v>
      </c>
      <c r="M125" s="11">
        <f t="shared" si="110"/>
        <v>931.88653466999983</v>
      </c>
      <c r="N125" s="11">
        <f t="shared" ref="N125:N129" si="114">SUM(K125:M125)</f>
        <v>3406.7435538800005</v>
      </c>
      <c r="O125" s="11">
        <f t="shared" si="110"/>
        <v>1439.9528113200004</v>
      </c>
      <c r="P125" s="11">
        <f t="shared" si="110"/>
        <v>1138.15205117</v>
      </c>
      <c r="Q125" s="11">
        <f t="shared" si="110"/>
        <v>1298.36678031</v>
      </c>
      <c r="R125" s="11">
        <f t="shared" ref="R125:R129" si="115">SUM(O125:Q125)</f>
        <v>3876.4716428000002</v>
      </c>
      <c r="S125" s="11">
        <f t="shared" ref="S125:S129" si="116">+N125+R125</f>
        <v>7283.2151966800011</v>
      </c>
      <c r="T125" s="11">
        <f t="shared" ref="T125:T129" si="117">+J125+S125</f>
        <v>13575.509663790001</v>
      </c>
      <c r="U125" s="11"/>
      <c r="V125" s="11"/>
    </row>
    <row r="126" spans="1:22" ht="15" customHeight="1" x14ac:dyDescent="0.3">
      <c r="A126" s="12" t="s">
        <v>126</v>
      </c>
      <c r="B126" s="8">
        <v>248.74154763999979</v>
      </c>
      <c r="C126" s="8">
        <v>121.28139608999994</v>
      </c>
      <c r="D126" s="8">
        <v>153.52625279999992</v>
      </c>
      <c r="E126" s="8">
        <f t="shared" si="111"/>
        <v>523.54919652999968</v>
      </c>
      <c r="F126" s="8">
        <v>263.34861749999999</v>
      </c>
      <c r="G126" s="8">
        <v>175.66441711000002</v>
      </c>
      <c r="H126" s="8">
        <v>186.81443178999999</v>
      </c>
      <c r="I126" s="8">
        <f t="shared" si="112"/>
        <v>625.82746639999993</v>
      </c>
      <c r="J126" s="8">
        <f t="shared" si="113"/>
        <v>1149.3766629299996</v>
      </c>
      <c r="K126" s="8">
        <v>263.24689894999995</v>
      </c>
      <c r="L126" s="8">
        <v>209.16711666999996</v>
      </c>
      <c r="M126" s="8">
        <v>197.54549107999998</v>
      </c>
      <c r="N126" s="8">
        <f t="shared" si="114"/>
        <v>669.95950669999979</v>
      </c>
      <c r="O126" s="8">
        <v>275.5652178900001</v>
      </c>
      <c r="P126" s="8">
        <v>197.65808659999996</v>
      </c>
      <c r="Q126" s="8">
        <v>258.55193460999993</v>
      </c>
      <c r="R126" s="8">
        <f t="shared" si="115"/>
        <v>731.77523909999991</v>
      </c>
      <c r="S126" s="8">
        <f t="shared" si="116"/>
        <v>1401.7347457999997</v>
      </c>
      <c r="T126" s="8">
        <f t="shared" si="117"/>
        <v>2551.1114087299993</v>
      </c>
      <c r="U126" s="8"/>
      <c r="V126" s="8"/>
    </row>
    <row r="127" spans="1:22" ht="15" customHeight="1" x14ac:dyDescent="0.3">
      <c r="A127" s="12" t="s">
        <v>127</v>
      </c>
      <c r="B127" s="8">
        <v>919.91318884999862</v>
      </c>
      <c r="C127" s="8">
        <v>313.68430224999986</v>
      </c>
      <c r="D127" s="8">
        <v>270.10189557000001</v>
      </c>
      <c r="E127" s="8">
        <f t="shared" si="111"/>
        <v>1503.6993866699986</v>
      </c>
      <c r="F127" s="8">
        <v>552.82446172000016</v>
      </c>
      <c r="G127" s="8">
        <v>359.45796415000001</v>
      </c>
      <c r="H127" s="8">
        <v>391.20981824999996</v>
      </c>
      <c r="I127" s="8">
        <f t="shared" si="112"/>
        <v>1303.4922441200001</v>
      </c>
      <c r="J127" s="8">
        <f t="shared" si="113"/>
        <v>2807.1916307899987</v>
      </c>
      <c r="K127" s="8">
        <v>641.62595496000051</v>
      </c>
      <c r="L127" s="8">
        <v>399.36963323000003</v>
      </c>
      <c r="M127" s="8">
        <v>302.45620013999991</v>
      </c>
      <c r="N127" s="8">
        <f t="shared" si="114"/>
        <v>1343.4517883300005</v>
      </c>
      <c r="O127" s="8">
        <v>588.42628607000029</v>
      </c>
      <c r="P127" s="8">
        <v>411.08181871999983</v>
      </c>
      <c r="Q127" s="8">
        <v>369.50047792000015</v>
      </c>
      <c r="R127" s="8">
        <f t="shared" si="115"/>
        <v>1369.0085827100002</v>
      </c>
      <c r="S127" s="8">
        <f t="shared" si="116"/>
        <v>2712.4603710400006</v>
      </c>
      <c r="T127" s="8">
        <f t="shared" si="117"/>
        <v>5519.6520018299998</v>
      </c>
      <c r="U127" s="8"/>
      <c r="V127" s="8"/>
    </row>
    <row r="128" spans="1:22" ht="15" customHeight="1" x14ac:dyDescent="0.3">
      <c r="A128" s="12" t="s">
        <v>128</v>
      </c>
      <c r="B128" s="8">
        <v>337.20410660000061</v>
      </c>
      <c r="C128" s="8">
        <v>156.05113809999997</v>
      </c>
      <c r="D128" s="8">
        <v>207.56170619</v>
      </c>
      <c r="E128" s="8">
        <f t="shared" si="111"/>
        <v>700.81695089000061</v>
      </c>
      <c r="F128" s="8">
        <v>325.0901748899999</v>
      </c>
      <c r="G128" s="8">
        <v>261.14965070000005</v>
      </c>
      <c r="H128" s="8">
        <v>264.30170479000009</v>
      </c>
      <c r="I128" s="8">
        <f t="shared" si="112"/>
        <v>850.54153038000004</v>
      </c>
      <c r="J128" s="8">
        <f t="shared" si="113"/>
        <v>1551.3584812700005</v>
      </c>
      <c r="K128" s="8">
        <v>340.43251642000001</v>
      </c>
      <c r="L128" s="8">
        <v>328.85313380000008</v>
      </c>
      <c r="M128" s="8">
        <v>325.49830701999997</v>
      </c>
      <c r="N128" s="8">
        <f t="shared" si="114"/>
        <v>994.78395724000006</v>
      </c>
      <c r="O128" s="8">
        <v>359.35506580000009</v>
      </c>
      <c r="P128" s="8">
        <v>350.45568781000009</v>
      </c>
      <c r="Q128" s="8">
        <v>481.59945960999988</v>
      </c>
      <c r="R128" s="8">
        <f t="shared" si="115"/>
        <v>1191.4102132200001</v>
      </c>
      <c r="S128" s="8">
        <f t="shared" si="116"/>
        <v>2186.1941704600004</v>
      </c>
      <c r="T128" s="8">
        <f t="shared" si="117"/>
        <v>3737.5526517300009</v>
      </c>
      <c r="U128" s="8"/>
      <c r="V128" s="8"/>
    </row>
    <row r="129" spans="1:22" ht="15" customHeight="1" x14ac:dyDescent="0.3">
      <c r="A129" s="12" t="s">
        <v>129</v>
      </c>
      <c r="B129" s="8">
        <v>138.07681885000008</v>
      </c>
      <c r="C129" s="8">
        <v>93.37330894000003</v>
      </c>
      <c r="D129" s="8">
        <v>102.9733646</v>
      </c>
      <c r="E129" s="8">
        <f t="shared" si="111"/>
        <v>334.42349239000009</v>
      </c>
      <c r="F129" s="8">
        <v>195.16641967000007</v>
      </c>
      <c r="G129" s="8">
        <v>107.76162307</v>
      </c>
      <c r="H129" s="8">
        <v>147.01615698999998</v>
      </c>
      <c r="I129" s="8">
        <f t="shared" si="112"/>
        <v>449.94419973000004</v>
      </c>
      <c r="J129" s="8">
        <f t="shared" si="113"/>
        <v>784.36769212000013</v>
      </c>
      <c r="K129" s="8">
        <v>177.13940341000003</v>
      </c>
      <c r="L129" s="8">
        <v>115.02236176999997</v>
      </c>
      <c r="M129" s="8">
        <v>106.38653642999999</v>
      </c>
      <c r="N129" s="8">
        <f t="shared" si="114"/>
        <v>398.54830160999995</v>
      </c>
      <c r="O129" s="8">
        <v>216.60624155999994</v>
      </c>
      <c r="P129" s="8">
        <v>178.95645804000003</v>
      </c>
      <c r="Q129" s="8">
        <v>188.71490817000003</v>
      </c>
      <c r="R129" s="8">
        <f t="shared" si="115"/>
        <v>584.27760777000003</v>
      </c>
      <c r="S129" s="8">
        <f t="shared" si="116"/>
        <v>982.82590937999998</v>
      </c>
      <c r="T129" s="8">
        <f t="shared" si="117"/>
        <v>1767.1936015000001</v>
      </c>
      <c r="U129" s="8"/>
      <c r="V129" s="8"/>
    </row>
    <row r="130" spans="1:22" s="10" customFormat="1" ht="15" customHeight="1" x14ac:dyDescent="0.3">
      <c r="A130" s="12"/>
      <c r="B130" s="11"/>
      <c r="C130" s="11"/>
      <c r="D130" s="11"/>
      <c r="E130" s="11"/>
      <c r="F130" s="11"/>
      <c r="G130" s="11"/>
      <c r="H130" s="11"/>
      <c r="I130" s="11"/>
      <c r="J130" s="11"/>
      <c r="K130" s="11"/>
      <c r="L130" s="11"/>
      <c r="M130" s="11"/>
      <c r="N130" s="11"/>
      <c r="O130" s="11"/>
      <c r="P130" s="11"/>
      <c r="Q130" s="11"/>
      <c r="R130" s="11"/>
      <c r="S130" s="11"/>
      <c r="T130" s="11"/>
      <c r="U130" s="11"/>
      <c r="V130" s="11"/>
    </row>
    <row r="131" spans="1:22" s="10" customFormat="1" ht="15" customHeight="1" x14ac:dyDescent="0.25">
      <c r="A131" s="13" t="s">
        <v>130</v>
      </c>
      <c r="B131" s="11">
        <f>SUM(B132:B135)</f>
        <v>1036.3365534699992</v>
      </c>
      <c r="C131" s="11">
        <f t="shared" ref="C131:Q131" si="118">SUM(C132:C135)</f>
        <v>530.5676501800001</v>
      </c>
      <c r="D131" s="11">
        <f t="shared" si="118"/>
        <v>609.59729169000002</v>
      </c>
      <c r="E131" s="11">
        <f t="shared" ref="E131:E135" si="119">SUM(B131:D131)</f>
        <v>2176.5014953399996</v>
      </c>
      <c r="F131" s="11">
        <f t="shared" si="118"/>
        <v>1060.4368858500002</v>
      </c>
      <c r="G131" s="11">
        <f t="shared" si="118"/>
        <v>855.03103744999999</v>
      </c>
      <c r="H131" s="11">
        <f t="shared" si="118"/>
        <v>872.52197811999986</v>
      </c>
      <c r="I131" s="11">
        <f t="shared" ref="I131:I135" si="120">SUM(F131:H131)</f>
        <v>2787.98990142</v>
      </c>
      <c r="J131" s="11">
        <f t="shared" ref="J131:J135" si="121">+E131+I131</f>
        <v>4964.4913967599996</v>
      </c>
      <c r="K131" s="11">
        <f t="shared" si="118"/>
        <v>1041.5731279599997</v>
      </c>
      <c r="L131" s="11">
        <f t="shared" si="118"/>
        <v>886.68654971000001</v>
      </c>
      <c r="M131" s="11">
        <f t="shared" si="118"/>
        <v>890.55798893000008</v>
      </c>
      <c r="N131" s="11">
        <f t="shared" ref="N131:N135" si="122">SUM(K131:M131)</f>
        <v>2818.8176665999999</v>
      </c>
      <c r="O131" s="11">
        <f t="shared" si="118"/>
        <v>1204.6996460700002</v>
      </c>
      <c r="P131" s="11">
        <f t="shared" si="118"/>
        <v>1038.68929759</v>
      </c>
      <c r="Q131" s="11">
        <f t="shared" si="118"/>
        <v>993.34368251000024</v>
      </c>
      <c r="R131" s="11">
        <f t="shared" ref="R131:R135" si="123">SUM(O131:Q131)</f>
        <v>3236.7326261700005</v>
      </c>
      <c r="S131" s="11">
        <f t="shared" ref="S131:S135" si="124">+N131+R131</f>
        <v>6055.5502927699999</v>
      </c>
      <c r="T131" s="11">
        <f t="shared" ref="T131:T135" si="125">+J131+S131</f>
        <v>11020.04168953</v>
      </c>
      <c r="U131" s="11"/>
      <c r="V131" s="11"/>
    </row>
    <row r="132" spans="1:22" ht="15" customHeight="1" x14ac:dyDescent="0.3">
      <c r="A132" s="12" t="s">
        <v>131</v>
      </c>
      <c r="B132" s="8">
        <v>447.15646463999974</v>
      </c>
      <c r="C132" s="8">
        <v>211.41057212000013</v>
      </c>
      <c r="D132" s="8">
        <v>268.85705798000004</v>
      </c>
      <c r="E132" s="8">
        <f t="shared" si="119"/>
        <v>927.42409473999987</v>
      </c>
      <c r="F132" s="8">
        <v>446.12614594000024</v>
      </c>
      <c r="G132" s="8">
        <v>425.10189346999999</v>
      </c>
      <c r="H132" s="8">
        <v>382.73451857999993</v>
      </c>
      <c r="I132" s="8">
        <f t="shared" si="120"/>
        <v>1253.9625579900003</v>
      </c>
      <c r="J132" s="8">
        <f t="shared" si="121"/>
        <v>2181.3866527300002</v>
      </c>
      <c r="K132" s="8">
        <v>432.40391848999991</v>
      </c>
      <c r="L132" s="8">
        <v>380.37089459000003</v>
      </c>
      <c r="M132" s="8">
        <v>367.02139034000004</v>
      </c>
      <c r="N132" s="8">
        <f t="shared" si="122"/>
        <v>1179.79620342</v>
      </c>
      <c r="O132" s="8">
        <v>539.99338896000017</v>
      </c>
      <c r="P132" s="8">
        <v>517.53555666999989</v>
      </c>
      <c r="Q132" s="8">
        <v>491.69727484000015</v>
      </c>
      <c r="R132" s="8">
        <f t="shared" si="123"/>
        <v>1549.2262204700003</v>
      </c>
      <c r="S132" s="8">
        <f t="shared" si="124"/>
        <v>2729.02242389</v>
      </c>
      <c r="T132" s="8">
        <f t="shared" si="125"/>
        <v>4910.4090766200006</v>
      </c>
      <c r="U132" s="8"/>
      <c r="V132" s="8"/>
    </row>
    <row r="133" spans="1:22" ht="15" customHeight="1" x14ac:dyDescent="0.3">
      <c r="A133" s="12" t="s">
        <v>132</v>
      </c>
      <c r="B133" s="8">
        <v>152.50890972999994</v>
      </c>
      <c r="C133" s="8">
        <v>109.24549625999998</v>
      </c>
      <c r="D133" s="8">
        <v>106.61432614000003</v>
      </c>
      <c r="E133" s="8">
        <f t="shared" si="119"/>
        <v>368.3687321299999</v>
      </c>
      <c r="F133" s="8">
        <v>153.33126852999996</v>
      </c>
      <c r="G133" s="8">
        <v>129.86958046000001</v>
      </c>
      <c r="H133" s="8">
        <v>129.54086962000002</v>
      </c>
      <c r="I133" s="8">
        <f t="shared" si="120"/>
        <v>412.74171860999996</v>
      </c>
      <c r="J133" s="8">
        <f t="shared" si="121"/>
        <v>781.11045073999981</v>
      </c>
      <c r="K133" s="8">
        <v>159.73737915000001</v>
      </c>
      <c r="L133" s="8">
        <v>140.39853029000002</v>
      </c>
      <c r="M133" s="8">
        <v>149.55824184000002</v>
      </c>
      <c r="N133" s="8">
        <f t="shared" si="122"/>
        <v>449.69415128000003</v>
      </c>
      <c r="O133" s="8">
        <v>183.50373002000003</v>
      </c>
      <c r="P133" s="8">
        <v>154.12970933000003</v>
      </c>
      <c r="Q133" s="8">
        <v>127.22746741999998</v>
      </c>
      <c r="R133" s="8">
        <f t="shared" si="123"/>
        <v>464.86090677000004</v>
      </c>
      <c r="S133" s="8">
        <f t="shared" si="124"/>
        <v>914.55505805000007</v>
      </c>
      <c r="T133" s="8">
        <f t="shared" si="125"/>
        <v>1695.6655087899999</v>
      </c>
      <c r="U133" s="8"/>
      <c r="V133" s="8"/>
    </row>
    <row r="134" spans="1:22" ht="15" customHeight="1" x14ac:dyDescent="0.3">
      <c r="A134" s="12" t="s">
        <v>133</v>
      </c>
      <c r="B134" s="8">
        <v>250.13189576999972</v>
      </c>
      <c r="C134" s="8">
        <v>123.60003893</v>
      </c>
      <c r="D134" s="8">
        <v>138.43521255000002</v>
      </c>
      <c r="E134" s="8">
        <f t="shared" si="119"/>
        <v>512.16714724999974</v>
      </c>
      <c r="F134" s="8">
        <v>287.58717896999997</v>
      </c>
      <c r="G134" s="8">
        <v>171.64310005000002</v>
      </c>
      <c r="H134" s="8">
        <v>190.02551550000001</v>
      </c>
      <c r="I134" s="8">
        <f t="shared" si="120"/>
        <v>649.25579451999999</v>
      </c>
      <c r="J134" s="8">
        <f t="shared" si="121"/>
        <v>1161.4229417699999</v>
      </c>
      <c r="K134" s="8">
        <v>239.20214093999999</v>
      </c>
      <c r="L134" s="8">
        <v>218.77129363</v>
      </c>
      <c r="M134" s="8">
        <v>192.83215457999998</v>
      </c>
      <c r="N134" s="8">
        <f t="shared" si="122"/>
        <v>650.80558914999995</v>
      </c>
      <c r="O134" s="8">
        <v>275.33263519000002</v>
      </c>
      <c r="P134" s="8">
        <v>196.46778406999999</v>
      </c>
      <c r="Q134" s="8">
        <v>244.39607576000003</v>
      </c>
      <c r="R134" s="8">
        <f t="shared" si="123"/>
        <v>716.19649502000004</v>
      </c>
      <c r="S134" s="8">
        <f t="shared" si="124"/>
        <v>1367.00208417</v>
      </c>
      <c r="T134" s="8">
        <f t="shared" si="125"/>
        <v>2528.4250259399996</v>
      </c>
      <c r="U134" s="8"/>
      <c r="V134" s="8"/>
    </row>
    <row r="135" spans="1:22" ht="15" customHeight="1" x14ac:dyDescent="0.3">
      <c r="A135" s="12" t="s">
        <v>134</v>
      </c>
      <c r="B135" s="8">
        <v>186.53928332999988</v>
      </c>
      <c r="C135" s="8">
        <v>86.311542870000011</v>
      </c>
      <c r="D135" s="8">
        <v>95.690695019999978</v>
      </c>
      <c r="E135" s="8">
        <f t="shared" si="119"/>
        <v>368.54152121999988</v>
      </c>
      <c r="F135" s="8">
        <v>173.39229241000001</v>
      </c>
      <c r="G135" s="8">
        <v>128.41646347</v>
      </c>
      <c r="H135" s="8">
        <v>170.22107441999998</v>
      </c>
      <c r="I135" s="8">
        <f t="shared" si="120"/>
        <v>472.02983030000001</v>
      </c>
      <c r="J135" s="8">
        <f t="shared" si="121"/>
        <v>840.57135151999989</v>
      </c>
      <c r="K135" s="8">
        <v>210.22968937999994</v>
      </c>
      <c r="L135" s="8">
        <v>147.14583119999998</v>
      </c>
      <c r="M135" s="8">
        <v>181.14620217000001</v>
      </c>
      <c r="N135" s="8">
        <f t="shared" si="122"/>
        <v>538.52172274999998</v>
      </c>
      <c r="O135" s="8">
        <v>205.86989189999994</v>
      </c>
      <c r="P135" s="8">
        <v>170.55624752</v>
      </c>
      <c r="Q135" s="8">
        <v>130.02286449000002</v>
      </c>
      <c r="R135" s="8">
        <f t="shared" si="123"/>
        <v>506.44900390999993</v>
      </c>
      <c r="S135" s="8">
        <f t="shared" si="124"/>
        <v>1044.9707266599999</v>
      </c>
      <c r="T135" s="8">
        <f t="shared" si="125"/>
        <v>1885.5420781799999</v>
      </c>
      <c r="U135" s="8"/>
      <c r="V135" s="8"/>
    </row>
    <row r="136" spans="1:22" s="10" customFormat="1" ht="15" customHeight="1" x14ac:dyDescent="0.3">
      <c r="A136" s="12"/>
      <c r="B136" s="11"/>
      <c r="C136" s="11"/>
      <c r="D136" s="11"/>
      <c r="E136" s="11"/>
      <c r="F136" s="11"/>
      <c r="G136" s="11"/>
      <c r="H136" s="11"/>
      <c r="I136" s="11"/>
      <c r="J136" s="11"/>
      <c r="K136" s="11"/>
      <c r="L136" s="11"/>
      <c r="M136" s="11"/>
      <c r="N136" s="11"/>
      <c r="O136" s="11"/>
      <c r="P136" s="11"/>
      <c r="Q136" s="11"/>
      <c r="R136" s="11"/>
      <c r="S136" s="11"/>
      <c r="T136" s="11"/>
      <c r="U136" s="11"/>
      <c r="V136" s="11"/>
    </row>
    <row r="137" spans="1:22" s="10" customFormat="1" ht="15" customHeight="1" x14ac:dyDescent="0.25">
      <c r="A137" s="14" t="s">
        <v>135</v>
      </c>
      <c r="B137" s="11">
        <f>SUM(B138:B143)</f>
        <v>521.74039805000007</v>
      </c>
      <c r="C137" s="11">
        <f t="shared" ref="C137:Q137" si="126">SUM(C138:C143)</f>
        <v>336.72558302999988</v>
      </c>
      <c r="D137" s="11">
        <f t="shared" si="126"/>
        <v>352.2265198799999</v>
      </c>
      <c r="E137" s="11">
        <f t="shared" ref="E137:E142" si="127">SUM(B137:D137)</f>
        <v>1210.6925009599997</v>
      </c>
      <c r="F137" s="11">
        <f t="shared" si="126"/>
        <v>445.83761373000004</v>
      </c>
      <c r="G137" s="11">
        <f t="shared" si="126"/>
        <v>414.22611093000006</v>
      </c>
      <c r="H137" s="11">
        <f t="shared" si="126"/>
        <v>385.39745812000001</v>
      </c>
      <c r="I137" s="11">
        <f t="shared" ref="I137:I142" si="128">SUM(F137:H137)</f>
        <v>1245.4611827800002</v>
      </c>
      <c r="J137" s="11">
        <f t="shared" ref="J137:J142" si="129">+E137+I137</f>
        <v>2456.1536837399999</v>
      </c>
      <c r="K137" s="11">
        <f t="shared" si="126"/>
        <v>483.74843286999999</v>
      </c>
      <c r="L137" s="11">
        <f t="shared" si="126"/>
        <v>372.83606786999997</v>
      </c>
      <c r="M137" s="11">
        <f t="shared" si="126"/>
        <v>423.72342380999987</v>
      </c>
      <c r="N137" s="11">
        <f t="shared" ref="N137:N142" si="130">SUM(K137:M137)</f>
        <v>1280.3079245499998</v>
      </c>
      <c r="O137" s="11">
        <f t="shared" si="126"/>
        <v>552.78959284999996</v>
      </c>
      <c r="P137" s="11">
        <f t="shared" si="126"/>
        <v>537.52861791000009</v>
      </c>
      <c r="Q137" s="11">
        <f t="shared" si="126"/>
        <v>632.08604073999982</v>
      </c>
      <c r="R137" s="11">
        <f t="shared" ref="R137:R142" si="131">SUM(O137:Q137)</f>
        <v>1722.4042514999999</v>
      </c>
      <c r="S137" s="11">
        <f t="shared" ref="S137:S142" si="132">+N137+R137</f>
        <v>3002.7121760499995</v>
      </c>
      <c r="T137" s="11">
        <f t="shared" ref="T137:T142" si="133">+J137+S137</f>
        <v>5458.8658597899994</v>
      </c>
      <c r="U137" s="11"/>
      <c r="V137" s="11"/>
    </row>
    <row r="138" spans="1:22" ht="15" customHeight="1" x14ac:dyDescent="0.3">
      <c r="A138" s="12" t="s">
        <v>136</v>
      </c>
      <c r="B138" s="8">
        <v>56.350129699999989</v>
      </c>
      <c r="C138" s="8">
        <v>24.747628679999998</v>
      </c>
      <c r="D138" s="8">
        <v>25.898537479999998</v>
      </c>
      <c r="E138" s="8">
        <f t="shared" si="127"/>
        <v>106.99629585999999</v>
      </c>
      <c r="F138" s="8">
        <v>35.500644410000007</v>
      </c>
      <c r="G138" s="8">
        <v>25.528086829999999</v>
      </c>
      <c r="H138" s="8">
        <v>34.148057259999995</v>
      </c>
      <c r="I138" s="8">
        <f t="shared" si="128"/>
        <v>95.176788500000001</v>
      </c>
      <c r="J138" s="8">
        <f t="shared" si="129"/>
        <v>202.17308435999999</v>
      </c>
      <c r="K138" s="8">
        <v>39.277677799999999</v>
      </c>
      <c r="L138" s="8">
        <v>30.731177799999998</v>
      </c>
      <c r="M138" s="8">
        <v>43.384255709999991</v>
      </c>
      <c r="N138" s="8">
        <f t="shared" si="130"/>
        <v>113.39311130999999</v>
      </c>
      <c r="O138" s="8">
        <v>55.141986640000006</v>
      </c>
      <c r="P138" s="8">
        <v>38.398518190000004</v>
      </c>
      <c r="Q138" s="8">
        <v>51.932340729999986</v>
      </c>
      <c r="R138" s="8">
        <f t="shared" si="131"/>
        <v>145.47284556</v>
      </c>
      <c r="S138" s="8">
        <f t="shared" si="132"/>
        <v>258.86595686999999</v>
      </c>
      <c r="T138" s="8">
        <f t="shared" si="133"/>
        <v>461.03904122999995</v>
      </c>
      <c r="U138" s="8"/>
      <c r="V138" s="8"/>
    </row>
    <row r="139" spans="1:22" ht="15" customHeight="1" x14ac:dyDescent="0.3">
      <c r="A139" s="12" t="s">
        <v>137</v>
      </c>
      <c r="B139" s="8">
        <v>95.147653970000022</v>
      </c>
      <c r="C139" s="8">
        <v>69.811287879999995</v>
      </c>
      <c r="D139" s="8">
        <v>65.750386250000005</v>
      </c>
      <c r="E139" s="8">
        <f t="shared" si="127"/>
        <v>230.70932810000005</v>
      </c>
      <c r="F139" s="8">
        <v>109.09675902000001</v>
      </c>
      <c r="G139" s="8">
        <v>69.224583030000005</v>
      </c>
      <c r="H139" s="8">
        <v>77.70608759000001</v>
      </c>
      <c r="I139" s="8">
        <f t="shared" si="128"/>
        <v>256.02742964000004</v>
      </c>
      <c r="J139" s="8">
        <f t="shared" si="129"/>
        <v>486.73675774000009</v>
      </c>
      <c r="K139" s="8">
        <v>84.677641049999991</v>
      </c>
      <c r="L139" s="8">
        <v>74.395330680000001</v>
      </c>
      <c r="M139" s="8">
        <v>71.893096589999999</v>
      </c>
      <c r="N139" s="8">
        <f t="shared" si="130"/>
        <v>230.96606832000001</v>
      </c>
      <c r="O139" s="8">
        <v>90.054639449999982</v>
      </c>
      <c r="P139" s="8">
        <v>96.769790880000002</v>
      </c>
      <c r="Q139" s="8">
        <v>86.327384030000005</v>
      </c>
      <c r="R139" s="8">
        <f t="shared" si="131"/>
        <v>273.15181436</v>
      </c>
      <c r="S139" s="8">
        <f t="shared" si="132"/>
        <v>504.11788267999998</v>
      </c>
      <c r="T139" s="8">
        <f t="shared" si="133"/>
        <v>990.85464042000012</v>
      </c>
      <c r="U139" s="8"/>
      <c r="V139" s="8"/>
    </row>
    <row r="140" spans="1:22" ht="15" customHeight="1" x14ac:dyDescent="0.3">
      <c r="A140" s="12" t="s">
        <v>138</v>
      </c>
      <c r="B140" s="8">
        <v>325.61145572000009</v>
      </c>
      <c r="C140" s="8">
        <v>209.31886719999989</v>
      </c>
      <c r="D140" s="8">
        <v>224.64611778999989</v>
      </c>
      <c r="E140" s="8">
        <f t="shared" si="127"/>
        <v>759.57644070999982</v>
      </c>
      <c r="F140" s="8">
        <v>233.92201660000003</v>
      </c>
      <c r="G140" s="8">
        <v>259.81598901000001</v>
      </c>
      <c r="H140" s="8">
        <v>234.38978631999998</v>
      </c>
      <c r="I140" s="8">
        <f t="shared" si="128"/>
        <v>728.12779193000006</v>
      </c>
      <c r="J140" s="8">
        <f t="shared" si="129"/>
        <v>1487.7042326399999</v>
      </c>
      <c r="K140" s="8">
        <v>297.06309972999998</v>
      </c>
      <c r="L140" s="8">
        <v>195.45473176999994</v>
      </c>
      <c r="M140" s="8">
        <v>255.0972615899999</v>
      </c>
      <c r="N140" s="8">
        <f t="shared" si="130"/>
        <v>747.61509308999985</v>
      </c>
      <c r="O140" s="8">
        <v>335.18849057</v>
      </c>
      <c r="P140" s="8">
        <v>352.94433713000006</v>
      </c>
      <c r="Q140" s="8">
        <v>418.53252683999995</v>
      </c>
      <c r="R140" s="8">
        <f t="shared" si="131"/>
        <v>1106.66535454</v>
      </c>
      <c r="S140" s="8">
        <f t="shared" si="132"/>
        <v>1854.2804476299998</v>
      </c>
      <c r="T140" s="8">
        <f t="shared" si="133"/>
        <v>3341.9846802699994</v>
      </c>
      <c r="U140" s="8"/>
      <c r="V140" s="8"/>
    </row>
    <row r="141" spans="1:22" ht="15" customHeight="1" x14ac:dyDescent="0.3">
      <c r="A141" s="12" t="s">
        <v>139</v>
      </c>
      <c r="B141" s="8">
        <v>24.320352279999998</v>
      </c>
      <c r="C141" s="8">
        <v>17.146067859999995</v>
      </c>
      <c r="D141" s="8">
        <v>16.505175060000003</v>
      </c>
      <c r="E141" s="8">
        <f t="shared" si="127"/>
        <v>57.971595199999996</v>
      </c>
      <c r="F141" s="8">
        <v>39.962779409999996</v>
      </c>
      <c r="G141" s="8">
        <v>30.856711790000002</v>
      </c>
      <c r="H141" s="8">
        <v>23.71659228</v>
      </c>
      <c r="I141" s="8">
        <f t="shared" si="128"/>
        <v>94.536083480000002</v>
      </c>
      <c r="J141" s="8">
        <f t="shared" si="129"/>
        <v>152.50767868</v>
      </c>
      <c r="K141" s="8">
        <v>30.338533509999998</v>
      </c>
      <c r="L141" s="8">
        <v>41.918404420000002</v>
      </c>
      <c r="M141" s="8">
        <v>30.424309679999997</v>
      </c>
      <c r="N141" s="8">
        <f t="shared" si="130"/>
        <v>102.68124760999999</v>
      </c>
      <c r="O141" s="8">
        <v>44.729134210000005</v>
      </c>
      <c r="P141" s="8">
        <v>32.43213746</v>
      </c>
      <c r="Q141" s="8">
        <v>42.013958799999997</v>
      </c>
      <c r="R141" s="8">
        <f t="shared" si="131"/>
        <v>119.17523047</v>
      </c>
      <c r="S141" s="8">
        <f t="shared" si="132"/>
        <v>221.85647807999999</v>
      </c>
      <c r="T141" s="8">
        <f t="shared" si="133"/>
        <v>374.36415676000001</v>
      </c>
      <c r="U141" s="8"/>
      <c r="V141" s="8"/>
    </row>
    <row r="142" spans="1:22" ht="15" customHeight="1" x14ac:dyDescent="0.3">
      <c r="A142" s="12" t="s">
        <v>140</v>
      </c>
      <c r="B142" s="8">
        <v>20.310806379999999</v>
      </c>
      <c r="C142" s="8">
        <v>15.701731410000001</v>
      </c>
      <c r="D142" s="8">
        <v>19.426303299999997</v>
      </c>
      <c r="E142" s="8">
        <f t="shared" si="127"/>
        <v>55.438841089999997</v>
      </c>
      <c r="F142" s="8">
        <v>27.355414289999995</v>
      </c>
      <c r="G142" s="8">
        <v>28.800740270000002</v>
      </c>
      <c r="H142" s="8">
        <v>15.436934670000001</v>
      </c>
      <c r="I142" s="8">
        <f t="shared" si="128"/>
        <v>71.593089230000004</v>
      </c>
      <c r="J142" s="8">
        <f t="shared" si="129"/>
        <v>127.03193032</v>
      </c>
      <c r="K142" s="8">
        <v>32.391480780000002</v>
      </c>
      <c r="L142" s="8">
        <v>30.336423199999999</v>
      </c>
      <c r="M142" s="8">
        <v>22.924500239999997</v>
      </c>
      <c r="N142" s="8">
        <f t="shared" si="130"/>
        <v>85.652404219999994</v>
      </c>
      <c r="O142" s="8">
        <v>27.675341979999999</v>
      </c>
      <c r="P142" s="8">
        <v>16.983834250000001</v>
      </c>
      <c r="Q142" s="8">
        <v>33.279830340000004</v>
      </c>
      <c r="R142" s="8">
        <f t="shared" si="131"/>
        <v>77.939006570000004</v>
      </c>
      <c r="S142" s="8">
        <f t="shared" si="132"/>
        <v>163.59141079</v>
      </c>
      <c r="T142" s="8">
        <f t="shared" si="133"/>
        <v>290.62334111000001</v>
      </c>
      <c r="U142" s="8"/>
      <c r="V142" s="8"/>
    </row>
    <row r="143" spans="1:22" ht="18" customHeight="1" x14ac:dyDescent="0.3">
      <c r="A143" s="12" t="s">
        <v>141</v>
      </c>
      <c r="B143" s="8"/>
      <c r="C143" s="8"/>
      <c r="D143" s="8"/>
      <c r="E143" s="8"/>
      <c r="F143" s="8"/>
      <c r="G143" s="8"/>
      <c r="H143" s="8"/>
      <c r="I143" s="8"/>
      <c r="J143" s="8"/>
      <c r="K143" s="8"/>
      <c r="L143" s="8"/>
      <c r="M143" s="8"/>
      <c r="N143" s="8"/>
      <c r="O143" s="8"/>
      <c r="P143" s="8"/>
      <c r="Q143" s="8"/>
      <c r="R143" s="8"/>
      <c r="S143" s="8"/>
      <c r="T143" s="8"/>
      <c r="U143" s="8"/>
      <c r="V143" s="8"/>
    </row>
    <row r="144" spans="1:22" ht="15" customHeight="1" x14ac:dyDescent="0.3">
      <c r="B144" s="8"/>
      <c r="C144" s="8"/>
      <c r="D144" s="8"/>
      <c r="E144" s="8"/>
      <c r="F144" s="8"/>
      <c r="G144" s="8"/>
      <c r="H144" s="8"/>
      <c r="I144" s="8"/>
      <c r="J144" s="8"/>
      <c r="K144" s="8"/>
      <c r="L144" s="8"/>
      <c r="M144" s="8"/>
      <c r="N144" s="8"/>
      <c r="O144" s="8"/>
      <c r="P144" s="8"/>
      <c r="Q144" s="8"/>
      <c r="R144" s="8"/>
      <c r="S144" s="8"/>
      <c r="T144" s="8"/>
      <c r="U144" s="8"/>
      <c r="V144" s="8"/>
    </row>
    <row r="145" spans="1:36" s="10" customFormat="1" ht="15" customHeight="1" x14ac:dyDescent="0.25">
      <c r="A145" s="10" t="s">
        <v>142</v>
      </c>
      <c r="B145" s="11">
        <f>+B7+B25+B33+B39+B45+B56+B64+B71+B79+B86+B90+B96+B104+B111+B118+B125+B131+B137</f>
        <v>302628.37110719999</v>
      </c>
      <c r="C145" s="11">
        <f t="shared" ref="C145:Q145" si="134">+C7+C25+C33+C39+C45+C56+C64+C71+C79+C86+C90+C96+C104+C111+C118+C125+C131+C137</f>
        <v>133021.96329801</v>
      </c>
      <c r="D145" s="11">
        <f t="shared" si="134"/>
        <v>136165.96848894001</v>
      </c>
      <c r="E145" s="11">
        <f>SUM(B145:D145)</f>
        <v>571816.30289415002</v>
      </c>
      <c r="F145" s="11">
        <f t="shared" si="134"/>
        <v>365563.73941223708</v>
      </c>
      <c r="G145" s="11">
        <f t="shared" si="134"/>
        <v>213479.14891628301</v>
      </c>
      <c r="H145" s="11">
        <f t="shared" si="134"/>
        <v>169898.40316755706</v>
      </c>
      <c r="I145" s="11">
        <f>SUM(F145:H145)</f>
        <v>748941.2914960772</v>
      </c>
      <c r="J145" s="11">
        <f t="shared" ref="J145" si="135">+E145+I145</f>
        <v>1320757.5943902272</v>
      </c>
      <c r="K145" s="11">
        <f t="shared" si="134"/>
        <v>309961.9412384489</v>
      </c>
      <c r="L145" s="11">
        <f t="shared" si="134"/>
        <v>230695.17197538193</v>
      </c>
      <c r="M145" s="11">
        <f t="shared" si="134"/>
        <v>163803.75020266301</v>
      </c>
      <c r="N145" s="11">
        <f>SUM(K145:M145)</f>
        <v>704460.86341649387</v>
      </c>
      <c r="O145" s="11">
        <f t="shared" si="134"/>
        <v>321442.50923346105</v>
      </c>
      <c r="P145" s="11">
        <f t="shared" si="134"/>
        <v>239056.86324857295</v>
      </c>
      <c r="Q145" s="11">
        <f t="shared" si="134"/>
        <v>182700.31024991299</v>
      </c>
      <c r="R145" s="11">
        <f>SUM(O145:Q145)</f>
        <v>743199.68273194705</v>
      </c>
      <c r="S145" s="11">
        <f t="shared" ref="S145" si="136">+N145+R145</f>
        <v>1447660.5461484408</v>
      </c>
      <c r="T145" s="11">
        <f>+J145+S145</f>
        <v>2768418.1405386683</v>
      </c>
      <c r="U145" s="11"/>
      <c r="V145" s="11"/>
    </row>
    <row r="146" spans="1:36" ht="15" customHeight="1" x14ac:dyDescent="0.3">
      <c r="B146" s="8"/>
      <c r="C146" s="8"/>
      <c r="D146" s="8"/>
      <c r="E146" s="8"/>
      <c r="F146" s="8"/>
      <c r="G146" s="8"/>
      <c r="H146" s="8"/>
      <c r="I146" s="8"/>
      <c r="J146" s="8"/>
      <c r="K146" s="8"/>
      <c r="L146" s="8"/>
      <c r="M146" s="8"/>
      <c r="N146" s="8"/>
      <c r="O146" s="8"/>
      <c r="P146" s="8"/>
      <c r="Q146" s="8"/>
      <c r="R146" s="8"/>
      <c r="S146" s="8"/>
      <c r="T146" s="8"/>
      <c r="U146" s="8"/>
      <c r="V146" s="8"/>
    </row>
    <row r="147" spans="1:36" s="10" customFormat="1" ht="15" customHeight="1" x14ac:dyDescent="0.25">
      <c r="A147" s="10" t="s">
        <v>143</v>
      </c>
      <c r="B147" s="11">
        <v>5797.6538094599991</v>
      </c>
      <c r="C147" s="11">
        <v>5710.7140019999997</v>
      </c>
      <c r="D147" s="11">
        <v>9620.0878539000005</v>
      </c>
      <c r="E147" s="11">
        <f>SUM(B147:D147)</f>
        <v>21128.455665360001</v>
      </c>
      <c r="F147" s="11">
        <v>13480.18538058</v>
      </c>
      <c r="G147" s="11">
        <v>6391.2361330900003</v>
      </c>
      <c r="H147" s="11">
        <v>6975.6007875300002</v>
      </c>
      <c r="I147" s="11">
        <f>SUM(F147:H147)</f>
        <v>26847.022301199999</v>
      </c>
      <c r="J147" s="11">
        <f t="shared" ref="J147" si="137">+E147+I147</f>
        <v>47975.47796656</v>
      </c>
      <c r="K147" s="11">
        <v>9834.1200390400008</v>
      </c>
      <c r="L147" s="11">
        <v>7709.260383849999</v>
      </c>
      <c r="M147" s="11">
        <v>12605.330551809999</v>
      </c>
      <c r="N147" s="11">
        <f>SUM(K147:M147)</f>
        <v>30148.710974699999</v>
      </c>
      <c r="O147" s="11">
        <v>4176.5998696000006</v>
      </c>
      <c r="P147" s="11">
        <v>9053.4593256700009</v>
      </c>
      <c r="Q147" s="11">
        <v>5249.3383206100007</v>
      </c>
      <c r="R147" s="11">
        <f>SUM(O147:Q147)</f>
        <v>18479.397515880002</v>
      </c>
      <c r="S147" s="11">
        <f t="shared" ref="S147" si="138">+N147+R147</f>
        <v>48628.108490580002</v>
      </c>
      <c r="T147" s="11">
        <f>+J147+S147</f>
        <v>96603.586457140002</v>
      </c>
      <c r="U147" s="11"/>
      <c r="V147" s="11"/>
      <c r="W147" s="15"/>
      <c r="X147" s="15"/>
      <c r="Y147" s="15"/>
      <c r="Z147" s="15"/>
      <c r="AA147" s="15"/>
      <c r="AB147" s="15"/>
      <c r="AC147" s="15"/>
      <c r="AD147" s="15"/>
      <c r="AE147" s="15"/>
      <c r="AF147" s="15"/>
      <c r="AG147" s="15"/>
      <c r="AH147" s="15"/>
      <c r="AI147" s="15"/>
      <c r="AJ147" s="15"/>
    </row>
    <row r="148" spans="1:36" s="10" customFormat="1" ht="15" customHeight="1" x14ac:dyDescent="0.2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spans="1:36" s="10" customFormat="1" ht="15" customHeight="1" x14ac:dyDescent="0.25">
      <c r="A149" s="10" t="s">
        <v>144</v>
      </c>
      <c r="B149" s="15">
        <v>9.2214655699985464</v>
      </c>
      <c r="C149" s="15">
        <v>17.164305990001886</v>
      </c>
      <c r="D149" s="15">
        <v>29.957853840000507</v>
      </c>
      <c r="E149" s="15">
        <f>SUM(B149:D149)</f>
        <v>56.343625400000938</v>
      </c>
      <c r="F149" s="15">
        <v>-189.20026036699855</v>
      </c>
      <c r="G149" s="15">
        <v>74.89797811700123</v>
      </c>
      <c r="H149" s="15">
        <v>-103.17510943700248</v>
      </c>
      <c r="I149" s="15">
        <f>SUM(F149:H149)</f>
        <v>-217.47739168699979</v>
      </c>
      <c r="J149" s="15">
        <f t="shared" ref="J149" si="139">+E149+I149</f>
        <v>-161.13376628699885</v>
      </c>
      <c r="K149" s="15">
        <v>192.63482396099857</v>
      </c>
      <c r="L149" s="15">
        <v>132.94605903799916</v>
      </c>
      <c r="M149" s="15">
        <v>-53.925375942999814</v>
      </c>
      <c r="N149" s="15">
        <f>SUM(K149:M149)</f>
        <v>271.65550705599787</v>
      </c>
      <c r="O149" s="15">
        <v>100.56097265300326</v>
      </c>
      <c r="P149" s="15">
        <v>-82.288733242998887</v>
      </c>
      <c r="Q149" s="15">
        <v>2.3087938769979615</v>
      </c>
      <c r="R149" s="15">
        <f>SUM(O149:Q149)</f>
        <v>20.581033287002334</v>
      </c>
      <c r="S149" s="15">
        <f t="shared" ref="S149" si="140">+N149+R149</f>
        <v>292.23654034300023</v>
      </c>
      <c r="T149" s="15">
        <f>+J149+S149</f>
        <v>131.10277405600138</v>
      </c>
      <c r="U149" s="15"/>
      <c r="V149" s="15"/>
      <c r="W149" s="15"/>
      <c r="X149" s="15"/>
      <c r="Y149" s="15"/>
      <c r="Z149" s="15"/>
      <c r="AA149" s="15"/>
      <c r="AB149" s="15"/>
      <c r="AC149" s="15"/>
      <c r="AD149" s="15"/>
      <c r="AE149" s="15"/>
      <c r="AF149" s="15"/>
      <c r="AG149" s="15"/>
      <c r="AH149" s="15"/>
      <c r="AI149" s="15"/>
      <c r="AJ149" s="15"/>
    </row>
    <row r="150" spans="1:36" s="10" customFormat="1" ht="15" customHeight="1" x14ac:dyDescent="0.2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spans="1:36" s="10" customFormat="1" ht="15" customHeight="1" x14ac:dyDescent="0.25">
      <c r="A151" s="10" t="s">
        <v>145</v>
      </c>
      <c r="B151" s="15">
        <f>+B145+B147+B149</f>
        <v>308435.24638222996</v>
      </c>
      <c r="C151" s="15">
        <f t="shared" ref="C151:Q151" si="141">+C145+C147+C149</f>
        <v>138749.841606</v>
      </c>
      <c r="D151" s="15">
        <f t="shared" si="141"/>
        <v>145816.01419668001</v>
      </c>
      <c r="E151" s="15">
        <f>SUM(B151:D151)</f>
        <v>593001.10218490998</v>
      </c>
      <c r="F151" s="15">
        <f t="shared" si="141"/>
        <v>378854.72453245008</v>
      </c>
      <c r="G151" s="15">
        <f t="shared" si="141"/>
        <v>219945.28302748999</v>
      </c>
      <c r="H151" s="15">
        <f t="shared" si="141"/>
        <v>176770.82884565007</v>
      </c>
      <c r="I151" s="15">
        <f>SUM(F151:H151)</f>
        <v>775570.83640559018</v>
      </c>
      <c r="J151" s="15">
        <f t="shared" ref="J151" si="142">+E151+I151</f>
        <v>1368571.9385905</v>
      </c>
      <c r="K151" s="15">
        <f t="shared" si="141"/>
        <v>319988.6961014499</v>
      </c>
      <c r="L151" s="15">
        <f t="shared" si="141"/>
        <v>238537.37841826992</v>
      </c>
      <c r="M151" s="15">
        <f t="shared" si="141"/>
        <v>176355.15537853001</v>
      </c>
      <c r="N151" s="15">
        <f>SUM(K151:M151)</f>
        <v>734881.22989824985</v>
      </c>
      <c r="O151" s="15">
        <f t="shared" si="141"/>
        <v>325719.67007571401</v>
      </c>
      <c r="P151" s="15">
        <f t="shared" si="141"/>
        <v>248028.03384099994</v>
      </c>
      <c r="Q151" s="15">
        <f t="shared" si="141"/>
        <v>187951.95736439998</v>
      </c>
      <c r="R151" s="15">
        <f>SUM(O151:Q151)</f>
        <v>761699.66128111398</v>
      </c>
      <c r="S151" s="15">
        <f t="shared" ref="S151" si="143">+N151+R151</f>
        <v>1496580.8911793637</v>
      </c>
      <c r="T151" s="15">
        <f>+J151+S151</f>
        <v>2865152.8297698637</v>
      </c>
      <c r="U151" s="15"/>
      <c r="V151" s="15"/>
      <c r="W151" s="15"/>
      <c r="X151" s="15"/>
      <c r="Y151" s="15"/>
      <c r="Z151" s="15"/>
      <c r="AA151" s="15"/>
      <c r="AB151" s="15"/>
      <c r="AC151" s="15"/>
      <c r="AD151" s="15"/>
      <c r="AE151" s="15"/>
      <c r="AF151" s="15"/>
      <c r="AG151" s="15"/>
      <c r="AH151" s="15"/>
      <c r="AI151" s="15"/>
      <c r="AJ151" s="15"/>
    </row>
    <row r="152" spans="1:36" s="10" customFormat="1" ht="15" customHeight="1" x14ac:dyDescent="0.2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spans="1:36" s="10" customFormat="1" ht="15" customHeight="1" x14ac:dyDescent="0.25">
      <c r="A153" s="10" t="s">
        <v>146</v>
      </c>
      <c r="B153" s="15">
        <v>0</v>
      </c>
      <c r="C153" s="15">
        <v>-761.91632080999989</v>
      </c>
      <c r="D153" s="15">
        <v>-470.41815729000001</v>
      </c>
      <c r="E153" s="15">
        <f>SUM(B153:D153)</f>
        <v>-1232.3344780999998</v>
      </c>
      <c r="F153" s="15">
        <v>-333.57542999000003</v>
      </c>
      <c r="G153" s="15">
        <v>-716.97810592999997</v>
      </c>
      <c r="H153" s="15">
        <v>-4267.9134624899998</v>
      </c>
      <c r="I153" s="15">
        <f>SUM(F153:H153)</f>
        <v>-5318.4669984100001</v>
      </c>
      <c r="J153" s="15">
        <f t="shared" ref="J153" si="144">+E153+I153</f>
        <v>-6550.8014765099997</v>
      </c>
      <c r="K153" s="15">
        <v>-174.40679993999998</v>
      </c>
      <c r="L153" s="15">
        <v>-417.24957535999999</v>
      </c>
      <c r="M153" s="15">
        <v>-1675.85532242</v>
      </c>
      <c r="N153" s="15">
        <f>SUM(K153:M153)</f>
        <v>-2267.51169772</v>
      </c>
      <c r="O153" s="15">
        <v>-183.81184844999999</v>
      </c>
      <c r="P153" s="15">
        <v>-433.84960224999998</v>
      </c>
      <c r="Q153" s="15">
        <v>-4113.1221734999999</v>
      </c>
      <c r="R153" s="15">
        <f>SUM(O153:Q153)</f>
        <v>-4730.7836241999994</v>
      </c>
      <c r="S153" s="15">
        <f t="shared" ref="S153" si="145">+N153+R153</f>
        <v>-6998.295321919999</v>
      </c>
      <c r="T153" s="15">
        <f>+J153+S153</f>
        <v>-13549.096798429999</v>
      </c>
      <c r="U153" s="15"/>
      <c r="V153" s="15"/>
      <c r="W153" s="15"/>
      <c r="X153" s="15"/>
      <c r="Y153" s="15"/>
      <c r="Z153" s="15"/>
      <c r="AA153" s="15"/>
      <c r="AB153" s="15"/>
      <c r="AC153" s="15"/>
      <c r="AD153" s="15"/>
      <c r="AE153" s="15"/>
      <c r="AF153" s="15"/>
      <c r="AG153" s="15"/>
      <c r="AH153" s="15"/>
      <c r="AI153" s="15"/>
      <c r="AJ153" s="15"/>
    </row>
    <row r="154" spans="1:36" s="10" customFormat="1" ht="15" customHeight="1" x14ac:dyDescent="0.2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spans="1:36" s="10" customFormat="1" ht="15" customHeight="1" x14ac:dyDescent="0.25">
      <c r="A155" s="10" t="s">
        <v>147</v>
      </c>
      <c r="B155" s="15">
        <f>+B151+B153</f>
        <v>308435.24638222996</v>
      </c>
      <c r="C155" s="15">
        <f t="shared" ref="C155:Q155" si="146">+C151+C153</f>
        <v>137987.92528518999</v>
      </c>
      <c r="D155" s="15">
        <f t="shared" si="146"/>
        <v>145345.59603939002</v>
      </c>
      <c r="E155" s="15">
        <f>SUM(B155:D155)</f>
        <v>591768.76770681003</v>
      </c>
      <c r="F155" s="15">
        <f t="shared" si="146"/>
        <v>378521.14910246007</v>
      </c>
      <c r="G155" s="15">
        <f t="shared" si="146"/>
        <v>219228.30492155999</v>
      </c>
      <c r="H155" s="15">
        <f t="shared" si="146"/>
        <v>172502.91538316009</v>
      </c>
      <c r="I155" s="15">
        <f>SUM(F155:H155)</f>
        <v>770252.36940718023</v>
      </c>
      <c r="J155" s="15">
        <f t="shared" ref="J155" si="147">+E155+I155</f>
        <v>1362021.1371139903</v>
      </c>
      <c r="K155" s="15">
        <f t="shared" si="146"/>
        <v>319814.28930150991</v>
      </c>
      <c r="L155" s="15">
        <f t="shared" si="146"/>
        <v>238120.12884290991</v>
      </c>
      <c r="M155" s="15">
        <f t="shared" si="146"/>
        <v>174679.30005611002</v>
      </c>
      <c r="N155" s="15">
        <f>SUM(K155:M155)</f>
        <v>732613.71820052981</v>
      </c>
      <c r="O155" s="15">
        <f t="shared" si="146"/>
        <v>325535.85822726402</v>
      </c>
      <c r="P155" s="15">
        <f t="shared" si="146"/>
        <v>247594.18423874993</v>
      </c>
      <c r="Q155" s="15">
        <f t="shared" si="146"/>
        <v>183838.83519089996</v>
      </c>
      <c r="R155" s="15">
        <f>SUM(O155:Q155)</f>
        <v>756968.87765691383</v>
      </c>
      <c r="S155" s="15">
        <f t="shared" ref="S155" si="148">+N155+R155</f>
        <v>1489582.5958574438</v>
      </c>
      <c r="T155" s="15">
        <f>+J155+S155</f>
        <v>2851603.732971434</v>
      </c>
      <c r="U155" s="15"/>
      <c r="V155" s="15"/>
      <c r="W155" s="15"/>
      <c r="X155" s="15"/>
      <c r="Y155" s="15"/>
      <c r="Z155" s="15"/>
      <c r="AA155" s="15"/>
      <c r="AB155" s="15"/>
      <c r="AC155" s="15"/>
      <c r="AD155" s="15"/>
      <c r="AE155" s="15"/>
      <c r="AF155" s="15"/>
      <c r="AG155" s="15"/>
      <c r="AH155" s="15"/>
      <c r="AI155" s="15"/>
      <c r="AJ155" s="15"/>
    </row>
    <row r="156" spans="1:36" s="10" customFormat="1" ht="15" customHeight="1" thickBot="1" x14ac:dyDescent="0.3">
      <c r="A156" s="16"/>
      <c r="B156" s="17"/>
      <c r="C156" s="17"/>
      <c r="D156" s="17"/>
      <c r="E156" s="17"/>
      <c r="F156" s="17"/>
      <c r="G156" s="17"/>
      <c r="H156" s="17"/>
      <c r="I156" s="17"/>
      <c r="J156" s="17"/>
      <c r="K156" s="17"/>
      <c r="L156" s="17"/>
      <c r="M156" s="17"/>
      <c r="N156" s="17"/>
      <c r="O156" s="17"/>
      <c r="P156" s="17"/>
      <c r="Q156" s="17"/>
      <c r="R156" s="17"/>
      <c r="S156" s="17"/>
      <c r="T156" s="17"/>
      <c r="U156" s="15"/>
      <c r="V156" s="15"/>
      <c r="W156" s="15"/>
      <c r="X156" s="15"/>
      <c r="Y156" s="15"/>
      <c r="Z156" s="15"/>
      <c r="AA156" s="15"/>
      <c r="AB156" s="15"/>
      <c r="AC156" s="15"/>
      <c r="AD156" s="15"/>
      <c r="AE156" s="15"/>
      <c r="AF156" s="15"/>
      <c r="AG156" s="15"/>
      <c r="AH156" s="15"/>
      <c r="AI156" s="15"/>
      <c r="AJ156" s="15"/>
    </row>
    <row r="157" spans="1:36" s="10" customFormat="1" ht="15" customHeight="1" thickTop="1" x14ac:dyDescent="0.25">
      <c r="A157" s="18" t="s">
        <v>148</v>
      </c>
      <c r="B157" s="19"/>
      <c r="C157" s="19"/>
      <c r="D157" s="19"/>
      <c r="E157" s="19"/>
      <c r="F157" s="19"/>
      <c r="G157" s="19"/>
      <c r="H157" s="19"/>
      <c r="I157" s="19"/>
      <c r="J157" s="19"/>
      <c r="K157" s="19"/>
      <c r="L157" s="19"/>
      <c r="M157" s="19"/>
      <c r="N157" s="19"/>
      <c r="O157" s="19"/>
      <c r="P157" s="19"/>
      <c r="Q157" s="19"/>
      <c r="R157" s="19"/>
      <c r="S157" s="19"/>
      <c r="T157" s="19"/>
      <c r="U157" s="15"/>
      <c r="V157" s="15"/>
      <c r="W157" s="15"/>
      <c r="X157" s="15"/>
      <c r="Y157" s="15"/>
      <c r="Z157" s="15"/>
      <c r="AA157" s="15"/>
      <c r="AB157" s="15"/>
      <c r="AC157" s="15"/>
      <c r="AD157" s="15"/>
      <c r="AE157" s="15"/>
      <c r="AF157" s="15"/>
      <c r="AG157" s="15"/>
      <c r="AH157" s="15"/>
      <c r="AI157" s="15"/>
      <c r="AJ157" s="15"/>
    </row>
    <row r="158" spans="1:36" s="10" customFormat="1" ht="15" customHeight="1" x14ac:dyDescent="0.25">
      <c r="A158" s="18"/>
      <c r="B158" s="19"/>
      <c r="C158" s="19"/>
      <c r="D158" s="19"/>
      <c r="E158" s="19"/>
      <c r="F158" s="19"/>
      <c r="G158" s="19"/>
      <c r="H158" s="19"/>
      <c r="I158" s="19"/>
      <c r="J158" s="19"/>
      <c r="K158" s="19"/>
      <c r="L158" s="19"/>
      <c r="M158" s="19"/>
      <c r="N158" s="19"/>
      <c r="O158" s="19"/>
      <c r="P158" s="19"/>
      <c r="Q158" s="19"/>
      <c r="R158" s="19"/>
      <c r="S158" s="19"/>
      <c r="T158" s="19"/>
      <c r="U158" s="15"/>
      <c r="V158" s="15"/>
      <c r="W158" s="15"/>
      <c r="X158" s="15"/>
      <c r="Y158" s="15"/>
      <c r="Z158" s="15"/>
      <c r="AA158" s="15"/>
      <c r="AB158" s="15"/>
      <c r="AC158" s="15"/>
      <c r="AD158" s="15"/>
      <c r="AE158" s="15"/>
      <c r="AF158" s="15"/>
      <c r="AG158" s="15"/>
      <c r="AH158" s="15"/>
      <c r="AI158" s="15"/>
      <c r="AJ158" s="15"/>
    </row>
    <row r="159" spans="1:36" s="10" customFormat="1" ht="15" customHeight="1" x14ac:dyDescent="0.3">
      <c r="A159" s="20" t="s">
        <v>149</v>
      </c>
      <c r="B159" s="21"/>
      <c r="C159" s="21"/>
      <c r="D159" s="21"/>
      <c r="E159" s="21"/>
      <c r="F159" s="21"/>
      <c r="G159" s="21"/>
      <c r="H159" s="21"/>
      <c r="I159" s="21"/>
      <c r="J159" s="21"/>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spans="1:36" s="10" customFormat="1" ht="15" customHeight="1" x14ac:dyDescent="0.3">
      <c r="A160" s="20" t="s">
        <v>183</v>
      </c>
      <c r="B160" s="22"/>
      <c r="C160" s="22"/>
      <c r="D160" s="22"/>
      <c r="E160" s="22"/>
      <c r="F160" s="22"/>
      <c r="G160" s="22"/>
      <c r="H160" s="22"/>
      <c r="I160" s="22"/>
      <c r="J160" s="22"/>
    </row>
    <row r="161" spans="1:10" ht="15" customHeight="1" x14ac:dyDescent="0.3">
      <c r="A161" s="23" t="s">
        <v>150</v>
      </c>
      <c r="B161" s="24"/>
      <c r="C161" s="24"/>
      <c r="D161" s="24"/>
      <c r="E161" s="24"/>
      <c r="F161" s="24"/>
      <c r="G161" s="24"/>
      <c r="H161" s="24"/>
      <c r="I161" s="24"/>
      <c r="J161" s="24"/>
    </row>
    <row r="162" spans="1:10" s="24" customFormat="1" ht="17.100000000000001" customHeight="1" x14ac:dyDescent="0.3">
      <c r="A162" s="25" t="s">
        <v>151</v>
      </c>
    </row>
    <row r="163" spans="1:10" s="24" customFormat="1" ht="17.100000000000001" customHeight="1" x14ac:dyDescent="0.3">
      <c r="A163" s="25" t="s">
        <v>152</v>
      </c>
    </row>
    <row r="164" spans="1:10" s="24" customFormat="1" ht="17.100000000000001" customHeight="1" x14ac:dyDescent="0.3">
      <c r="A164" s="25" t="s">
        <v>153</v>
      </c>
    </row>
    <row r="165" spans="1:10" s="24" customFormat="1" ht="17.100000000000001" customHeight="1" x14ac:dyDescent="0.3">
      <c r="A165" s="25" t="s">
        <v>154</v>
      </c>
    </row>
    <row r="166" spans="1:10" s="24" customFormat="1" ht="17.100000000000001" customHeight="1" x14ac:dyDescent="0.3">
      <c r="A166" s="25" t="s">
        <v>155</v>
      </c>
    </row>
    <row r="167" spans="1:10" s="24" customFormat="1" ht="15.95" customHeight="1" x14ac:dyDescent="0.3">
      <c r="A167" s="55" t="s">
        <v>156</v>
      </c>
      <c r="B167" s="55"/>
      <c r="C167" s="55"/>
      <c r="D167" s="55"/>
      <c r="E167" s="55"/>
      <c r="F167" s="55"/>
      <c r="G167" s="55"/>
      <c r="H167" s="55"/>
      <c r="I167" s="55"/>
      <c r="J167" s="55"/>
    </row>
    <row r="168" spans="1:10" s="24" customFormat="1" ht="15.95" customHeight="1" x14ac:dyDescent="0.3">
      <c r="A168" s="55"/>
      <c r="B168" s="55"/>
      <c r="C168" s="55"/>
      <c r="D168" s="55"/>
      <c r="E168" s="55"/>
      <c r="F168" s="55"/>
      <c r="G168" s="55"/>
      <c r="H168" s="55"/>
      <c r="I168" s="55"/>
      <c r="J168" s="55"/>
    </row>
    <row r="169" spans="1:10" s="24" customFormat="1" ht="17.100000000000001" customHeight="1" x14ac:dyDescent="0.3">
      <c r="A169" s="25" t="s">
        <v>157</v>
      </c>
    </row>
    <row r="170" spans="1:10" s="24" customFormat="1" ht="17.100000000000001" customHeight="1" x14ac:dyDescent="0.3">
      <c r="A170" s="25" t="s">
        <v>158</v>
      </c>
    </row>
    <row r="171" spans="1:10" s="24" customFormat="1" ht="15.95" customHeight="1" x14ac:dyDescent="0.3">
      <c r="A171" s="55" t="s">
        <v>159</v>
      </c>
      <c r="B171" s="55"/>
      <c r="C171" s="55"/>
      <c r="D171" s="55"/>
      <c r="E171" s="55"/>
      <c r="F171" s="55"/>
      <c r="G171" s="55"/>
      <c r="H171" s="55"/>
      <c r="I171" s="55"/>
      <c r="J171" s="55"/>
    </row>
    <row r="172" spans="1:10" s="24" customFormat="1" ht="15.95" customHeight="1" x14ac:dyDescent="0.3">
      <c r="A172" s="55"/>
      <c r="B172" s="55"/>
      <c r="C172" s="55"/>
      <c r="D172" s="55"/>
      <c r="E172" s="55"/>
      <c r="F172" s="55"/>
      <c r="G172" s="55"/>
      <c r="H172" s="55"/>
      <c r="I172" s="55"/>
      <c r="J172" s="55"/>
    </row>
    <row r="173" spans="1:10" s="24" customFormat="1" ht="17.100000000000001" customHeight="1" x14ac:dyDescent="0.3">
      <c r="A173" s="25" t="s">
        <v>160</v>
      </c>
    </row>
    <row r="174" spans="1:10" s="24" customFormat="1" ht="17.100000000000001" customHeight="1" x14ac:dyDescent="0.3">
      <c r="A174" s="25" t="s">
        <v>161</v>
      </c>
    </row>
    <row r="175" spans="1:10" s="24" customFormat="1" ht="17.100000000000001" customHeight="1" x14ac:dyDescent="0.3">
      <c r="A175" s="25" t="s">
        <v>162</v>
      </c>
      <c r="B175" s="25"/>
      <c r="C175" s="25"/>
      <c r="D175" s="25"/>
      <c r="E175" s="25"/>
      <c r="F175" s="25"/>
      <c r="G175" s="25"/>
      <c r="H175" s="25"/>
      <c r="I175" s="25"/>
      <c r="J175" s="25"/>
    </row>
    <row r="176" spans="1:10" s="24" customFormat="1" ht="17.100000000000001" customHeight="1" x14ac:dyDescent="0.3">
      <c r="A176" s="25" t="s">
        <v>163</v>
      </c>
    </row>
    <row r="177" spans="1:1" s="24" customFormat="1" ht="17.100000000000001" customHeight="1" x14ac:dyDescent="0.3">
      <c r="A177" s="25" t="s">
        <v>164</v>
      </c>
    </row>
    <row r="178" spans="1:1" s="24" customFormat="1" ht="13.5" x14ac:dyDescent="0.3"/>
    <row r="179" spans="1:1" s="24" customFormat="1" ht="13.5" x14ac:dyDescent="0.3"/>
    <row r="180" spans="1:1" s="24" customFormat="1" x14ac:dyDescent="0.3">
      <c r="A180" s="1"/>
    </row>
    <row r="181" spans="1:1" s="24" customFormat="1" ht="13.5" x14ac:dyDescent="0.3"/>
    <row r="182" spans="1:1" s="24" customFormat="1" ht="13.5" x14ac:dyDescent="0.3"/>
    <row r="183" spans="1:1" s="24" customFormat="1" ht="13.5" x14ac:dyDescent="0.3"/>
    <row r="184" spans="1:1" s="24" customFormat="1" ht="13.5" x14ac:dyDescent="0.3"/>
  </sheetData>
  <mergeCells count="2">
    <mergeCell ref="A167:J168"/>
    <mergeCell ref="A171:J172"/>
  </mergeCells>
  <printOptions horizontalCentered="1"/>
  <pageMargins left="0.2" right="0.2" top="0.5" bottom="0.5" header="0.3" footer="0.3"/>
  <pageSetup paperSize="14" scale="85" orientation="landscape" r:id="rId1"/>
  <headerFooter>
    <oddFooter>&amp;C&amp;"Century Gothic,Regular"&amp;8Page &amp;P of &amp;N</oddFooter>
  </headerFooter>
  <rowBreaks count="3" manualBreakCount="3">
    <brk id="78" max="16383" man="1"/>
    <brk id="110" max="16383" man="1"/>
    <brk id="146" max="16383" man="1"/>
  </rowBreaks>
  <colBreaks count="1" manualBreakCount="1">
    <brk id="10"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3BC8-B89E-4B9D-9719-D17C8C9C5C98}">
  <dimension ref="A1:AK198"/>
  <sheetViews>
    <sheetView showGridLines="0" tabSelected="1" zoomScaleNormal="100" workbookViewId="0">
      <pane xSplit="1" ySplit="6" topLeftCell="B7" activePane="bottomRight" state="frozen"/>
      <selection activeCell="A2" sqref="A2"/>
      <selection pane="topRight" activeCell="A2" sqref="A2"/>
      <selection pane="bottomLeft" activeCell="A2" sqref="A2"/>
      <selection pane="bottomRight" activeCell="A2" sqref="A2"/>
    </sheetView>
  </sheetViews>
  <sheetFormatPr defaultRowHeight="14.25" x14ac:dyDescent="0.3"/>
  <cols>
    <col min="1" max="1" width="48.625" style="33" bestFit="1" customWidth="1"/>
    <col min="2" max="4" width="10.625" style="30" customWidth="1"/>
    <col min="5" max="5" width="11.625" style="30" customWidth="1"/>
    <col min="6" max="8" width="10.625" style="30" customWidth="1"/>
    <col min="9" max="10" width="11.625" style="30" customWidth="1"/>
    <col min="11" max="13" width="10.625" style="30" customWidth="1"/>
    <col min="14" max="14" width="11.625" style="30" customWidth="1"/>
    <col min="15" max="17" width="10.625" style="30" customWidth="1"/>
    <col min="18" max="20" width="11.625" style="30" customWidth="1"/>
    <col min="21" max="21" width="11.125" style="28" bestFit="1" customWidth="1"/>
    <col min="22" max="22" width="9" style="28"/>
    <col min="23" max="37" width="9" style="30"/>
    <col min="38" max="16384" width="9" style="33"/>
  </cols>
  <sheetData>
    <row r="1" spans="1:37" s="31" customFormat="1" x14ac:dyDescent="0.3">
      <c r="A1" s="26" t="s">
        <v>0</v>
      </c>
      <c r="B1" s="27"/>
      <c r="C1" s="27"/>
      <c r="D1" s="27"/>
      <c r="E1" s="27"/>
      <c r="F1" s="27"/>
      <c r="G1" s="27"/>
      <c r="H1" s="27"/>
      <c r="I1" s="27"/>
      <c r="J1" s="27"/>
      <c r="K1" s="27"/>
      <c r="L1" s="27"/>
      <c r="M1" s="27"/>
      <c r="N1" s="27"/>
      <c r="O1" s="27"/>
      <c r="P1" s="27"/>
      <c r="Q1" s="27"/>
      <c r="R1" s="27"/>
      <c r="S1" s="27"/>
      <c r="T1" s="27"/>
      <c r="U1" s="28"/>
      <c r="V1" s="28"/>
      <c r="W1" s="29"/>
      <c r="X1" s="29"/>
      <c r="Y1" s="30"/>
      <c r="Z1" s="30"/>
      <c r="AA1" s="30"/>
      <c r="AB1" s="30"/>
      <c r="AC1" s="30"/>
      <c r="AD1" s="30"/>
      <c r="AE1" s="30"/>
      <c r="AF1" s="30"/>
      <c r="AG1" s="30"/>
      <c r="AH1" s="30"/>
      <c r="AI1" s="30"/>
      <c r="AJ1" s="30"/>
      <c r="AK1" s="30"/>
    </row>
    <row r="2" spans="1:37" s="31" customFormat="1" x14ac:dyDescent="0.3">
      <c r="A2" s="1" t="s">
        <v>235</v>
      </c>
      <c r="B2" s="27"/>
      <c r="C2" s="27"/>
      <c r="D2" s="27"/>
      <c r="E2" s="27"/>
      <c r="F2" s="27"/>
      <c r="G2" s="27"/>
      <c r="H2" s="27"/>
      <c r="I2" s="27"/>
      <c r="J2" s="27"/>
      <c r="K2" s="27"/>
      <c r="L2" s="27"/>
      <c r="M2" s="27"/>
      <c r="N2" s="27"/>
      <c r="O2" s="27"/>
      <c r="P2" s="27"/>
      <c r="Q2" s="27"/>
      <c r="R2" s="27"/>
      <c r="S2" s="27"/>
      <c r="T2" s="27"/>
      <c r="U2" s="28"/>
      <c r="V2" s="28"/>
      <c r="W2" s="29"/>
      <c r="X2" s="29"/>
      <c r="Y2" s="30"/>
      <c r="Z2" s="30"/>
      <c r="AA2" s="30"/>
      <c r="AB2" s="30"/>
      <c r="AC2" s="30"/>
      <c r="AD2" s="30"/>
      <c r="AE2" s="30"/>
      <c r="AF2" s="30"/>
      <c r="AG2" s="30"/>
      <c r="AH2" s="30"/>
      <c r="AI2" s="30"/>
      <c r="AJ2" s="30"/>
      <c r="AK2" s="30"/>
    </row>
    <row r="3" spans="1:37" s="31" customFormat="1" x14ac:dyDescent="0.3">
      <c r="A3" s="26" t="s">
        <v>184</v>
      </c>
      <c r="B3" s="27"/>
      <c r="C3" s="27"/>
      <c r="D3" s="27"/>
      <c r="E3" s="27"/>
      <c r="F3" s="27"/>
      <c r="G3" s="27"/>
      <c r="H3" s="27"/>
      <c r="I3" s="27"/>
      <c r="J3" s="27"/>
      <c r="K3" s="27"/>
      <c r="L3" s="27"/>
      <c r="M3" s="27"/>
      <c r="N3" s="27"/>
      <c r="O3" s="27"/>
      <c r="P3" s="27"/>
      <c r="Q3" s="27"/>
      <c r="R3" s="27"/>
      <c r="S3" s="27"/>
      <c r="T3" s="27"/>
      <c r="U3" s="28"/>
      <c r="V3" s="28"/>
      <c r="W3" s="29"/>
      <c r="X3" s="29"/>
      <c r="Y3" s="30"/>
      <c r="Z3" s="30"/>
      <c r="AA3" s="30"/>
      <c r="AB3" s="30"/>
      <c r="AC3" s="30"/>
      <c r="AD3" s="30"/>
      <c r="AE3" s="30"/>
      <c r="AF3" s="30"/>
      <c r="AG3" s="30"/>
      <c r="AH3" s="30"/>
      <c r="AI3" s="30"/>
      <c r="AJ3" s="30"/>
      <c r="AK3" s="30"/>
    </row>
    <row r="4" spans="1:37" ht="15" thickBot="1" x14ac:dyDescent="0.35">
      <c r="A4" s="32"/>
      <c r="B4" s="29"/>
      <c r="C4" s="29"/>
      <c r="D4" s="29"/>
      <c r="E4" s="29"/>
      <c r="F4" s="29"/>
      <c r="G4" s="29"/>
      <c r="H4" s="29"/>
      <c r="I4" s="29"/>
      <c r="J4" s="29"/>
      <c r="K4" s="29"/>
      <c r="L4" s="29"/>
      <c r="M4" s="29"/>
      <c r="N4" s="29"/>
      <c r="O4" s="29"/>
      <c r="P4" s="29"/>
      <c r="Q4" s="29"/>
      <c r="R4" s="29"/>
      <c r="S4" s="29"/>
      <c r="T4" s="29"/>
    </row>
    <row r="5" spans="1:37" s="32" customFormat="1" ht="15" thickBot="1" x14ac:dyDescent="0.35">
      <c r="A5" s="34" t="s">
        <v>2</v>
      </c>
      <c r="B5" s="35" t="s">
        <v>3</v>
      </c>
      <c r="C5" s="35" t="s">
        <v>4</v>
      </c>
      <c r="D5" s="35" t="s">
        <v>5</v>
      </c>
      <c r="E5" s="35" t="s">
        <v>6</v>
      </c>
      <c r="F5" s="35" t="s">
        <v>7</v>
      </c>
      <c r="G5" s="35" t="s">
        <v>8</v>
      </c>
      <c r="H5" s="35" t="s">
        <v>9</v>
      </c>
      <c r="I5" s="35" t="s">
        <v>10</v>
      </c>
      <c r="J5" s="35" t="s">
        <v>11</v>
      </c>
      <c r="K5" s="35" t="s">
        <v>12</v>
      </c>
      <c r="L5" s="35" t="s">
        <v>13</v>
      </c>
      <c r="M5" s="35" t="s">
        <v>14</v>
      </c>
      <c r="N5" s="35" t="s">
        <v>15</v>
      </c>
      <c r="O5" s="35" t="s">
        <v>16</v>
      </c>
      <c r="P5" s="35" t="s">
        <v>17</v>
      </c>
      <c r="Q5" s="35" t="s">
        <v>18</v>
      </c>
      <c r="R5" s="35" t="s">
        <v>19</v>
      </c>
      <c r="S5" s="35" t="s">
        <v>20</v>
      </c>
      <c r="T5" s="35" t="s">
        <v>21</v>
      </c>
      <c r="U5" s="36"/>
      <c r="V5" s="36"/>
      <c r="W5" s="29"/>
      <c r="X5" s="29"/>
      <c r="Y5" s="29"/>
      <c r="Z5" s="29"/>
      <c r="AA5" s="29"/>
      <c r="AB5" s="29"/>
      <c r="AC5" s="29"/>
      <c r="AD5" s="29"/>
      <c r="AE5" s="29"/>
      <c r="AF5" s="29"/>
      <c r="AG5" s="29"/>
      <c r="AH5" s="29"/>
      <c r="AI5" s="29"/>
      <c r="AJ5" s="29"/>
      <c r="AK5" s="29"/>
    </row>
    <row r="7" spans="1:37" s="37" customFormat="1" x14ac:dyDescent="0.3">
      <c r="A7" s="37" t="s">
        <v>22</v>
      </c>
      <c r="B7" s="27">
        <f>SUM(B8:B25)</f>
        <v>283268.27711756993</v>
      </c>
      <c r="C7" s="27">
        <f t="shared" ref="C7:T7" si="0">SUM(C8:C25)</f>
        <v>123525.42953882998</v>
      </c>
      <c r="D7" s="27">
        <f t="shared" si="0"/>
        <v>132004.50888779</v>
      </c>
      <c r="E7" s="27">
        <f t="shared" si="0"/>
        <v>538798.21554418991</v>
      </c>
      <c r="F7" s="27">
        <f t="shared" si="0"/>
        <v>334459.32014555996</v>
      </c>
      <c r="G7" s="27">
        <f t="shared" si="0"/>
        <v>189407.31639923999</v>
      </c>
      <c r="H7" s="27">
        <f t="shared" si="0"/>
        <v>150618.27116067999</v>
      </c>
      <c r="I7" s="27">
        <f t="shared" si="0"/>
        <v>674484.90770547988</v>
      </c>
      <c r="J7" s="27">
        <f t="shared" si="0"/>
        <v>1213283.1232496698</v>
      </c>
      <c r="K7" s="27">
        <f t="shared" si="0"/>
        <v>266007.57975203998</v>
      </c>
      <c r="L7" s="27">
        <f t="shared" si="0"/>
        <v>196450.82325546001</v>
      </c>
      <c r="M7" s="27">
        <f t="shared" si="0"/>
        <v>136107.12360810998</v>
      </c>
      <c r="N7" s="27">
        <f t="shared" si="0"/>
        <v>598565.52661560988</v>
      </c>
      <c r="O7" s="27">
        <f t="shared" si="0"/>
        <v>260720.63853003</v>
      </c>
      <c r="P7" s="27">
        <f t="shared" si="0"/>
        <v>200337.00123555999</v>
      </c>
      <c r="Q7" s="27">
        <f t="shared" si="0"/>
        <v>161657.19584824002</v>
      </c>
      <c r="R7" s="27">
        <f t="shared" si="0"/>
        <v>622714.83561383002</v>
      </c>
      <c r="S7" s="27">
        <f t="shared" si="0"/>
        <v>1221280.3622294399</v>
      </c>
      <c r="T7" s="27">
        <f t="shared" si="0"/>
        <v>2434563.4854791099</v>
      </c>
      <c r="U7" s="28">
        <f>+B7+C7+D7+F7+G7+H7+K7+L7+M7+O7+P7+Q7</f>
        <v>2434563.4854791099</v>
      </c>
      <c r="V7" s="28">
        <f>+U7-T7</f>
        <v>0</v>
      </c>
      <c r="W7" s="27"/>
      <c r="X7" s="27"/>
      <c r="Y7" s="27"/>
      <c r="Z7" s="27"/>
      <c r="AA7" s="27"/>
      <c r="AB7" s="27"/>
      <c r="AC7" s="27"/>
      <c r="AD7" s="27"/>
      <c r="AE7" s="27"/>
      <c r="AF7" s="27"/>
      <c r="AG7" s="27"/>
      <c r="AH7" s="27"/>
      <c r="AI7" s="27"/>
      <c r="AJ7" s="27"/>
      <c r="AK7" s="27"/>
    </row>
    <row r="8" spans="1:37" x14ac:dyDescent="0.3">
      <c r="A8" s="33" t="s">
        <v>23</v>
      </c>
      <c r="B8" s="30">
        <v>1215.9561627900002</v>
      </c>
      <c r="C8" s="30">
        <v>405.91151881999974</v>
      </c>
      <c r="D8" s="30">
        <v>413.17588600999994</v>
      </c>
      <c r="E8" s="30">
        <f t="shared" ref="E8:E25" si="1">+B8+C8+D8</f>
        <v>2035.04356762</v>
      </c>
      <c r="F8" s="30">
        <v>1281.3337741399992</v>
      </c>
      <c r="G8" s="30">
        <v>553.53793051999992</v>
      </c>
      <c r="H8" s="30">
        <v>590.98345957000026</v>
      </c>
      <c r="I8" s="30">
        <f t="shared" ref="I8:I25" si="2">+F8+G8+H8</f>
        <v>2425.8551642299994</v>
      </c>
      <c r="J8" s="30">
        <f>+E8+I8</f>
        <v>4460.8987318499994</v>
      </c>
      <c r="K8" s="30">
        <v>996.67662208000002</v>
      </c>
      <c r="L8" s="30">
        <v>592.74949653000033</v>
      </c>
      <c r="M8" s="30">
        <v>462.04332120000009</v>
      </c>
      <c r="N8" s="30">
        <f t="shared" ref="N8:N25" si="3">+K8+L8+M8</f>
        <v>2051.4694398100005</v>
      </c>
      <c r="O8" s="30">
        <v>1243.7201594699961</v>
      </c>
      <c r="P8" s="30">
        <v>693.97816075999992</v>
      </c>
      <c r="Q8" s="30">
        <v>447.11451672000032</v>
      </c>
      <c r="R8" s="30">
        <f t="shared" ref="R8:R25" si="4">+O8+P8+Q8</f>
        <v>2384.8128369499964</v>
      </c>
      <c r="S8" s="30">
        <f>+N8+R8</f>
        <v>4436.2822767599973</v>
      </c>
      <c r="T8" s="30">
        <f t="shared" ref="T8:T22" si="5">+J8+S8</f>
        <v>8897.1810086099977</v>
      </c>
      <c r="U8" s="28">
        <f t="shared" ref="U8:U71" si="6">+B8+C8+D8+F8+G8+H8+K8+L8+M8+O8+P8+Q8</f>
        <v>8897.1810086099977</v>
      </c>
      <c r="V8" s="28">
        <f t="shared" ref="V8:V71" si="7">+U8-T8</f>
        <v>0</v>
      </c>
    </row>
    <row r="9" spans="1:37" x14ac:dyDescent="0.3">
      <c r="A9" s="33" t="s">
        <v>24</v>
      </c>
      <c r="B9" s="30">
        <v>907.7048639700015</v>
      </c>
      <c r="C9" s="30">
        <v>308.19190242000013</v>
      </c>
      <c r="D9" s="30">
        <v>385.49273220000003</v>
      </c>
      <c r="E9" s="30">
        <f t="shared" si="1"/>
        <v>1601.3894985900017</v>
      </c>
      <c r="F9" s="30">
        <v>1107.4485820400014</v>
      </c>
      <c r="G9" s="30">
        <v>485.52660482000005</v>
      </c>
      <c r="H9" s="30">
        <v>495.57827412000029</v>
      </c>
      <c r="I9" s="30">
        <f t="shared" si="2"/>
        <v>2088.5534609800015</v>
      </c>
      <c r="J9" s="30">
        <f>+E9+I9</f>
        <v>3689.942959570003</v>
      </c>
      <c r="K9" s="30">
        <v>786.38604692000013</v>
      </c>
      <c r="L9" s="30">
        <v>518.31913515000008</v>
      </c>
      <c r="M9" s="30">
        <v>388.5413678000001</v>
      </c>
      <c r="N9" s="30">
        <f t="shared" si="3"/>
        <v>1693.2465498700003</v>
      </c>
      <c r="O9" s="30">
        <v>863.64875643000107</v>
      </c>
      <c r="P9" s="30">
        <v>488.40642596000009</v>
      </c>
      <c r="Q9" s="30">
        <v>332.96937626000044</v>
      </c>
      <c r="R9" s="30">
        <f t="shared" si="4"/>
        <v>1685.0245586500016</v>
      </c>
      <c r="S9" s="30">
        <f>+N9+R9</f>
        <v>3378.2711085200017</v>
      </c>
      <c r="T9" s="30">
        <f t="shared" si="5"/>
        <v>7068.2140680900047</v>
      </c>
      <c r="U9" s="28">
        <f t="shared" si="6"/>
        <v>7068.2140680900047</v>
      </c>
      <c r="V9" s="28">
        <f t="shared" si="7"/>
        <v>0</v>
      </c>
    </row>
    <row r="10" spans="1:37" x14ac:dyDescent="0.3">
      <c r="A10" s="33" t="s">
        <v>25</v>
      </c>
      <c r="B10" s="30">
        <v>19204.780669699983</v>
      </c>
      <c r="C10" s="30">
        <v>6876.7815184799947</v>
      </c>
      <c r="D10" s="30">
        <v>8636.8472005099993</v>
      </c>
      <c r="E10" s="30">
        <f t="shared" si="1"/>
        <v>34718.409388689979</v>
      </c>
      <c r="F10" s="30">
        <v>21355.598109200011</v>
      </c>
      <c r="G10" s="30">
        <v>10950.779756219996</v>
      </c>
      <c r="H10" s="30">
        <v>12258.501345160008</v>
      </c>
      <c r="I10" s="30">
        <f t="shared" si="2"/>
        <v>44564.879210580017</v>
      </c>
      <c r="J10" s="30">
        <f>+E10+I10</f>
        <v>79283.288599269988</v>
      </c>
      <c r="K10" s="30">
        <v>17436.163798120004</v>
      </c>
      <c r="L10" s="30">
        <v>11502.780610530004</v>
      </c>
      <c r="M10" s="30">
        <v>8285.8320992099998</v>
      </c>
      <c r="N10" s="30">
        <f t="shared" si="3"/>
        <v>37224.776507860006</v>
      </c>
      <c r="O10" s="30">
        <v>15757.551343169966</v>
      </c>
      <c r="P10" s="30">
        <v>11185.460461369994</v>
      </c>
      <c r="Q10" s="30">
        <v>12006.506901729997</v>
      </c>
      <c r="R10" s="30">
        <f t="shared" si="4"/>
        <v>38949.518706269955</v>
      </c>
      <c r="S10" s="30">
        <f>+N10+R10</f>
        <v>76174.295214129961</v>
      </c>
      <c r="T10" s="30">
        <f t="shared" si="5"/>
        <v>155457.58381339995</v>
      </c>
      <c r="U10" s="28">
        <f t="shared" si="6"/>
        <v>155457.58381339998</v>
      </c>
      <c r="V10" s="28">
        <f t="shared" si="7"/>
        <v>0</v>
      </c>
    </row>
    <row r="11" spans="1:37" x14ac:dyDescent="0.3">
      <c r="A11" s="33" t="s">
        <v>185</v>
      </c>
      <c r="B11" s="56">
        <v>670.40417860000093</v>
      </c>
      <c r="C11" s="56">
        <v>226.67630248000006</v>
      </c>
      <c r="D11" s="56">
        <v>278.94452197000015</v>
      </c>
      <c r="E11" s="56">
        <f t="shared" si="1"/>
        <v>1176.025003050001</v>
      </c>
      <c r="F11" s="56">
        <v>767.71180390000029</v>
      </c>
      <c r="G11" s="56">
        <v>335.51789156000007</v>
      </c>
      <c r="H11" s="56">
        <v>336.63112594999996</v>
      </c>
      <c r="I11" s="56">
        <f t="shared" si="2"/>
        <v>1439.8608214100004</v>
      </c>
      <c r="J11" s="56">
        <f t="shared" ref="J11:J74" si="8">+E11+I11</f>
        <v>2615.8858244600015</v>
      </c>
      <c r="K11" s="56">
        <v>652.60142211000004</v>
      </c>
      <c r="L11" s="56">
        <v>400.16562983999995</v>
      </c>
      <c r="M11" s="56">
        <v>237.46840005000004</v>
      </c>
      <c r="N11" s="56">
        <f t="shared" si="3"/>
        <v>1290.2354520000001</v>
      </c>
      <c r="O11" s="56">
        <v>657.6982720099993</v>
      </c>
      <c r="P11" s="56">
        <v>696.1760109999999</v>
      </c>
      <c r="Q11" s="56">
        <v>304.62246302000005</v>
      </c>
      <c r="R11" s="56">
        <f t="shared" si="4"/>
        <v>1658.496746029999</v>
      </c>
      <c r="S11" s="56">
        <f t="shared" ref="S11:S25" si="9">+N11+R11</f>
        <v>2948.7321980299994</v>
      </c>
      <c r="T11" s="56">
        <f t="shared" si="5"/>
        <v>5564.6180224900008</v>
      </c>
      <c r="U11" s="28">
        <f t="shared" si="6"/>
        <v>5564.6180224899999</v>
      </c>
      <c r="V11" s="28">
        <f t="shared" si="7"/>
        <v>0</v>
      </c>
    </row>
    <row r="12" spans="1:37" x14ac:dyDescent="0.3">
      <c r="A12" s="33" t="s">
        <v>186</v>
      </c>
      <c r="B12" s="56"/>
      <c r="C12" s="56"/>
      <c r="D12" s="56"/>
      <c r="E12" s="56"/>
      <c r="F12" s="56"/>
      <c r="G12" s="56"/>
      <c r="H12" s="56"/>
      <c r="I12" s="56"/>
      <c r="J12" s="56">
        <f t="shared" si="8"/>
        <v>0</v>
      </c>
      <c r="K12" s="56"/>
      <c r="L12" s="56"/>
      <c r="M12" s="56"/>
      <c r="N12" s="56"/>
      <c r="O12" s="56"/>
      <c r="P12" s="56"/>
      <c r="Q12" s="56"/>
      <c r="R12" s="56"/>
      <c r="S12" s="56">
        <f t="shared" si="9"/>
        <v>0</v>
      </c>
      <c r="T12" s="56">
        <f t="shared" si="5"/>
        <v>0</v>
      </c>
      <c r="U12" s="28">
        <f t="shared" si="6"/>
        <v>0</v>
      </c>
      <c r="V12" s="28">
        <f t="shared" si="7"/>
        <v>0</v>
      </c>
    </row>
    <row r="13" spans="1:37" x14ac:dyDescent="0.3">
      <c r="A13" s="33" t="s">
        <v>27</v>
      </c>
      <c r="B13" s="30">
        <v>5741.6180071200097</v>
      </c>
      <c r="C13" s="30">
        <v>1496.1798888999986</v>
      </c>
      <c r="D13" s="30">
        <v>1650.1991555999975</v>
      </c>
      <c r="E13" s="30">
        <f t="shared" si="1"/>
        <v>8887.9970516200046</v>
      </c>
      <c r="F13" s="30">
        <v>5931.8227237699848</v>
      </c>
      <c r="G13" s="30">
        <v>2393.8700776599972</v>
      </c>
      <c r="H13" s="30">
        <v>1793.5939344899975</v>
      </c>
      <c r="I13" s="30">
        <f t="shared" si="2"/>
        <v>10119.286735919979</v>
      </c>
      <c r="J13" s="30">
        <f t="shared" si="8"/>
        <v>19007.283787539985</v>
      </c>
      <c r="K13" s="30">
        <v>5434.1012775000017</v>
      </c>
      <c r="L13" s="30">
        <v>2694.6889520999976</v>
      </c>
      <c r="M13" s="30">
        <v>5350.1982826200001</v>
      </c>
      <c r="N13" s="30">
        <f t="shared" si="3"/>
        <v>13478.988512219999</v>
      </c>
      <c r="O13" s="30">
        <v>5064.673087240013</v>
      </c>
      <c r="P13" s="30">
        <v>3145.827332489996</v>
      </c>
      <c r="Q13" s="30">
        <v>2375.8520973400014</v>
      </c>
      <c r="R13" s="30">
        <f t="shared" si="4"/>
        <v>10586.35251707001</v>
      </c>
      <c r="S13" s="30">
        <f t="shared" si="9"/>
        <v>24065.341029290008</v>
      </c>
      <c r="T13" s="30">
        <f t="shared" si="5"/>
        <v>43072.624816829994</v>
      </c>
      <c r="U13" s="28">
        <f t="shared" si="6"/>
        <v>43072.624816829986</v>
      </c>
      <c r="V13" s="28">
        <f t="shared" si="7"/>
        <v>0</v>
      </c>
    </row>
    <row r="14" spans="1:37" x14ac:dyDescent="0.3">
      <c r="A14" s="33" t="s">
        <v>28</v>
      </c>
      <c r="B14" s="30">
        <v>6637.5237894700003</v>
      </c>
      <c r="C14" s="30">
        <v>3194.3831099200002</v>
      </c>
      <c r="D14" s="30">
        <v>3690.0201421899992</v>
      </c>
      <c r="E14" s="30">
        <f t="shared" si="1"/>
        <v>13521.927041579998</v>
      </c>
      <c r="F14" s="30">
        <v>8092.5221711799923</v>
      </c>
      <c r="G14" s="30">
        <v>4243.4954853200006</v>
      </c>
      <c r="H14" s="30">
        <v>5534.6770537799985</v>
      </c>
      <c r="I14" s="30">
        <f t="shared" si="2"/>
        <v>17870.69471027999</v>
      </c>
      <c r="J14" s="30">
        <f t="shared" si="8"/>
        <v>31392.621751859988</v>
      </c>
      <c r="K14" s="30">
        <v>6535.9181060599985</v>
      </c>
      <c r="L14" s="30">
        <v>4416.1872013100001</v>
      </c>
      <c r="M14" s="30">
        <v>3427.9407489899991</v>
      </c>
      <c r="N14" s="30">
        <f t="shared" si="3"/>
        <v>14380.046056359997</v>
      </c>
      <c r="O14" s="30">
        <v>6379.6598146700035</v>
      </c>
      <c r="P14" s="30">
        <v>4854.4014350499929</v>
      </c>
      <c r="Q14" s="30">
        <v>4542.7649363500032</v>
      </c>
      <c r="R14" s="30">
        <f t="shared" si="4"/>
        <v>15776.82618607</v>
      </c>
      <c r="S14" s="30">
        <f t="shared" si="9"/>
        <v>30156.872242429999</v>
      </c>
      <c r="T14" s="30">
        <f t="shared" si="5"/>
        <v>61549.493994289987</v>
      </c>
      <c r="U14" s="28">
        <f t="shared" si="6"/>
        <v>61549.49399428998</v>
      </c>
      <c r="V14" s="28">
        <f t="shared" si="7"/>
        <v>0</v>
      </c>
    </row>
    <row r="15" spans="1:37" ht="16.5" x14ac:dyDescent="0.3">
      <c r="A15" s="33" t="s">
        <v>29</v>
      </c>
      <c r="B15" s="30">
        <v>1642.2694158400036</v>
      </c>
      <c r="C15" s="30">
        <v>582.98252666000076</v>
      </c>
      <c r="D15" s="30">
        <v>641.57326535000038</v>
      </c>
      <c r="E15" s="30">
        <f t="shared" si="1"/>
        <v>2866.825207850005</v>
      </c>
      <c r="F15" s="30">
        <v>2017.32802636</v>
      </c>
      <c r="G15" s="30">
        <v>1006.3942616200005</v>
      </c>
      <c r="H15" s="30">
        <v>785.11885303000088</v>
      </c>
      <c r="I15" s="30">
        <f t="shared" si="2"/>
        <v>3808.8411410100016</v>
      </c>
      <c r="J15" s="30">
        <f t="shared" si="8"/>
        <v>6675.6663488600061</v>
      </c>
      <c r="K15" s="30">
        <v>1545.5798144600024</v>
      </c>
      <c r="L15" s="30">
        <v>1116.1215945900003</v>
      </c>
      <c r="M15" s="30">
        <v>783.18899882000062</v>
      </c>
      <c r="N15" s="30">
        <f t="shared" si="3"/>
        <v>3444.8904078700029</v>
      </c>
      <c r="O15" s="30">
        <v>1707.970228919997</v>
      </c>
      <c r="P15" s="30">
        <v>999.57782965000001</v>
      </c>
      <c r="Q15" s="30">
        <v>613.06477554000048</v>
      </c>
      <c r="R15" s="30">
        <f t="shared" si="4"/>
        <v>3320.6128341099975</v>
      </c>
      <c r="S15" s="30">
        <f t="shared" si="9"/>
        <v>6765.5032419800009</v>
      </c>
      <c r="T15" s="30">
        <f t="shared" si="5"/>
        <v>13441.169590840007</v>
      </c>
      <c r="U15" s="28">
        <f t="shared" si="6"/>
        <v>13441.169590840007</v>
      </c>
      <c r="V15" s="28">
        <f t="shared" si="7"/>
        <v>0</v>
      </c>
    </row>
    <row r="16" spans="1:37" x14ac:dyDescent="0.3">
      <c r="A16" s="33" t="s">
        <v>30</v>
      </c>
      <c r="B16" s="30">
        <v>2190.5918777100014</v>
      </c>
      <c r="C16" s="30">
        <v>855.77655691999985</v>
      </c>
      <c r="D16" s="30">
        <v>1149.1118880399986</v>
      </c>
      <c r="E16" s="30">
        <f t="shared" si="1"/>
        <v>4195.4803226700005</v>
      </c>
      <c r="F16" s="30">
        <v>2590.3892075200051</v>
      </c>
      <c r="G16" s="30">
        <v>1296.5705997699995</v>
      </c>
      <c r="H16" s="30">
        <v>1195.9613930099988</v>
      </c>
      <c r="I16" s="30">
        <f t="shared" si="2"/>
        <v>5082.921200300003</v>
      </c>
      <c r="J16" s="30">
        <f t="shared" si="8"/>
        <v>9278.4015229700035</v>
      </c>
      <c r="K16" s="30">
        <v>2005.4429431299995</v>
      </c>
      <c r="L16" s="30">
        <v>1436.7074574199996</v>
      </c>
      <c r="M16" s="30">
        <v>1027.1886186099998</v>
      </c>
      <c r="N16" s="30">
        <f t="shared" si="3"/>
        <v>4469.3390191599992</v>
      </c>
      <c r="O16" s="30">
        <v>2488.5575372300013</v>
      </c>
      <c r="P16" s="30">
        <v>1437.5103778299988</v>
      </c>
      <c r="Q16" s="30">
        <v>1145.2193173399992</v>
      </c>
      <c r="R16" s="30">
        <f t="shared" si="4"/>
        <v>5071.2872323999991</v>
      </c>
      <c r="S16" s="30">
        <f t="shared" si="9"/>
        <v>9540.6262515599992</v>
      </c>
      <c r="T16" s="30">
        <f t="shared" si="5"/>
        <v>18819.027774530005</v>
      </c>
      <c r="U16" s="28">
        <f t="shared" si="6"/>
        <v>18819.027774530005</v>
      </c>
      <c r="V16" s="28">
        <f t="shared" si="7"/>
        <v>0</v>
      </c>
    </row>
    <row r="17" spans="1:37" x14ac:dyDescent="0.3">
      <c r="A17" s="33" t="s">
        <v>31</v>
      </c>
      <c r="B17" s="30">
        <v>2587.5759400599991</v>
      </c>
      <c r="C17" s="30">
        <v>1017.9170209300004</v>
      </c>
      <c r="D17" s="30">
        <v>1085.2317298500016</v>
      </c>
      <c r="E17" s="30">
        <f t="shared" si="1"/>
        <v>4690.7246908400011</v>
      </c>
      <c r="F17" s="30">
        <v>3751.3115754000005</v>
      </c>
      <c r="G17" s="30">
        <v>1666.7438788600005</v>
      </c>
      <c r="H17" s="30">
        <v>1296.0636157000022</v>
      </c>
      <c r="I17" s="30">
        <f t="shared" si="2"/>
        <v>6714.1190699600029</v>
      </c>
      <c r="J17" s="30">
        <f t="shared" si="8"/>
        <v>11404.843760800004</v>
      </c>
      <c r="K17" s="30">
        <v>2795.7572864899985</v>
      </c>
      <c r="L17" s="30">
        <v>1659.6556801900001</v>
      </c>
      <c r="M17" s="30">
        <v>1228.9289821899997</v>
      </c>
      <c r="N17" s="30">
        <f t="shared" si="3"/>
        <v>5684.3419488699983</v>
      </c>
      <c r="O17" s="30">
        <v>2892.2021466700039</v>
      </c>
      <c r="P17" s="30">
        <v>1647.9249776299985</v>
      </c>
      <c r="Q17" s="30">
        <v>1253.1117361300016</v>
      </c>
      <c r="R17" s="30">
        <f t="shared" si="4"/>
        <v>5793.2388604300049</v>
      </c>
      <c r="S17" s="30">
        <f t="shared" si="9"/>
        <v>11477.580809300003</v>
      </c>
      <c r="T17" s="30">
        <f t="shared" si="5"/>
        <v>22882.424570100007</v>
      </c>
      <c r="U17" s="28">
        <f t="shared" si="6"/>
        <v>22882.424570100007</v>
      </c>
      <c r="V17" s="28">
        <f t="shared" si="7"/>
        <v>0</v>
      </c>
    </row>
    <row r="18" spans="1:37" x14ac:dyDescent="0.3">
      <c r="A18" s="33" t="s">
        <v>32</v>
      </c>
      <c r="B18" s="30">
        <v>3405.7239811200011</v>
      </c>
      <c r="C18" s="30">
        <v>1337.0907389100003</v>
      </c>
      <c r="D18" s="30">
        <v>1214.3582453899999</v>
      </c>
      <c r="E18" s="30">
        <f t="shared" si="1"/>
        <v>5957.1729654200008</v>
      </c>
      <c r="F18" s="30">
        <v>3429.8798671499985</v>
      </c>
      <c r="G18" s="30">
        <v>2256.0048812800005</v>
      </c>
      <c r="H18" s="30">
        <v>1382.4469141999994</v>
      </c>
      <c r="I18" s="30">
        <f t="shared" si="2"/>
        <v>7068.3316626299984</v>
      </c>
      <c r="J18" s="30">
        <f t="shared" si="8"/>
        <v>13025.504628049999</v>
      </c>
      <c r="K18" s="30">
        <v>2493.3480401100005</v>
      </c>
      <c r="L18" s="30">
        <v>2262.9072762399992</v>
      </c>
      <c r="M18" s="30">
        <v>1430.6077122300007</v>
      </c>
      <c r="N18" s="30">
        <f t="shared" si="3"/>
        <v>6186.8630285800009</v>
      </c>
      <c r="O18" s="30">
        <v>2821.1364147999939</v>
      </c>
      <c r="P18" s="30">
        <v>2511.5541418700013</v>
      </c>
      <c r="Q18" s="30">
        <v>2689.1294662100008</v>
      </c>
      <c r="R18" s="30">
        <f t="shared" si="4"/>
        <v>8021.820022879996</v>
      </c>
      <c r="S18" s="30">
        <f t="shared" si="9"/>
        <v>14208.683051459997</v>
      </c>
      <c r="T18" s="30">
        <f t="shared" si="5"/>
        <v>27234.187679509996</v>
      </c>
      <c r="U18" s="28">
        <f t="shared" si="6"/>
        <v>27234.18767951</v>
      </c>
      <c r="V18" s="28">
        <f t="shared" si="7"/>
        <v>0</v>
      </c>
    </row>
    <row r="19" spans="1:37" x14ac:dyDescent="0.3">
      <c r="A19" s="33" t="s">
        <v>33</v>
      </c>
      <c r="B19" s="30">
        <v>8751.7141808499855</v>
      </c>
      <c r="C19" s="30">
        <v>3599.4238517600015</v>
      </c>
      <c r="D19" s="30">
        <v>3121.6471614900042</v>
      </c>
      <c r="E19" s="30">
        <f t="shared" si="1"/>
        <v>15472.78519409999</v>
      </c>
      <c r="F19" s="30">
        <v>9241.2181446800041</v>
      </c>
      <c r="G19" s="30">
        <v>4252.5764463900023</v>
      </c>
      <c r="H19" s="30">
        <v>3402.4930492800072</v>
      </c>
      <c r="I19" s="30">
        <f t="shared" si="2"/>
        <v>16896.287640350016</v>
      </c>
      <c r="J19" s="30">
        <f t="shared" si="8"/>
        <v>32369.072834450006</v>
      </c>
      <c r="K19" s="30">
        <v>6890.9109814100011</v>
      </c>
      <c r="L19" s="30">
        <v>5399.1381405399979</v>
      </c>
      <c r="M19" s="30">
        <v>3115.6097774300015</v>
      </c>
      <c r="N19" s="30">
        <f t="shared" si="3"/>
        <v>15405.658899380001</v>
      </c>
      <c r="O19" s="30">
        <v>7870.1153700500126</v>
      </c>
      <c r="P19" s="30">
        <v>4589.5414691200058</v>
      </c>
      <c r="Q19" s="30">
        <v>4085.3310270400057</v>
      </c>
      <c r="R19" s="30">
        <f t="shared" si="4"/>
        <v>16544.987866210024</v>
      </c>
      <c r="S19" s="30">
        <f t="shared" si="9"/>
        <v>31950.646765590027</v>
      </c>
      <c r="T19" s="30">
        <f t="shared" si="5"/>
        <v>64319.719600040029</v>
      </c>
      <c r="U19" s="28">
        <f t="shared" si="6"/>
        <v>64319.719600040022</v>
      </c>
      <c r="V19" s="28">
        <f t="shared" si="7"/>
        <v>0</v>
      </c>
    </row>
    <row r="20" spans="1:37" x14ac:dyDescent="0.3">
      <c r="A20" s="33" t="s">
        <v>34</v>
      </c>
      <c r="B20" s="30">
        <v>14625.361621419986</v>
      </c>
      <c r="C20" s="30">
        <v>5415.3777688799983</v>
      </c>
      <c r="D20" s="30">
        <v>7005.5952033599979</v>
      </c>
      <c r="E20" s="30">
        <f t="shared" si="1"/>
        <v>27046.33459365998</v>
      </c>
      <c r="F20" s="30">
        <v>16223.036663820001</v>
      </c>
      <c r="G20" s="30">
        <v>7832.4897968599971</v>
      </c>
      <c r="H20" s="30">
        <v>7821.6531578299901</v>
      </c>
      <c r="I20" s="30">
        <f t="shared" si="2"/>
        <v>31877.179618509988</v>
      </c>
      <c r="J20" s="30">
        <f t="shared" si="8"/>
        <v>58923.514212169968</v>
      </c>
      <c r="K20" s="30">
        <v>12454.253159799993</v>
      </c>
      <c r="L20" s="30">
        <v>10017.204682129994</v>
      </c>
      <c r="M20" s="30">
        <v>8293.0536009499938</v>
      </c>
      <c r="N20" s="30">
        <f t="shared" si="3"/>
        <v>30764.511442879979</v>
      </c>
      <c r="O20" s="30">
        <v>16233.194044560019</v>
      </c>
      <c r="P20" s="30">
        <v>9007.7717400899928</v>
      </c>
      <c r="Q20" s="30">
        <v>8876.3289476799964</v>
      </c>
      <c r="R20" s="30">
        <f t="shared" si="4"/>
        <v>34117.29473233001</v>
      </c>
      <c r="S20" s="30">
        <f t="shared" si="9"/>
        <v>64881.806175209989</v>
      </c>
      <c r="T20" s="30">
        <f t="shared" si="5"/>
        <v>123805.32038737996</v>
      </c>
      <c r="U20" s="28">
        <f t="shared" si="6"/>
        <v>123805.32038737995</v>
      </c>
      <c r="V20" s="28">
        <f t="shared" si="7"/>
        <v>0</v>
      </c>
    </row>
    <row r="21" spans="1:37" x14ac:dyDescent="0.3">
      <c r="A21" s="33" t="s">
        <v>35</v>
      </c>
      <c r="B21" s="30">
        <v>1340.1100935800036</v>
      </c>
      <c r="C21" s="30">
        <v>393.86523112000037</v>
      </c>
      <c r="D21" s="30">
        <v>488.09445397999997</v>
      </c>
      <c r="E21" s="30">
        <f t="shared" si="1"/>
        <v>2222.0697786800038</v>
      </c>
      <c r="F21" s="30">
        <v>1489.07315034</v>
      </c>
      <c r="G21" s="30">
        <v>629.03966786000069</v>
      </c>
      <c r="H21" s="30">
        <v>685.15838927999926</v>
      </c>
      <c r="I21" s="30">
        <f t="shared" si="2"/>
        <v>2803.2712074800002</v>
      </c>
      <c r="J21" s="30">
        <f t="shared" si="8"/>
        <v>5025.3409861600039</v>
      </c>
      <c r="K21" s="30">
        <v>1303.6229491700001</v>
      </c>
      <c r="L21" s="30">
        <v>780.57650030999991</v>
      </c>
      <c r="M21" s="30">
        <v>503.64310126999942</v>
      </c>
      <c r="N21" s="30">
        <f t="shared" si="3"/>
        <v>2587.8425507499996</v>
      </c>
      <c r="O21" s="30">
        <v>1349.8880566300002</v>
      </c>
      <c r="P21" s="30">
        <v>726.81151342999976</v>
      </c>
      <c r="Q21" s="30">
        <v>637.7072018500005</v>
      </c>
      <c r="R21" s="30">
        <f t="shared" si="4"/>
        <v>2714.4067719100003</v>
      </c>
      <c r="S21" s="30">
        <f t="shared" si="9"/>
        <v>5302.24932266</v>
      </c>
      <c r="T21" s="30">
        <f t="shared" si="5"/>
        <v>10327.590308820003</v>
      </c>
      <c r="U21" s="28">
        <f t="shared" si="6"/>
        <v>10327.590308820005</v>
      </c>
      <c r="V21" s="28">
        <f t="shared" si="7"/>
        <v>0</v>
      </c>
    </row>
    <row r="22" spans="1:37" x14ac:dyDescent="0.3">
      <c r="A22" s="33" t="s">
        <v>187</v>
      </c>
      <c r="B22" s="56">
        <v>12674.13120288997</v>
      </c>
      <c r="C22" s="56">
        <v>5028.6357723100082</v>
      </c>
      <c r="D22" s="56">
        <v>5392.007544560006</v>
      </c>
      <c r="E22" s="56">
        <f t="shared" si="1"/>
        <v>23094.774519759983</v>
      </c>
      <c r="F22" s="56">
        <v>15991.977929700006</v>
      </c>
      <c r="G22" s="56">
        <v>7878.0203361800013</v>
      </c>
      <c r="H22" s="56">
        <v>5891.3088993199863</v>
      </c>
      <c r="I22" s="56">
        <f t="shared" si="2"/>
        <v>29761.307165199993</v>
      </c>
      <c r="J22" s="56">
        <f t="shared" si="8"/>
        <v>52856.08168495998</v>
      </c>
      <c r="K22" s="56">
        <v>10958.940137330004</v>
      </c>
      <c r="L22" s="56">
        <v>7966.0322774700098</v>
      </c>
      <c r="M22" s="56">
        <v>5408.4453268099987</v>
      </c>
      <c r="N22" s="56">
        <f t="shared" si="3"/>
        <v>24333.417741610014</v>
      </c>
      <c r="O22" s="56">
        <v>10939.253981819997</v>
      </c>
      <c r="P22" s="56">
        <v>8609.5386864500088</v>
      </c>
      <c r="Q22" s="56">
        <v>8293.8896393200066</v>
      </c>
      <c r="R22" s="56">
        <f t="shared" si="4"/>
        <v>27842.68230759001</v>
      </c>
      <c r="S22" s="56">
        <f t="shared" si="9"/>
        <v>52176.100049200024</v>
      </c>
      <c r="T22" s="56">
        <f t="shared" si="5"/>
        <v>105032.18173416</v>
      </c>
      <c r="U22" s="28">
        <f t="shared" si="6"/>
        <v>105032.18173416001</v>
      </c>
      <c r="V22" s="28">
        <f t="shared" si="7"/>
        <v>0</v>
      </c>
    </row>
    <row r="23" spans="1:37" x14ac:dyDescent="0.3">
      <c r="A23" s="33" t="s">
        <v>188</v>
      </c>
      <c r="B23" s="56"/>
      <c r="C23" s="56"/>
      <c r="D23" s="56"/>
      <c r="E23" s="56"/>
      <c r="F23" s="56"/>
      <c r="G23" s="56"/>
      <c r="H23" s="56"/>
      <c r="I23" s="56"/>
      <c r="J23" s="56">
        <f t="shared" si="8"/>
        <v>0</v>
      </c>
      <c r="K23" s="56"/>
      <c r="L23" s="56"/>
      <c r="M23" s="56"/>
      <c r="N23" s="56"/>
      <c r="O23" s="56"/>
      <c r="P23" s="56"/>
      <c r="Q23" s="56"/>
      <c r="R23" s="56"/>
      <c r="S23" s="56">
        <f t="shared" si="9"/>
        <v>0</v>
      </c>
      <c r="T23" s="57"/>
      <c r="U23" s="28">
        <f t="shared" si="6"/>
        <v>0</v>
      </c>
      <c r="V23" s="28">
        <f t="shared" si="7"/>
        <v>0</v>
      </c>
    </row>
    <row r="24" spans="1:37" x14ac:dyDescent="0.3">
      <c r="A24" s="33" t="s">
        <v>37</v>
      </c>
      <c r="B24" s="30">
        <v>969.6004635699984</v>
      </c>
      <c r="C24" s="30">
        <v>308.37956458999986</v>
      </c>
      <c r="D24" s="30">
        <v>631.60775492999983</v>
      </c>
      <c r="E24" s="30">
        <f t="shared" si="1"/>
        <v>1909.5877830899981</v>
      </c>
      <c r="F24" s="30">
        <v>1146.1296200600002</v>
      </c>
      <c r="G24" s="30">
        <v>532.25500611999996</v>
      </c>
      <c r="H24" s="30">
        <v>487.97231104999969</v>
      </c>
      <c r="I24" s="30">
        <f t="shared" si="2"/>
        <v>2166.3569372299999</v>
      </c>
      <c r="J24" s="30">
        <f t="shared" si="8"/>
        <v>4075.9447203199979</v>
      </c>
      <c r="K24" s="30">
        <v>1092.6909937799994</v>
      </c>
      <c r="L24" s="30">
        <v>660.91238222000004</v>
      </c>
      <c r="M24" s="30">
        <v>462.29581516000002</v>
      </c>
      <c r="N24" s="30">
        <f t="shared" si="3"/>
        <v>2215.8991911599996</v>
      </c>
      <c r="O24" s="30">
        <v>984.07499181000094</v>
      </c>
      <c r="P24" s="30">
        <v>622.48657910000043</v>
      </c>
      <c r="Q24" s="30">
        <v>322.89103562000014</v>
      </c>
      <c r="R24" s="30">
        <f t="shared" si="4"/>
        <v>1929.4526065300015</v>
      </c>
      <c r="S24" s="30">
        <f t="shared" si="9"/>
        <v>4145.3517976900011</v>
      </c>
      <c r="T24" s="30">
        <f>+J24+S24</f>
        <v>8221.29651801</v>
      </c>
      <c r="U24" s="28">
        <f t="shared" si="6"/>
        <v>8221.2965180099982</v>
      </c>
      <c r="V24" s="28">
        <f t="shared" si="7"/>
        <v>0</v>
      </c>
    </row>
    <row r="25" spans="1:37" ht="16.5" x14ac:dyDescent="0.3">
      <c r="A25" s="33" t="s">
        <v>38</v>
      </c>
      <c r="B25" s="30">
        <v>200703.21066887997</v>
      </c>
      <c r="C25" s="30">
        <v>92477.856265729977</v>
      </c>
      <c r="D25" s="30">
        <v>96220.602002359999</v>
      </c>
      <c r="E25" s="30">
        <f t="shared" si="1"/>
        <v>389401.66893696995</v>
      </c>
      <c r="F25" s="30">
        <v>240042.53879629995</v>
      </c>
      <c r="G25" s="30">
        <v>143094.49377820001</v>
      </c>
      <c r="H25" s="30">
        <v>106660.12938491</v>
      </c>
      <c r="I25" s="30">
        <f t="shared" si="2"/>
        <v>489797.16195940995</v>
      </c>
      <c r="J25" s="30">
        <f t="shared" si="8"/>
        <v>879198.83089637989</v>
      </c>
      <c r="K25" s="30">
        <v>192625.18617356996</v>
      </c>
      <c r="L25" s="30">
        <v>145026.67623889001</v>
      </c>
      <c r="M25" s="30">
        <v>95702.137454769996</v>
      </c>
      <c r="N25" s="30">
        <f t="shared" si="3"/>
        <v>433353.99986722996</v>
      </c>
      <c r="O25" s="30">
        <v>183467.29432454999</v>
      </c>
      <c r="P25" s="30">
        <v>149120.03409376001</v>
      </c>
      <c r="Q25" s="30">
        <v>113730.69241009001</v>
      </c>
      <c r="R25" s="30">
        <f t="shared" si="4"/>
        <v>446318.02082840004</v>
      </c>
      <c r="S25" s="30">
        <f t="shared" si="9"/>
        <v>879672.02069563</v>
      </c>
      <c r="T25" s="30">
        <f>+J25+S25</f>
        <v>1758870.8515920099</v>
      </c>
      <c r="U25" s="28">
        <f t="shared" si="6"/>
        <v>1758870.8515920099</v>
      </c>
      <c r="V25" s="28">
        <f t="shared" si="7"/>
        <v>0</v>
      </c>
    </row>
    <row r="26" spans="1:37" x14ac:dyDescent="0.3">
      <c r="U26" s="28">
        <f t="shared" si="6"/>
        <v>0</v>
      </c>
      <c r="V26" s="28">
        <f t="shared" si="7"/>
        <v>0</v>
      </c>
    </row>
    <row r="27" spans="1:37" s="37" customFormat="1" x14ac:dyDescent="0.3">
      <c r="A27" s="37" t="s">
        <v>39</v>
      </c>
      <c r="B27" s="27">
        <f>SUM(B28:B34)</f>
        <v>1077.7048852199998</v>
      </c>
      <c r="C27" s="27">
        <f t="shared" ref="C27:T27" si="10">SUM(C28:C34)</f>
        <v>690.65623687999982</v>
      </c>
      <c r="D27" s="27">
        <f t="shared" si="10"/>
        <v>896.64437647000011</v>
      </c>
      <c r="E27" s="27">
        <f t="shared" si="10"/>
        <v>2665.0054985699999</v>
      </c>
      <c r="F27" s="27">
        <f t="shared" si="10"/>
        <v>1115.2669817199999</v>
      </c>
      <c r="G27" s="27">
        <f t="shared" si="10"/>
        <v>691.77451703000008</v>
      </c>
      <c r="H27" s="27">
        <f t="shared" si="10"/>
        <v>1051.2166551599998</v>
      </c>
      <c r="I27" s="27">
        <f t="shared" si="10"/>
        <v>2858.2581539100001</v>
      </c>
      <c r="J27" s="27">
        <f t="shared" si="10"/>
        <v>5523.26365248</v>
      </c>
      <c r="K27" s="27">
        <f t="shared" si="10"/>
        <v>975.22304403999988</v>
      </c>
      <c r="L27" s="27">
        <f t="shared" si="10"/>
        <v>679.89982437999993</v>
      </c>
      <c r="M27" s="27">
        <f t="shared" si="10"/>
        <v>660.28379234999989</v>
      </c>
      <c r="N27" s="27">
        <f t="shared" si="10"/>
        <v>2315.4066607699997</v>
      </c>
      <c r="O27" s="27">
        <f t="shared" si="10"/>
        <v>915.07456040999955</v>
      </c>
      <c r="P27" s="27">
        <f t="shared" si="10"/>
        <v>767.07833116000006</v>
      </c>
      <c r="Q27" s="27">
        <f t="shared" si="10"/>
        <v>818.79373381000039</v>
      </c>
      <c r="R27" s="27">
        <f t="shared" si="10"/>
        <v>2500.9466253800001</v>
      </c>
      <c r="S27" s="27">
        <f t="shared" si="10"/>
        <v>4816.3532861499998</v>
      </c>
      <c r="T27" s="27">
        <f t="shared" si="10"/>
        <v>10339.616938629999</v>
      </c>
      <c r="U27" s="28">
        <f t="shared" si="6"/>
        <v>10339.616938630001</v>
      </c>
      <c r="V27" s="28">
        <f t="shared" si="7"/>
        <v>0</v>
      </c>
      <c r="W27" s="27"/>
      <c r="X27" s="27"/>
      <c r="Y27" s="27"/>
      <c r="Z27" s="27"/>
      <c r="AA27" s="27"/>
      <c r="AB27" s="27"/>
      <c r="AC27" s="27"/>
      <c r="AD27" s="27"/>
      <c r="AE27" s="27"/>
      <c r="AF27" s="27"/>
      <c r="AG27" s="27"/>
      <c r="AH27" s="27"/>
      <c r="AI27" s="27"/>
      <c r="AJ27" s="27"/>
      <c r="AK27" s="27"/>
    </row>
    <row r="28" spans="1:37" x14ac:dyDescent="0.3">
      <c r="A28" s="33" t="s">
        <v>40</v>
      </c>
      <c r="B28" s="30">
        <v>65.093107589999988</v>
      </c>
      <c r="C28" s="30">
        <v>95.41747620999999</v>
      </c>
      <c r="D28" s="30">
        <v>225.71437988000005</v>
      </c>
      <c r="E28" s="30">
        <f t="shared" ref="E28:E34" si="11">+B28+C28+D28</f>
        <v>386.22496368000003</v>
      </c>
      <c r="F28" s="30">
        <v>124.11475075999998</v>
      </c>
      <c r="G28" s="30">
        <v>110.57246932</v>
      </c>
      <c r="H28" s="30">
        <v>150.60344497000003</v>
      </c>
      <c r="I28" s="30">
        <f t="shared" ref="I28:I34" si="12">+F28+G28+H28</f>
        <v>385.29066505000003</v>
      </c>
      <c r="J28" s="30">
        <f t="shared" si="8"/>
        <v>771.51562873000012</v>
      </c>
      <c r="K28" s="30">
        <v>116.80154964999997</v>
      </c>
      <c r="L28" s="30">
        <v>67.275666279999996</v>
      </c>
      <c r="M28" s="30">
        <v>35.348782520000007</v>
      </c>
      <c r="N28" s="30">
        <f t="shared" ref="N28:N34" si="13">+K28+L28+M28</f>
        <v>219.42599844999998</v>
      </c>
      <c r="O28" s="30">
        <v>70.475240579999948</v>
      </c>
      <c r="P28" s="30">
        <v>40.432062569999992</v>
      </c>
      <c r="Q28" s="30">
        <v>56.700710360000002</v>
      </c>
      <c r="R28" s="30">
        <f t="shared" ref="R28:R34" si="14">+O28+P28+Q28</f>
        <v>167.60801350999992</v>
      </c>
      <c r="S28" s="30">
        <f>+N28+R28</f>
        <v>387.03401195999993</v>
      </c>
      <c r="T28" s="30">
        <f>+J28+S28</f>
        <v>1158.5496406900002</v>
      </c>
      <c r="U28" s="28">
        <f t="shared" si="6"/>
        <v>1158.5496406899999</v>
      </c>
      <c r="V28" s="28">
        <f t="shared" si="7"/>
        <v>0</v>
      </c>
    </row>
    <row r="29" spans="1:37" x14ac:dyDescent="0.3">
      <c r="A29" s="33" t="s">
        <v>189</v>
      </c>
      <c r="B29" s="56">
        <v>146.31921492999996</v>
      </c>
      <c r="C29" s="56">
        <v>81.994281409999999</v>
      </c>
      <c r="D29" s="56">
        <v>137.51723871999999</v>
      </c>
      <c r="E29" s="56">
        <f t="shared" si="11"/>
        <v>365.83073505999994</v>
      </c>
      <c r="F29" s="56">
        <v>138.27826775999995</v>
      </c>
      <c r="G29" s="56">
        <v>75.440249730000019</v>
      </c>
      <c r="H29" s="56">
        <v>147.62413277000002</v>
      </c>
      <c r="I29" s="56">
        <f t="shared" si="12"/>
        <v>361.34265025999997</v>
      </c>
      <c r="J29" s="56">
        <f t="shared" si="8"/>
        <v>727.17338531999985</v>
      </c>
      <c r="K29" s="56">
        <v>107.90563266000001</v>
      </c>
      <c r="L29" s="56">
        <v>86.27903615999999</v>
      </c>
      <c r="M29" s="56">
        <v>88.587338379999991</v>
      </c>
      <c r="N29" s="56">
        <f t="shared" si="13"/>
        <v>282.77200720000002</v>
      </c>
      <c r="O29" s="56">
        <v>101.03025825999985</v>
      </c>
      <c r="P29" s="56">
        <v>122.13930107</v>
      </c>
      <c r="Q29" s="56">
        <v>143.54750706999999</v>
      </c>
      <c r="R29" s="56">
        <f t="shared" si="14"/>
        <v>366.71706639999985</v>
      </c>
      <c r="S29" s="56">
        <f t="shared" ref="S29:S34" si="15">+N29+R29</f>
        <v>649.48907359999987</v>
      </c>
      <c r="T29" s="56">
        <f>+J29+S29</f>
        <v>1376.6624589199996</v>
      </c>
      <c r="U29" s="28">
        <f t="shared" si="6"/>
        <v>1376.6624589199998</v>
      </c>
      <c r="V29" s="28">
        <f t="shared" si="7"/>
        <v>0</v>
      </c>
    </row>
    <row r="30" spans="1:37" x14ac:dyDescent="0.3">
      <c r="A30" s="33" t="s">
        <v>190</v>
      </c>
      <c r="B30" s="56"/>
      <c r="C30" s="56"/>
      <c r="D30" s="56"/>
      <c r="E30" s="56"/>
      <c r="F30" s="56"/>
      <c r="G30" s="56"/>
      <c r="H30" s="56"/>
      <c r="I30" s="56"/>
      <c r="J30" s="56">
        <f t="shared" si="8"/>
        <v>0</v>
      </c>
      <c r="K30" s="56"/>
      <c r="L30" s="56"/>
      <c r="M30" s="56"/>
      <c r="N30" s="56"/>
      <c r="O30" s="56"/>
      <c r="P30" s="56"/>
      <c r="Q30" s="56"/>
      <c r="R30" s="56"/>
      <c r="S30" s="56">
        <f t="shared" si="15"/>
        <v>0</v>
      </c>
      <c r="T30" s="56"/>
      <c r="U30" s="28">
        <f t="shared" si="6"/>
        <v>0</v>
      </c>
      <c r="V30" s="28">
        <f t="shared" si="7"/>
        <v>0</v>
      </c>
    </row>
    <row r="31" spans="1:37" x14ac:dyDescent="0.3">
      <c r="A31" s="33" t="s">
        <v>42</v>
      </c>
      <c r="B31" s="30">
        <v>165.35719073999994</v>
      </c>
      <c r="C31" s="30">
        <v>131.57932693999999</v>
      </c>
      <c r="D31" s="30">
        <v>130.14089579000003</v>
      </c>
      <c r="E31" s="30">
        <f t="shared" si="11"/>
        <v>427.07741347000001</v>
      </c>
      <c r="F31" s="30">
        <v>180.49031849999994</v>
      </c>
      <c r="G31" s="30">
        <v>113.13892239000005</v>
      </c>
      <c r="H31" s="30">
        <v>268.67498510000001</v>
      </c>
      <c r="I31" s="30">
        <f t="shared" si="12"/>
        <v>562.30422599000008</v>
      </c>
      <c r="J31" s="30">
        <f t="shared" si="8"/>
        <v>989.38163946000009</v>
      </c>
      <c r="K31" s="30">
        <v>161.68736659000001</v>
      </c>
      <c r="L31" s="30">
        <v>124.02540843999995</v>
      </c>
      <c r="M31" s="30">
        <v>128.04839039999999</v>
      </c>
      <c r="N31" s="30">
        <f t="shared" si="13"/>
        <v>413.76116543000001</v>
      </c>
      <c r="O31" s="30">
        <v>178.56669479000004</v>
      </c>
      <c r="P31" s="30">
        <v>130.28774533000001</v>
      </c>
      <c r="Q31" s="30">
        <v>179.17149474999997</v>
      </c>
      <c r="R31" s="30">
        <f t="shared" si="14"/>
        <v>488.02593487000001</v>
      </c>
      <c r="S31" s="30">
        <f t="shared" si="15"/>
        <v>901.78710030000002</v>
      </c>
      <c r="T31" s="30">
        <f>+J31+S31</f>
        <v>1891.1687397600001</v>
      </c>
      <c r="U31" s="28">
        <f t="shared" si="6"/>
        <v>1891.1687397600001</v>
      </c>
      <c r="V31" s="28">
        <f t="shared" si="7"/>
        <v>0</v>
      </c>
    </row>
    <row r="32" spans="1:37" x14ac:dyDescent="0.3">
      <c r="A32" s="33" t="s">
        <v>43</v>
      </c>
      <c r="B32" s="30">
        <v>75.724133869999946</v>
      </c>
      <c r="C32" s="30">
        <v>34.785236049999995</v>
      </c>
      <c r="D32" s="30">
        <v>50.035714019999993</v>
      </c>
      <c r="E32" s="30">
        <f t="shared" si="11"/>
        <v>160.54508393999993</v>
      </c>
      <c r="F32" s="30">
        <v>48.361763679999996</v>
      </c>
      <c r="G32" s="30">
        <v>29.484163770000002</v>
      </c>
      <c r="H32" s="30">
        <v>56.962147160000015</v>
      </c>
      <c r="I32" s="30">
        <f t="shared" si="12"/>
        <v>134.80807461000001</v>
      </c>
      <c r="J32" s="30">
        <f t="shared" si="8"/>
        <v>295.35315854999993</v>
      </c>
      <c r="K32" s="30">
        <v>62.478375719999995</v>
      </c>
      <c r="L32" s="30">
        <v>41.288572080000002</v>
      </c>
      <c r="M32" s="30">
        <v>68.509310670000019</v>
      </c>
      <c r="N32" s="30">
        <f t="shared" si="13"/>
        <v>172.27625847000002</v>
      </c>
      <c r="O32" s="30">
        <v>39.418894120000026</v>
      </c>
      <c r="P32" s="30">
        <v>56.291668580000014</v>
      </c>
      <c r="Q32" s="30">
        <v>56.074620609999997</v>
      </c>
      <c r="R32" s="30">
        <f t="shared" si="14"/>
        <v>151.78518331000004</v>
      </c>
      <c r="S32" s="30">
        <f t="shared" si="15"/>
        <v>324.06144178000005</v>
      </c>
      <c r="T32" s="30">
        <f>+J32+S32</f>
        <v>619.41460032999998</v>
      </c>
      <c r="U32" s="28">
        <f t="shared" si="6"/>
        <v>619.41460032999987</v>
      </c>
      <c r="V32" s="28">
        <f t="shared" si="7"/>
        <v>0</v>
      </c>
    </row>
    <row r="33" spans="1:37" x14ac:dyDescent="0.3">
      <c r="A33" s="33" t="s">
        <v>44</v>
      </c>
      <c r="B33" s="30">
        <v>68.522496130000007</v>
      </c>
      <c r="C33" s="30">
        <v>49.91706168000001</v>
      </c>
      <c r="D33" s="30">
        <v>34.057097460000008</v>
      </c>
      <c r="E33" s="30">
        <f t="shared" si="11"/>
        <v>152.49665527000002</v>
      </c>
      <c r="F33" s="30">
        <v>59.18863557000001</v>
      </c>
      <c r="G33" s="30">
        <v>56.141716830000007</v>
      </c>
      <c r="H33" s="30">
        <v>66.629247819999989</v>
      </c>
      <c r="I33" s="30">
        <f t="shared" si="12"/>
        <v>181.95960022</v>
      </c>
      <c r="J33" s="30">
        <f t="shared" si="8"/>
        <v>334.45625548999999</v>
      </c>
      <c r="K33" s="30">
        <v>67.06137975999998</v>
      </c>
      <c r="L33" s="30">
        <v>50.459025320000002</v>
      </c>
      <c r="M33" s="30">
        <v>50.131189269999993</v>
      </c>
      <c r="N33" s="30">
        <f t="shared" si="13"/>
        <v>167.65159434999998</v>
      </c>
      <c r="O33" s="30">
        <v>40.457162009999969</v>
      </c>
      <c r="P33" s="30">
        <v>45.224021580000006</v>
      </c>
      <c r="Q33" s="30">
        <v>87.174356939999996</v>
      </c>
      <c r="R33" s="30">
        <f t="shared" si="14"/>
        <v>172.85554052999998</v>
      </c>
      <c r="S33" s="30">
        <f t="shared" si="15"/>
        <v>340.50713487999997</v>
      </c>
      <c r="T33" s="30">
        <f>+J33+S33</f>
        <v>674.96339036999996</v>
      </c>
      <c r="U33" s="28">
        <f t="shared" si="6"/>
        <v>674.96339037000007</v>
      </c>
      <c r="V33" s="28">
        <f t="shared" si="7"/>
        <v>0</v>
      </c>
    </row>
    <row r="34" spans="1:37" x14ac:dyDescent="0.3">
      <c r="A34" s="33" t="s">
        <v>45</v>
      </c>
      <c r="B34" s="30">
        <v>556.68874196000002</v>
      </c>
      <c r="C34" s="30">
        <v>296.96285458999989</v>
      </c>
      <c r="D34" s="30">
        <v>319.17905059999998</v>
      </c>
      <c r="E34" s="30">
        <f t="shared" si="11"/>
        <v>1172.83064715</v>
      </c>
      <c r="F34" s="30">
        <v>564.83324545000005</v>
      </c>
      <c r="G34" s="30">
        <v>306.99699499000002</v>
      </c>
      <c r="H34" s="30">
        <v>360.72269733999991</v>
      </c>
      <c r="I34" s="30">
        <f t="shared" si="12"/>
        <v>1232.5529377800001</v>
      </c>
      <c r="J34" s="30">
        <f t="shared" si="8"/>
        <v>2405.3835849300003</v>
      </c>
      <c r="K34" s="30">
        <v>459.28873965999986</v>
      </c>
      <c r="L34" s="30">
        <v>310.57211610000002</v>
      </c>
      <c r="M34" s="30">
        <v>289.65878110999984</v>
      </c>
      <c r="N34" s="30">
        <f t="shared" si="13"/>
        <v>1059.5196368699997</v>
      </c>
      <c r="O34" s="30">
        <v>485.12631064999965</v>
      </c>
      <c r="P34" s="30">
        <v>372.70353203000002</v>
      </c>
      <c r="Q34" s="30">
        <v>296.12504408000041</v>
      </c>
      <c r="R34" s="30">
        <f t="shared" si="14"/>
        <v>1153.9548867600001</v>
      </c>
      <c r="S34" s="30">
        <f t="shared" si="15"/>
        <v>2213.4745236299996</v>
      </c>
      <c r="T34" s="30">
        <f>+J34+S34</f>
        <v>4618.8581085599999</v>
      </c>
      <c r="U34" s="28">
        <f t="shared" si="6"/>
        <v>4618.8581085599999</v>
      </c>
      <c r="V34" s="28">
        <f t="shared" si="7"/>
        <v>0</v>
      </c>
    </row>
    <row r="35" spans="1:37" x14ac:dyDescent="0.3">
      <c r="U35" s="28">
        <f t="shared" si="6"/>
        <v>0</v>
      </c>
      <c r="V35" s="28">
        <f t="shared" si="7"/>
        <v>0</v>
      </c>
    </row>
    <row r="36" spans="1:37" s="37" customFormat="1" x14ac:dyDescent="0.3">
      <c r="A36" s="37" t="s">
        <v>46</v>
      </c>
      <c r="B36" s="27">
        <f>SUM(B37:B40)</f>
        <v>2972.9301670670011</v>
      </c>
      <c r="C36" s="27">
        <f t="shared" ref="C36:T36" si="16">SUM(C37:C40)</f>
        <v>1659.9015024629998</v>
      </c>
      <c r="D36" s="27">
        <f t="shared" si="16"/>
        <v>1731.6376577119995</v>
      </c>
      <c r="E36" s="27">
        <f t="shared" si="16"/>
        <v>6364.469327242</v>
      </c>
      <c r="F36" s="27">
        <f t="shared" si="16"/>
        <v>3248.1211967550016</v>
      </c>
      <c r="G36" s="27">
        <f t="shared" si="16"/>
        <v>2010.4677238529998</v>
      </c>
      <c r="H36" s="27">
        <f t="shared" si="16"/>
        <v>2087.7849389239991</v>
      </c>
      <c r="I36" s="27">
        <f t="shared" si="16"/>
        <v>7346.373859532001</v>
      </c>
      <c r="J36" s="27">
        <f t="shared" si="16"/>
        <v>13710.843186774</v>
      </c>
      <c r="K36" s="27">
        <f t="shared" si="16"/>
        <v>2566.1658264300004</v>
      </c>
      <c r="L36" s="27">
        <f t="shared" si="16"/>
        <v>1879.0976634900001</v>
      </c>
      <c r="M36" s="27">
        <f t="shared" si="16"/>
        <v>1484.9444489599996</v>
      </c>
      <c r="N36" s="27">
        <f t="shared" si="16"/>
        <v>5930.2079388800003</v>
      </c>
      <c r="O36" s="27">
        <f t="shared" si="16"/>
        <v>1981.4584438648985</v>
      </c>
      <c r="P36" s="27">
        <f t="shared" si="16"/>
        <v>1609.0694857100002</v>
      </c>
      <c r="Q36" s="27">
        <f t="shared" si="16"/>
        <v>1743.3782422899992</v>
      </c>
      <c r="R36" s="27">
        <f t="shared" si="16"/>
        <v>5333.9061718648973</v>
      </c>
      <c r="S36" s="27">
        <f t="shared" si="16"/>
        <v>11264.114110744897</v>
      </c>
      <c r="T36" s="27">
        <f t="shared" si="16"/>
        <v>24974.9572975189</v>
      </c>
      <c r="U36" s="28">
        <f t="shared" si="6"/>
        <v>24974.9572975189</v>
      </c>
      <c r="V36" s="28">
        <f t="shared" si="7"/>
        <v>0</v>
      </c>
      <c r="W36" s="27"/>
      <c r="X36" s="27"/>
      <c r="Y36" s="27"/>
      <c r="Z36" s="27"/>
      <c r="AA36" s="27"/>
      <c r="AB36" s="27"/>
      <c r="AC36" s="27"/>
      <c r="AD36" s="27"/>
      <c r="AE36" s="27"/>
      <c r="AF36" s="27"/>
      <c r="AG36" s="27"/>
      <c r="AH36" s="27"/>
      <c r="AI36" s="27"/>
      <c r="AJ36" s="27"/>
      <c r="AK36" s="27"/>
    </row>
    <row r="37" spans="1:37" x14ac:dyDescent="0.3">
      <c r="A37" s="33" t="s">
        <v>47</v>
      </c>
      <c r="B37" s="30">
        <v>447.62887930000016</v>
      </c>
      <c r="C37" s="30">
        <v>274.12604696999995</v>
      </c>
      <c r="D37" s="30">
        <v>290.17685666999995</v>
      </c>
      <c r="E37" s="30">
        <f t="shared" ref="E37:E40" si="17">+B37+C37+D37</f>
        <v>1011.9317829400002</v>
      </c>
      <c r="F37" s="30">
        <v>435.16634417999995</v>
      </c>
      <c r="G37" s="30">
        <v>293.62003711</v>
      </c>
      <c r="H37" s="30">
        <v>329.93385737400007</v>
      </c>
      <c r="I37" s="30">
        <f t="shared" ref="I37:I40" si="18">+F37+G37+H37</f>
        <v>1058.7202386640001</v>
      </c>
      <c r="J37" s="30">
        <f t="shared" si="8"/>
        <v>2070.6520216040003</v>
      </c>
      <c r="K37" s="30">
        <v>378.11061048000028</v>
      </c>
      <c r="L37" s="30">
        <v>255.30796971000007</v>
      </c>
      <c r="M37" s="30">
        <v>224.30222498000001</v>
      </c>
      <c r="N37" s="30">
        <f t="shared" ref="N37:N40" si="19">+K37+L37+M37</f>
        <v>857.72080517000029</v>
      </c>
      <c r="O37" s="30">
        <v>293.20022562989965</v>
      </c>
      <c r="P37" s="30">
        <v>228.80530018000002</v>
      </c>
      <c r="Q37" s="30">
        <v>361.41287006999994</v>
      </c>
      <c r="R37" s="30">
        <f t="shared" ref="R37:R40" si="20">+O37+P37+Q37</f>
        <v>883.41839587989955</v>
      </c>
      <c r="S37" s="30">
        <f t="shared" ref="S37:S40" si="21">+N37+R37</f>
        <v>1741.1392010498998</v>
      </c>
      <c r="T37" s="30">
        <f>+J37+S37</f>
        <v>3811.7912226539001</v>
      </c>
      <c r="U37" s="28">
        <f t="shared" si="6"/>
        <v>3811.7912226539001</v>
      </c>
      <c r="V37" s="28">
        <f t="shared" si="7"/>
        <v>0</v>
      </c>
    </row>
    <row r="38" spans="1:37" x14ac:dyDescent="0.3">
      <c r="A38" s="33" t="s">
        <v>48</v>
      </c>
      <c r="B38" s="30">
        <v>518.83075997000037</v>
      </c>
      <c r="C38" s="30">
        <v>185.93505267000003</v>
      </c>
      <c r="D38" s="30">
        <v>227.41381159999995</v>
      </c>
      <c r="E38" s="30">
        <f t="shared" si="17"/>
        <v>932.17962424000029</v>
      </c>
      <c r="F38" s="30">
        <v>509.39383228000014</v>
      </c>
      <c r="G38" s="30">
        <v>276.30621470999989</v>
      </c>
      <c r="H38" s="30">
        <v>325.91827867999962</v>
      </c>
      <c r="I38" s="30">
        <f t="shared" si="18"/>
        <v>1111.6183256699996</v>
      </c>
      <c r="J38" s="30">
        <f t="shared" si="8"/>
        <v>2043.7979499099999</v>
      </c>
      <c r="K38" s="30">
        <v>372.58901820000011</v>
      </c>
      <c r="L38" s="30">
        <v>250.85412912000004</v>
      </c>
      <c r="M38" s="30">
        <v>214.16237734999999</v>
      </c>
      <c r="N38" s="30">
        <f t="shared" si="19"/>
        <v>837.60552467000025</v>
      </c>
      <c r="O38" s="30">
        <v>253.69711959500009</v>
      </c>
      <c r="P38" s="30">
        <v>243.49619733000003</v>
      </c>
      <c r="Q38" s="30">
        <v>248.74675348999972</v>
      </c>
      <c r="R38" s="30">
        <f t="shared" si="20"/>
        <v>745.94007041499981</v>
      </c>
      <c r="S38" s="30">
        <f t="shared" si="21"/>
        <v>1583.5455950850001</v>
      </c>
      <c r="T38" s="30">
        <f>+J38+S38</f>
        <v>3627.3435449950002</v>
      </c>
      <c r="U38" s="28">
        <f t="shared" si="6"/>
        <v>3627.3435449950002</v>
      </c>
      <c r="V38" s="28">
        <f t="shared" si="7"/>
        <v>0</v>
      </c>
    </row>
    <row r="39" spans="1:37" x14ac:dyDescent="0.3">
      <c r="A39" s="33" t="s">
        <v>49</v>
      </c>
      <c r="B39" s="30">
        <v>775.70627563000096</v>
      </c>
      <c r="C39" s="30">
        <v>355.17027584000004</v>
      </c>
      <c r="D39" s="30">
        <v>457.00510112000006</v>
      </c>
      <c r="E39" s="30">
        <f t="shared" si="17"/>
        <v>1587.8816525900011</v>
      </c>
      <c r="F39" s="30">
        <v>639.31183952000026</v>
      </c>
      <c r="G39" s="30">
        <v>561.07092112999987</v>
      </c>
      <c r="H39" s="30">
        <v>498.05628207000001</v>
      </c>
      <c r="I39" s="30">
        <f t="shared" si="18"/>
        <v>1698.4390427200001</v>
      </c>
      <c r="J39" s="30">
        <f t="shared" si="8"/>
        <v>3286.3206953100012</v>
      </c>
      <c r="K39" s="30">
        <v>613.64494391999983</v>
      </c>
      <c r="L39" s="30">
        <v>438.07854528999997</v>
      </c>
      <c r="M39" s="30">
        <v>298.88238036999996</v>
      </c>
      <c r="N39" s="30">
        <f t="shared" si="19"/>
        <v>1350.6058695799998</v>
      </c>
      <c r="O39" s="30">
        <v>423.05214198999988</v>
      </c>
      <c r="P39" s="30">
        <v>309.52452283999997</v>
      </c>
      <c r="Q39" s="30">
        <v>376.43084641000002</v>
      </c>
      <c r="R39" s="30">
        <f t="shared" si="20"/>
        <v>1109.0075112399998</v>
      </c>
      <c r="S39" s="30">
        <f t="shared" si="21"/>
        <v>2459.6133808199993</v>
      </c>
      <c r="T39" s="30">
        <f>+J39+S39</f>
        <v>5745.9340761300009</v>
      </c>
      <c r="U39" s="28">
        <f t="shared" si="6"/>
        <v>5745.9340761300009</v>
      </c>
      <c r="V39" s="28">
        <f t="shared" si="7"/>
        <v>0</v>
      </c>
    </row>
    <row r="40" spans="1:37" x14ac:dyDescent="0.3">
      <c r="A40" s="33" t="s">
        <v>50</v>
      </c>
      <c r="B40" s="30">
        <v>1230.7642521669993</v>
      </c>
      <c r="C40" s="30">
        <v>844.67012698299993</v>
      </c>
      <c r="D40" s="30">
        <v>757.04188832199964</v>
      </c>
      <c r="E40" s="30">
        <f t="shared" si="17"/>
        <v>2832.4762674719987</v>
      </c>
      <c r="F40" s="30">
        <v>1664.2491807750012</v>
      </c>
      <c r="G40" s="30">
        <v>879.47055090299989</v>
      </c>
      <c r="H40" s="30">
        <v>933.87652079999975</v>
      </c>
      <c r="I40" s="30">
        <f t="shared" si="18"/>
        <v>3477.5962524780007</v>
      </c>
      <c r="J40" s="30">
        <f t="shared" si="8"/>
        <v>6310.0725199499993</v>
      </c>
      <c r="K40" s="30">
        <v>1201.8212538299999</v>
      </c>
      <c r="L40" s="30">
        <v>934.85701936999999</v>
      </c>
      <c r="M40" s="30">
        <v>747.59746625999969</v>
      </c>
      <c r="N40" s="30">
        <f t="shared" si="19"/>
        <v>2884.2757394599998</v>
      </c>
      <c r="O40" s="30">
        <v>1011.5089566499989</v>
      </c>
      <c r="P40" s="30">
        <v>827.24346536000007</v>
      </c>
      <c r="Q40" s="30">
        <v>756.78777231999948</v>
      </c>
      <c r="R40" s="30">
        <f t="shared" si="20"/>
        <v>2595.5401943299985</v>
      </c>
      <c r="S40" s="30">
        <f t="shared" si="21"/>
        <v>5479.8159337899979</v>
      </c>
      <c r="T40" s="30">
        <f>+J40+S40</f>
        <v>11789.888453739997</v>
      </c>
      <c r="U40" s="28">
        <f t="shared" si="6"/>
        <v>11789.888453739997</v>
      </c>
      <c r="V40" s="28">
        <f t="shared" si="7"/>
        <v>0</v>
      </c>
    </row>
    <row r="41" spans="1:37" x14ac:dyDescent="0.3">
      <c r="U41" s="28">
        <f t="shared" si="6"/>
        <v>0</v>
      </c>
      <c r="V41" s="28">
        <f t="shared" si="7"/>
        <v>0</v>
      </c>
    </row>
    <row r="42" spans="1:37" s="37" customFormat="1" x14ac:dyDescent="0.3">
      <c r="A42" s="37" t="s">
        <v>51</v>
      </c>
      <c r="B42" s="27">
        <f>SUM(B43:B47)</f>
        <v>1628.1005584500006</v>
      </c>
      <c r="C42" s="27">
        <f t="shared" ref="C42:T42" si="22">SUM(C43:C47)</f>
        <v>917.98564728999997</v>
      </c>
      <c r="D42" s="27">
        <f t="shared" si="22"/>
        <v>1188.6909776599998</v>
      </c>
      <c r="E42" s="27">
        <f t="shared" si="22"/>
        <v>3734.7771834000005</v>
      </c>
      <c r="F42" s="27">
        <f t="shared" si="22"/>
        <v>1871.8224428300002</v>
      </c>
      <c r="G42" s="27">
        <f t="shared" si="22"/>
        <v>1226.9177545299999</v>
      </c>
      <c r="H42" s="27">
        <f t="shared" si="22"/>
        <v>1630.7357778000003</v>
      </c>
      <c r="I42" s="27">
        <f t="shared" si="22"/>
        <v>4729.4759751600004</v>
      </c>
      <c r="J42" s="27">
        <f t="shared" si="22"/>
        <v>8464.2531585600009</v>
      </c>
      <c r="K42" s="27">
        <f t="shared" si="22"/>
        <v>1590.8917339499999</v>
      </c>
      <c r="L42" s="27">
        <f t="shared" si="22"/>
        <v>1274.1795386900001</v>
      </c>
      <c r="M42" s="27">
        <f t="shared" si="22"/>
        <v>1173.7083318899995</v>
      </c>
      <c r="N42" s="27">
        <f t="shared" si="22"/>
        <v>4038.7796045299997</v>
      </c>
      <c r="O42" s="27">
        <f t="shared" si="22"/>
        <v>1341.9191336499985</v>
      </c>
      <c r="P42" s="27">
        <f t="shared" si="22"/>
        <v>1256.8293743600002</v>
      </c>
      <c r="Q42" s="27">
        <f t="shared" si="22"/>
        <v>1116.3354017099996</v>
      </c>
      <c r="R42" s="27">
        <f t="shared" si="22"/>
        <v>3715.0839097199982</v>
      </c>
      <c r="S42" s="27">
        <f t="shared" si="22"/>
        <v>7753.863514249997</v>
      </c>
      <c r="T42" s="27">
        <f t="shared" si="22"/>
        <v>16218.116672809998</v>
      </c>
      <c r="U42" s="28">
        <f t="shared" si="6"/>
        <v>16218.116672809998</v>
      </c>
      <c r="V42" s="28">
        <f t="shared" si="7"/>
        <v>0</v>
      </c>
      <c r="W42" s="27"/>
      <c r="X42" s="27"/>
      <c r="Y42" s="27"/>
      <c r="Z42" s="27"/>
      <c r="AA42" s="27"/>
      <c r="AB42" s="27"/>
      <c r="AC42" s="27"/>
      <c r="AD42" s="27"/>
      <c r="AE42" s="27"/>
      <c r="AF42" s="27"/>
      <c r="AG42" s="27"/>
      <c r="AH42" s="27"/>
      <c r="AI42" s="27"/>
      <c r="AJ42" s="27"/>
      <c r="AK42" s="27"/>
    </row>
    <row r="43" spans="1:37" x14ac:dyDescent="0.3">
      <c r="A43" s="33" t="s">
        <v>191</v>
      </c>
      <c r="B43" s="56">
        <v>540.8391743799998</v>
      </c>
      <c r="C43" s="56">
        <v>374.35467574000012</v>
      </c>
      <c r="D43" s="56">
        <v>487.3546373399999</v>
      </c>
      <c r="E43" s="56">
        <f t="shared" ref="E43:E47" si="23">+B43+C43+D43</f>
        <v>1402.5484874599999</v>
      </c>
      <c r="F43" s="56">
        <v>626.2961726700006</v>
      </c>
      <c r="G43" s="56">
        <v>451.7500451099998</v>
      </c>
      <c r="H43" s="56">
        <v>548.57681411999999</v>
      </c>
      <c r="I43" s="56">
        <f t="shared" ref="I43:I47" si="24">+F43+G43+H43</f>
        <v>1626.6230319000006</v>
      </c>
      <c r="J43" s="56">
        <f t="shared" si="8"/>
        <v>3029.1715193600003</v>
      </c>
      <c r="K43" s="56">
        <v>549.07539803999987</v>
      </c>
      <c r="L43" s="56">
        <v>499.92037703000005</v>
      </c>
      <c r="M43" s="56">
        <v>421.11429831999993</v>
      </c>
      <c r="N43" s="56">
        <f t="shared" ref="N43:N47" si="25">+K43+L43+M43</f>
        <v>1470.11007339</v>
      </c>
      <c r="O43" s="56">
        <v>524.12626449999959</v>
      </c>
      <c r="P43" s="56">
        <v>472.72183340000004</v>
      </c>
      <c r="Q43" s="56">
        <v>389.64815984000001</v>
      </c>
      <c r="R43" s="56">
        <f t="shared" ref="R43:R47" si="26">+O43+P43+Q43</f>
        <v>1386.4962577399997</v>
      </c>
      <c r="S43" s="56">
        <f>+N43+R43</f>
        <v>2856.6063311299995</v>
      </c>
      <c r="T43" s="56">
        <f>+J43+S43</f>
        <v>5885.7778504899998</v>
      </c>
      <c r="U43" s="28">
        <f t="shared" si="6"/>
        <v>5885.7778504899998</v>
      </c>
      <c r="V43" s="28">
        <f t="shared" si="7"/>
        <v>0</v>
      </c>
    </row>
    <row r="44" spans="1:37" x14ac:dyDescent="0.3">
      <c r="A44" s="33" t="s">
        <v>192</v>
      </c>
      <c r="B44" s="56"/>
      <c r="C44" s="56"/>
      <c r="D44" s="56"/>
      <c r="E44" s="56"/>
      <c r="F44" s="56"/>
      <c r="G44" s="56"/>
      <c r="H44" s="56"/>
      <c r="I44" s="56"/>
      <c r="J44" s="56">
        <f t="shared" si="8"/>
        <v>0</v>
      </c>
      <c r="K44" s="56"/>
      <c r="L44" s="56"/>
      <c r="M44" s="56"/>
      <c r="N44" s="56"/>
      <c r="O44" s="56"/>
      <c r="P44" s="56"/>
      <c r="Q44" s="56"/>
      <c r="R44" s="56"/>
      <c r="S44" s="56"/>
      <c r="T44" s="56"/>
      <c r="U44" s="28">
        <f t="shared" si="6"/>
        <v>0</v>
      </c>
      <c r="V44" s="28">
        <f t="shared" si="7"/>
        <v>0</v>
      </c>
    </row>
    <row r="45" spans="1:37" x14ac:dyDescent="0.3">
      <c r="A45" s="33" t="s">
        <v>53</v>
      </c>
      <c r="B45" s="30">
        <v>790.32919091000053</v>
      </c>
      <c r="C45" s="30">
        <v>377.32182425999974</v>
      </c>
      <c r="D45" s="30">
        <v>471.93855149999996</v>
      </c>
      <c r="E45" s="30">
        <f t="shared" si="23"/>
        <v>1639.5895666700003</v>
      </c>
      <c r="F45" s="30">
        <v>863.72506295999983</v>
      </c>
      <c r="G45" s="30">
        <v>595.8358272700001</v>
      </c>
      <c r="H45" s="30">
        <v>816.94989007999993</v>
      </c>
      <c r="I45" s="30">
        <f t="shared" si="24"/>
        <v>2276.51078031</v>
      </c>
      <c r="J45" s="30">
        <f t="shared" si="8"/>
        <v>3916.1003469800003</v>
      </c>
      <c r="K45" s="30">
        <v>793.40975499000001</v>
      </c>
      <c r="L45" s="30">
        <v>562.34135805999995</v>
      </c>
      <c r="M45" s="30">
        <v>556.62310007999963</v>
      </c>
      <c r="N45" s="30">
        <f t="shared" si="25"/>
        <v>1912.3742131299996</v>
      </c>
      <c r="O45" s="30">
        <v>567.54815472999883</v>
      </c>
      <c r="P45" s="30">
        <v>570.75688398999978</v>
      </c>
      <c r="Q45" s="30">
        <v>540.45632448999959</v>
      </c>
      <c r="R45" s="30">
        <f t="shared" si="26"/>
        <v>1678.7613632099983</v>
      </c>
      <c r="S45" s="30">
        <f t="shared" ref="S45:S47" si="27">+N45+R45</f>
        <v>3591.1355763399979</v>
      </c>
      <c r="T45" s="30">
        <f>+J45+S45</f>
        <v>7507.2359233199986</v>
      </c>
      <c r="U45" s="28">
        <f t="shared" si="6"/>
        <v>7507.2359233199986</v>
      </c>
      <c r="V45" s="28">
        <f t="shared" si="7"/>
        <v>0</v>
      </c>
    </row>
    <row r="46" spans="1:37" x14ac:dyDescent="0.3">
      <c r="A46" s="33" t="s">
        <v>54</v>
      </c>
      <c r="B46" s="30">
        <v>203.68942234000014</v>
      </c>
      <c r="C46" s="30">
        <v>114.92702998000001</v>
      </c>
      <c r="D46" s="30">
        <v>188.54235698000002</v>
      </c>
      <c r="E46" s="30">
        <f t="shared" si="23"/>
        <v>507.15880930000014</v>
      </c>
      <c r="F46" s="30">
        <v>313.37492324999999</v>
      </c>
      <c r="G46" s="30">
        <v>135.62826345999997</v>
      </c>
      <c r="H46" s="30">
        <v>203.62126262000007</v>
      </c>
      <c r="I46" s="30">
        <f t="shared" si="24"/>
        <v>652.62444933000006</v>
      </c>
      <c r="J46" s="30">
        <f t="shared" si="8"/>
        <v>1159.7832586300001</v>
      </c>
      <c r="K46" s="30">
        <v>171.86622962000001</v>
      </c>
      <c r="L46" s="30">
        <v>158.24619061999999</v>
      </c>
      <c r="M46" s="30">
        <v>138.84839944999999</v>
      </c>
      <c r="N46" s="30">
        <f t="shared" si="25"/>
        <v>468.96081968999999</v>
      </c>
      <c r="O46" s="30">
        <v>178.60912260000003</v>
      </c>
      <c r="P46" s="30">
        <v>147.89736617000005</v>
      </c>
      <c r="Q46" s="30">
        <v>129.96411490999995</v>
      </c>
      <c r="R46" s="30">
        <f t="shared" si="26"/>
        <v>456.47060368000007</v>
      </c>
      <c r="S46" s="30">
        <f t="shared" si="27"/>
        <v>925.43142337000006</v>
      </c>
      <c r="T46" s="30">
        <f>+J46+S46</f>
        <v>2085.2146820000003</v>
      </c>
      <c r="U46" s="28">
        <f t="shared" si="6"/>
        <v>2085.2146820000003</v>
      </c>
      <c r="V46" s="28">
        <f t="shared" si="7"/>
        <v>0</v>
      </c>
    </row>
    <row r="47" spans="1:37" x14ac:dyDescent="0.3">
      <c r="A47" s="33" t="s">
        <v>55</v>
      </c>
      <c r="B47" s="30">
        <v>93.24277081999999</v>
      </c>
      <c r="C47" s="30">
        <v>51.382117310000169</v>
      </c>
      <c r="D47" s="30">
        <v>40.85543183999998</v>
      </c>
      <c r="E47" s="30">
        <f t="shared" si="23"/>
        <v>185.48031997000015</v>
      </c>
      <c r="F47" s="30">
        <v>68.426283949999998</v>
      </c>
      <c r="G47" s="30">
        <v>43.703618690000013</v>
      </c>
      <c r="H47" s="30">
        <v>61.587810980000022</v>
      </c>
      <c r="I47" s="30">
        <f t="shared" si="24"/>
        <v>173.71771362000004</v>
      </c>
      <c r="J47" s="30">
        <f t="shared" si="8"/>
        <v>359.19803359000019</v>
      </c>
      <c r="K47" s="30">
        <v>76.540351300000012</v>
      </c>
      <c r="L47" s="30">
        <v>53.671612979999999</v>
      </c>
      <c r="M47" s="30">
        <v>57.122534039999998</v>
      </c>
      <c r="N47" s="30">
        <f t="shared" si="25"/>
        <v>187.33449832000002</v>
      </c>
      <c r="O47" s="30">
        <v>71.635591819999945</v>
      </c>
      <c r="P47" s="30">
        <v>65.453290799999991</v>
      </c>
      <c r="Q47" s="30">
        <v>56.266802470000002</v>
      </c>
      <c r="R47" s="30">
        <f t="shared" si="26"/>
        <v>193.35568508999995</v>
      </c>
      <c r="S47" s="30">
        <f t="shared" si="27"/>
        <v>380.69018340999997</v>
      </c>
      <c r="T47" s="30">
        <f>+J47+S47</f>
        <v>739.88821700000017</v>
      </c>
      <c r="U47" s="28">
        <f t="shared" si="6"/>
        <v>739.88821700000017</v>
      </c>
      <c r="V47" s="28">
        <f t="shared" si="7"/>
        <v>0</v>
      </c>
    </row>
    <row r="48" spans="1:37" x14ac:dyDescent="0.3">
      <c r="U48" s="28">
        <f t="shared" si="6"/>
        <v>0</v>
      </c>
      <c r="V48" s="28">
        <f t="shared" si="7"/>
        <v>0</v>
      </c>
    </row>
    <row r="49" spans="1:37" s="37" customFormat="1" x14ac:dyDescent="0.3">
      <c r="A49" s="37" t="s">
        <v>56</v>
      </c>
      <c r="B49" s="27">
        <f>SUM(B50:B58)</f>
        <v>10752.542474384003</v>
      </c>
      <c r="C49" s="27">
        <f t="shared" ref="C49:T49" si="28">SUM(C50:C58)</f>
        <v>4677.6040974899997</v>
      </c>
      <c r="D49" s="27">
        <f t="shared" si="28"/>
        <v>5623.3279200699999</v>
      </c>
      <c r="E49" s="27">
        <f t="shared" si="28"/>
        <v>21053.474491944002</v>
      </c>
      <c r="F49" s="27">
        <f t="shared" si="28"/>
        <v>13316.689587919998</v>
      </c>
      <c r="G49" s="27">
        <f t="shared" si="28"/>
        <v>7582.8597607000002</v>
      </c>
      <c r="H49" s="27">
        <f t="shared" si="28"/>
        <v>6283.2344534999966</v>
      </c>
      <c r="I49" s="27">
        <f t="shared" si="28"/>
        <v>27182.78380212</v>
      </c>
      <c r="J49" s="27">
        <f t="shared" si="28"/>
        <v>48236.258294063999</v>
      </c>
      <c r="K49" s="27">
        <f t="shared" si="28"/>
        <v>10883.870996210004</v>
      </c>
      <c r="L49" s="27">
        <f t="shared" si="28"/>
        <v>7346.8872314400014</v>
      </c>
      <c r="M49" s="27">
        <f t="shared" si="28"/>
        <v>5220.5977242399995</v>
      </c>
      <c r="N49" s="27">
        <f t="shared" si="28"/>
        <v>23451.355951890004</v>
      </c>
      <c r="O49" s="27">
        <f t="shared" si="28"/>
        <v>9405.097830450004</v>
      </c>
      <c r="P49" s="27">
        <f t="shared" si="28"/>
        <v>7283.0205454000006</v>
      </c>
      <c r="Q49" s="27">
        <f t="shared" si="28"/>
        <v>5520.2035485799988</v>
      </c>
      <c r="R49" s="27">
        <f t="shared" si="28"/>
        <v>22208.321924430005</v>
      </c>
      <c r="S49" s="27">
        <f t="shared" si="28"/>
        <v>45659.677876319998</v>
      </c>
      <c r="T49" s="27">
        <f t="shared" si="28"/>
        <v>93895.936170384011</v>
      </c>
      <c r="U49" s="28">
        <f t="shared" si="6"/>
        <v>93895.936170383997</v>
      </c>
      <c r="V49" s="28">
        <f t="shared" si="7"/>
        <v>0</v>
      </c>
      <c r="W49" s="27"/>
      <c r="X49" s="27"/>
      <c r="Y49" s="27"/>
      <c r="Z49" s="27"/>
      <c r="AA49" s="27"/>
      <c r="AB49" s="27"/>
      <c r="AC49" s="27"/>
      <c r="AD49" s="27"/>
      <c r="AE49" s="27"/>
      <c r="AF49" s="27"/>
      <c r="AG49" s="27"/>
      <c r="AH49" s="27"/>
      <c r="AI49" s="27"/>
      <c r="AJ49" s="27"/>
      <c r="AK49" s="27"/>
    </row>
    <row r="50" spans="1:37" x14ac:dyDescent="0.3">
      <c r="A50" s="33" t="s">
        <v>57</v>
      </c>
      <c r="B50" s="30">
        <v>131.02434529999996</v>
      </c>
      <c r="C50" s="30">
        <v>34.920950249999997</v>
      </c>
      <c r="D50" s="30">
        <v>45.214503569999998</v>
      </c>
      <c r="E50" s="30">
        <f t="shared" ref="E50:E58" si="29">+B50+C50+D50</f>
        <v>211.15979911999997</v>
      </c>
      <c r="F50" s="30">
        <v>118.40874157999998</v>
      </c>
      <c r="G50" s="30">
        <v>54.000711160000002</v>
      </c>
      <c r="H50" s="30">
        <v>73.98446709000001</v>
      </c>
      <c r="I50" s="30">
        <f t="shared" ref="I50:I58" si="30">+F50+G50+H50</f>
        <v>246.39391982999999</v>
      </c>
      <c r="J50" s="30">
        <f t="shared" si="8"/>
        <v>457.55371894999996</v>
      </c>
      <c r="K50" s="30">
        <v>102.90837473999999</v>
      </c>
      <c r="L50" s="30">
        <v>55.569460750000012</v>
      </c>
      <c r="M50" s="30">
        <v>47.015696860000013</v>
      </c>
      <c r="N50" s="30">
        <f t="shared" ref="N50:N58" si="31">+K50+L50+M50</f>
        <v>205.49353235000001</v>
      </c>
      <c r="O50" s="30">
        <v>78.762161840000005</v>
      </c>
      <c r="P50" s="30">
        <v>37.916826560000004</v>
      </c>
      <c r="Q50" s="30">
        <v>51.719590819999993</v>
      </c>
      <c r="R50" s="30">
        <f t="shared" ref="R50:R58" si="32">+O50+P50+Q50</f>
        <v>168.39857921999999</v>
      </c>
      <c r="S50" s="30">
        <f t="shared" ref="S50:S58" si="33">+N50+R50</f>
        <v>373.89211157</v>
      </c>
      <c r="T50" s="30">
        <f t="shared" ref="T50:T58" si="34">+J50+S50</f>
        <v>831.44583051999996</v>
      </c>
      <c r="U50" s="28">
        <f t="shared" si="6"/>
        <v>831.44583051999996</v>
      </c>
      <c r="V50" s="28">
        <f t="shared" si="7"/>
        <v>0</v>
      </c>
    </row>
    <row r="51" spans="1:37" x14ac:dyDescent="0.3">
      <c r="A51" s="33" t="s">
        <v>58</v>
      </c>
      <c r="B51" s="30">
        <v>888.0401792900002</v>
      </c>
      <c r="C51" s="30">
        <v>346.52608524999999</v>
      </c>
      <c r="D51" s="30">
        <v>386.27113646999987</v>
      </c>
      <c r="E51" s="30">
        <f t="shared" si="29"/>
        <v>1620.8374010100001</v>
      </c>
      <c r="F51" s="30">
        <v>715.92011317999936</v>
      </c>
      <c r="G51" s="30">
        <v>420.76274822000005</v>
      </c>
      <c r="H51" s="30">
        <v>512.40554008999993</v>
      </c>
      <c r="I51" s="30">
        <f t="shared" si="30"/>
        <v>1649.0884014899993</v>
      </c>
      <c r="J51" s="30">
        <f t="shared" si="8"/>
        <v>3269.9258024999995</v>
      </c>
      <c r="K51" s="30">
        <v>688.78049624000016</v>
      </c>
      <c r="L51" s="30">
        <v>428.92047652000002</v>
      </c>
      <c r="M51" s="30">
        <v>350.34130335999987</v>
      </c>
      <c r="N51" s="30">
        <f t="shared" si="31"/>
        <v>1468.0422761200002</v>
      </c>
      <c r="O51" s="30">
        <v>696.73504880000098</v>
      </c>
      <c r="P51" s="30">
        <v>459.96707688000021</v>
      </c>
      <c r="Q51" s="30">
        <v>429.56983489999976</v>
      </c>
      <c r="R51" s="30">
        <f t="shared" si="32"/>
        <v>1586.271960580001</v>
      </c>
      <c r="S51" s="30">
        <f t="shared" si="33"/>
        <v>3054.3142367000009</v>
      </c>
      <c r="T51" s="30">
        <f t="shared" si="34"/>
        <v>6324.2400392</v>
      </c>
      <c r="U51" s="28">
        <f t="shared" si="6"/>
        <v>6324.2400392000009</v>
      </c>
      <c r="V51" s="28">
        <f t="shared" si="7"/>
        <v>0</v>
      </c>
    </row>
    <row r="52" spans="1:37" x14ac:dyDescent="0.3">
      <c r="A52" s="33" t="s">
        <v>59</v>
      </c>
      <c r="B52" s="30">
        <v>2682.5326471500011</v>
      </c>
      <c r="C52" s="30">
        <v>1134.5244524999998</v>
      </c>
      <c r="D52" s="30">
        <v>1319.4448082800006</v>
      </c>
      <c r="E52" s="30">
        <f t="shared" si="29"/>
        <v>5136.5019079300018</v>
      </c>
      <c r="F52" s="30">
        <v>3241.00021904</v>
      </c>
      <c r="G52" s="30">
        <v>1716.6213677900005</v>
      </c>
      <c r="H52" s="30">
        <v>1783.4503831199986</v>
      </c>
      <c r="I52" s="30">
        <f t="shared" si="30"/>
        <v>6741.0719699499987</v>
      </c>
      <c r="J52" s="30">
        <f t="shared" si="8"/>
        <v>11877.573877880001</v>
      </c>
      <c r="K52" s="30">
        <v>2576.0240004200004</v>
      </c>
      <c r="L52" s="30">
        <v>1731.2100255300002</v>
      </c>
      <c r="M52" s="30">
        <v>1358.0748850100001</v>
      </c>
      <c r="N52" s="30">
        <f t="shared" si="31"/>
        <v>5665.3089109600005</v>
      </c>
      <c r="O52" s="30">
        <v>2271.2386500499993</v>
      </c>
      <c r="P52" s="30">
        <v>1651.3748067299996</v>
      </c>
      <c r="Q52" s="30">
        <v>1134.4975628799994</v>
      </c>
      <c r="R52" s="30">
        <f t="shared" si="32"/>
        <v>5057.1110196599984</v>
      </c>
      <c r="S52" s="30">
        <f t="shared" si="33"/>
        <v>10722.419930619999</v>
      </c>
      <c r="T52" s="30">
        <f t="shared" si="34"/>
        <v>22599.993808499999</v>
      </c>
      <c r="U52" s="28">
        <f t="shared" si="6"/>
        <v>22599.993808499999</v>
      </c>
      <c r="V52" s="28">
        <f t="shared" si="7"/>
        <v>0</v>
      </c>
    </row>
    <row r="53" spans="1:37" x14ac:dyDescent="0.3">
      <c r="A53" s="33" t="s">
        <v>60</v>
      </c>
      <c r="B53" s="30">
        <v>850.56411163000007</v>
      </c>
      <c r="C53" s="30">
        <v>507.50485581999988</v>
      </c>
      <c r="D53" s="30">
        <v>669.77091499000005</v>
      </c>
      <c r="E53" s="30">
        <f t="shared" si="29"/>
        <v>2027.8398824400001</v>
      </c>
      <c r="F53" s="30">
        <v>1158.4859822100002</v>
      </c>
      <c r="G53" s="30">
        <v>781.79731181999978</v>
      </c>
      <c r="H53" s="30">
        <v>710.81059757999969</v>
      </c>
      <c r="I53" s="30">
        <f t="shared" si="30"/>
        <v>2651.0938916099994</v>
      </c>
      <c r="J53" s="30">
        <f t="shared" si="8"/>
        <v>4678.9337740499996</v>
      </c>
      <c r="K53" s="30">
        <v>959.00467519000017</v>
      </c>
      <c r="L53" s="30">
        <v>649.61917675999996</v>
      </c>
      <c r="M53" s="30">
        <v>582.1917646899999</v>
      </c>
      <c r="N53" s="30">
        <f t="shared" si="31"/>
        <v>2190.8156166400004</v>
      </c>
      <c r="O53" s="30">
        <v>870.68149724000023</v>
      </c>
      <c r="P53" s="30">
        <v>746.95274955000014</v>
      </c>
      <c r="Q53" s="30">
        <v>709.40542380000022</v>
      </c>
      <c r="R53" s="30">
        <f t="shared" si="32"/>
        <v>2327.0396705900007</v>
      </c>
      <c r="S53" s="30">
        <f t="shared" si="33"/>
        <v>4517.8552872300006</v>
      </c>
      <c r="T53" s="30">
        <f t="shared" si="34"/>
        <v>9196.7890612800002</v>
      </c>
      <c r="U53" s="28">
        <f t="shared" si="6"/>
        <v>9196.789061280002</v>
      </c>
      <c r="V53" s="28">
        <f t="shared" si="7"/>
        <v>0</v>
      </c>
    </row>
    <row r="54" spans="1:37" ht="16.5" x14ac:dyDescent="0.3">
      <c r="A54" s="33" t="s">
        <v>61</v>
      </c>
      <c r="B54" s="30">
        <v>3025.2098974640021</v>
      </c>
      <c r="C54" s="30">
        <v>1010.3028206699998</v>
      </c>
      <c r="D54" s="30">
        <v>1238.3611453100002</v>
      </c>
      <c r="E54" s="30">
        <f t="shared" si="29"/>
        <v>5273.8738634440024</v>
      </c>
      <c r="F54" s="30">
        <v>3186.4240600500007</v>
      </c>
      <c r="G54" s="30">
        <v>1281.7751706899999</v>
      </c>
      <c r="H54" s="30">
        <v>1388.2721673499996</v>
      </c>
      <c r="I54" s="30">
        <f t="shared" si="30"/>
        <v>5856.4713980899996</v>
      </c>
      <c r="J54" s="30">
        <f t="shared" si="8"/>
        <v>11130.345261534003</v>
      </c>
      <c r="K54" s="30">
        <v>3056.9542122100011</v>
      </c>
      <c r="L54" s="30">
        <v>1496.9648436999996</v>
      </c>
      <c r="M54" s="30">
        <v>1181.5737243099998</v>
      </c>
      <c r="N54" s="30">
        <f t="shared" si="31"/>
        <v>5735.49278022</v>
      </c>
      <c r="O54" s="30">
        <v>2439.0588993699998</v>
      </c>
      <c r="P54" s="30">
        <v>1386.0747294299999</v>
      </c>
      <c r="Q54" s="30">
        <v>1327.299967989999</v>
      </c>
      <c r="R54" s="30">
        <f t="shared" si="32"/>
        <v>5152.4335967899988</v>
      </c>
      <c r="S54" s="30">
        <f t="shared" si="33"/>
        <v>10887.926377009999</v>
      </c>
      <c r="T54" s="30">
        <f t="shared" si="34"/>
        <v>22018.271638544</v>
      </c>
      <c r="U54" s="28">
        <f t="shared" si="6"/>
        <v>22018.271638544004</v>
      </c>
      <c r="V54" s="28">
        <f t="shared" si="7"/>
        <v>0</v>
      </c>
    </row>
    <row r="55" spans="1:37" x14ac:dyDescent="0.3">
      <c r="A55" s="33" t="s">
        <v>62</v>
      </c>
      <c r="B55" s="30">
        <v>866.3864218000009</v>
      </c>
      <c r="C55" s="30">
        <v>403.86886130000011</v>
      </c>
      <c r="D55" s="30">
        <v>590.87680726999986</v>
      </c>
      <c r="E55" s="30">
        <f t="shared" si="29"/>
        <v>1861.1320903700007</v>
      </c>
      <c r="F55" s="30">
        <v>940.06274605999965</v>
      </c>
      <c r="G55" s="30">
        <v>651.51784260999989</v>
      </c>
      <c r="H55" s="30">
        <v>637.02543471000013</v>
      </c>
      <c r="I55" s="30">
        <f t="shared" si="30"/>
        <v>2228.6060233799999</v>
      </c>
      <c r="J55" s="30">
        <f t="shared" si="8"/>
        <v>4089.7381137500006</v>
      </c>
      <c r="K55" s="30">
        <v>810.32262263000007</v>
      </c>
      <c r="L55" s="30">
        <v>559.7131781999999</v>
      </c>
      <c r="M55" s="30">
        <v>383.65429444999995</v>
      </c>
      <c r="N55" s="30">
        <f t="shared" si="31"/>
        <v>1753.6900952799999</v>
      </c>
      <c r="O55" s="30">
        <v>662.41552270000068</v>
      </c>
      <c r="P55" s="30">
        <v>540.42774442000007</v>
      </c>
      <c r="Q55" s="30">
        <v>441.34081764000024</v>
      </c>
      <c r="R55" s="30">
        <f t="shared" si="32"/>
        <v>1644.184084760001</v>
      </c>
      <c r="S55" s="30">
        <f t="shared" si="33"/>
        <v>3397.8741800400012</v>
      </c>
      <c r="T55" s="30">
        <f t="shared" si="34"/>
        <v>7487.6122937900018</v>
      </c>
      <c r="U55" s="28">
        <f t="shared" si="6"/>
        <v>7487.6122937900009</v>
      </c>
      <c r="V55" s="28">
        <f t="shared" si="7"/>
        <v>0</v>
      </c>
    </row>
    <row r="56" spans="1:37" ht="16.5" x14ac:dyDescent="0.3">
      <c r="A56" s="33" t="s">
        <v>63</v>
      </c>
      <c r="B56" s="30">
        <v>351.09564722000005</v>
      </c>
      <c r="C56" s="30">
        <v>143.29041953999999</v>
      </c>
      <c r="D56" s="30">
        <v>143.84473625000004</v>
      </c>
      <c r="E56" s="30">
        <f t="shared" si="29"/>
        <v>638.23080301000005</v>
      </c>
      <c r="F56" s="30">
        <v>949.30329245999997</v>
      </c>
      <c r="G56" s="30">
        <v>387.35129303000008</v>
      </c>
      <c r="H56" s="30">
        <v>140.17951533999999</v>
      </c>
      <c r="I56" s="30">
        <f t="shared" si="30"/>
        <v>1476.8341008300001</v>
      </c>
      <c r="J56" s="30">
        <f t="shared" si="8"/>
        <v>2115.0649038400002</v>
      </c>
      <c r="K56" s="30">
        <v>329.73004588000003</v>
      </c>
      <c r="L56" s="30">
        <v>356.4204987</v>
      </c>
      <c r="M56" s="30">
        <v>196.3082123099999</v>
      </c>
      <c r="N56" s="30">
        <f t="shared" si="31"/>
        <v>882.45875689000002</v>
      </c>
      <c r="O56" s="30">
        <v>338.81287705999978</v>
      </c>
      <c r="P56" s="30">
        <v>391.30263183000005</v>
      </c>
      <c r="Q56" s="30">
        <v>184.83707407000014</v>
      </c>
      <c r="R56" s="30">
        <f t="shared" si="32"/>
        <v>914.95258295999997</v>
      </c>
      <c r="S56" s="30">
        <f t="shared" si="33"/>
        <v>1797.4113398499999</v>
      </c>
      <c r="T56" s="30">
        <f t="shared" si="34"/>
        <v>3912.47624369</v>
      </c>
      <c r="U56" s="28">
        <f t="shared" si="6"/>
        <v>3912.4762436899996</v>
      </c>
      <c r="V56" s="28">
        <f t="shared" si="7"/>
        <v>0</v>
      </c>
    </row>
    <row r="57" spans="1:37" ht="16.5" x14ac:dyDescent="0.3">
      <c r="A57" s="33" t="s">
        <v>193</v>
      </c>
      <c r="B57" s="30">
        <v>1630.2486396599979</v>
      </c>
      <c r="C57" s="30">
        <v>949.3252648700003</v>
      </c>
      <c r="D57" s="30">
        <v>990.26830877000009</v>
      </c>
      <c r="E57" s="30">
        <f t="shared" si="29"/>
        <v>3569.8422132999985</v>
      </c>
      <c r="F57" s="30">
        <v>2576.4516905199989</v>
      </c>
      <c r="G57" s="30">
        <v>1995.3726688300001</v>
      </c>
      <c r="H57" s="30">
        <v>668.38356017000035</v>
      </c>
      <c r="I57" s="30">
        <f t="shared" si="30"/>
        <v>5240.2079195199995</v>
      </c>
      <c r="J57" s="30">
        <f t="shared" si="8"/>
        <v>8810.0501328199971</v>
      </c>
      <c r="K57" s="30">
        <v>1990.6734630400022</v>
      </c>
      <c r="L57" s="30">
        <v>1846.5328001300011</v>
      </c>
      <c r="M57" s="30">
        <v>914.04813434999926</v>
      </c>
      <c r="N57" s="30">
        <f t="shared" si="31"/>
        <v>4751.2543975200024</v>
      </c>
      <c r="O57" s="30">
        <v>1760.2758799100031</v>
      </c>
      <c r="P57" s="30">
        <v>1857.8547696200012</v>
      </c>
      <c r="Q57" s="30">
        <v>1018.5642258600004</v>
      </c>
      <c r="R57" s="30">
        <f t="shared" si="32"/>
        <v>4636.6948753900042</v>
      </c>
      <c r="S57" s="30">
        <f t="shared" si="33"/>
        <v>9387.9492729100057</v>
      </c>
      <c r="T57" s="30">
        <f t="shared" si="34"/>
        <v>18197.999405730003</v>
      </c>
      <c r="U57" s="28">
        <f t="shared" si="6"/>
        <v>18197.999405730006</v>
      </c>
      <c r="V57" s="28">
        <f t="shared" si="7"/>
        <v>0</v>
      </c>
    </row>
    <row r="58" spans="1:37" ht="16.5" x14ac:dyDescent="0.3">
      <c r="A58" s="33" t="s">
        <v>194</v>
      </c>
      <c r="B58" s="30">
        <v>327.44058486999995</v>
      </c>
      <c r="C58" s="30">
        <v>147.34038729000002</v>
      </c>
      <c r="D58" s="30">
        <v>239.27555915999991</v>
      </c>
      <c r="E58" s="30">
        <f t="shared" si="29"/>
        <v>714.05653131999986</v>
      </c>
      <c r="F58" s="30">
        <v>430.63274281999895</v>
      </c>
      <c r="G58" s="30">
        <v>293.66064655000002</v>
      </c>
      <c r="H58" s="30">
        <v>368.72278804999985</v>
      </c>
      <c r="I58" s="30">
        <f t="shared" si="30"/>
        <v>1093.0161774199987</v>
      </c>
      <c r="J58" s="30">
        <f t="shared" si="8"/>
        <v>1807.0727087399987</v>
      </c>
      <c r="K58" s="30">
        <v>369.47310586000003</v>
      </c>
      <c r="L58" s="30">
        <v>221.93677114999983</v>
      </c>
      <c r="M58" s="30">
        <v>207.38970890000013</v>
      </c>
      <c r="N58" s="30">
        <f t="shared" si="31"/>
        <v>798.79958590999991</v>
      </c>
      <c r="O58" s="30">
        <v>287.11729347999994</v>
      </c>
      <c r="P58" s="30">
        <v>211.14921038000003</v>
      </c>
      <c r="Q58" s="30">
        <v>222.96905062000002</v>
      </c>
      <c r="R58" s="30">
        <f t="shared" si="32"/>
        <v>721.23555448000002</v>
      </c>
      <c r="S58" s="30">
        <f t="shared" si="33"/>
        <v>1520.0351403899999</v>
      </c>
      <c r="T58" s="30">
        <f t="shared" si="34"/>
        <v>3327.1078491299986</v>
      </c>
      <c r="U58" s="28">
        <f t="shared" si="6"/>
        <v>3327.1078491299991</v>
      </c>
      <c r="V58" s="28">
        <f t="shared" si="7"/>
        <v>0</v>
      </c>
    </row>
    <row r="59" spans="1:37" x14ac:dyDescent="0.3">
      <c r="U59" s="28">
        <f t="shared" si="6"/>
        <v>0</v>
      </c>
      <c r="V59" s="28">
        <f t="shared" si="7"/>
        <v>0</v>
      </c>
    </row>
    <row r="60" spans="1:37" s="37" customFormat="1" x14ac:dyDescent="0.3">
      <c r="A60" s="37" t="s">
        <v>66</v>
      </c>
      <c r="B60" s="27">
        <f>SUM(B61:B66)</f>
        <v>12915.555037269996</v>
      </c>
      <c r="C60" s="27">
        <f t="shared" ref="C60:T60" si="35">SUM(C61:C66)</f>
        <v>5854.0753630099989</v>
      </c>
      <c r="D60" s="27">
        <f t="shared" si="35"/>
        <v>7200.7040109100044</v>
      </c>
      <c r="E60" s="27">
        <f t="shared" si="35"/>
        <v>25970.334411190001</v>
      </c>
      <c r="F60" s="27">
        <f t="shared" si="35"/>
        <v>16308.426362420005</v>
      </c>
      <c r="G60" s="27">
        <f t="shared" si="35"/>
        <v>9455.5277196499992</v>
      </c>
      <c r="H60" s="27">
        <f t="shared" si="35"/>
        <v>8147.2551847200029</v>
      </c>
      <c r="I60" s="27">
        <f t="shared" si="35"/>
        <v>33911.209266790007</v>
      </c>
      <c r="J60" s="27">
        <f t="shared" si="35"/>
        <v>59881.54367798</v>
      </c>
      <c r="K60" s="27">
        <f t="shared" si="35"/>
        <v>12671.338477480002</v>
      </c>
      <c r="L60" s="27">
        <f t="shared" si="35"/>
        <v>9893.912210176999</v>
      </c>
      <c r="M60" s="27">
        <f t="shared" si="35"/>
        <v>7209.9161317499975</v>
      </c>
      <c r="N60" s="27">
        <f t="shared" si="35"/>
        <v>29775.166819407001</v>
      </c>
      <c r="O60" s="27">
        <f t="shared" si="35"/>
        <v>12063.513783210012</v>
      </c>
      <c r="P60" s="27">
        <f t="shared" si="35"/>
        <v>9782.8487567899974</v>
      </c>
      <c r="Q60" s="27">
        <f t="shared" si="35"/>
        <v>7335.2479486599932</v>
      </c>
      <c r="R60" s="27">
        <f t="shared" si="35"/>
        <v>29181.610488660004</v>
      </c>
      <c r="S60" s="27">
        <f t="shared" si="35"/>
        <v>58956.777308067001</v>
      </c>
      <c r="T60" s="27">
        <f t="shared" si="35"/>
        <v>118838.32098604701</v>
      </c>
      <c r="U60" s="28">
        <f t="shared" si="6"/>
        <v>118838.32098604701</v>
      </c>
      <c r="V60" s="28">
        <f t="shared" si="7"/>
        <v>0</v>
      </c>
      <c r="W60" s="27"/>
      <c r="X60" s="27"/>
      <c r="Y60" s="27"/>
      <c r="Z60" s="27"/>
      <c r="AA60" s="27"/>
      <c r="AB60" s="27"/>
      <c r="AC60" s="27"/>
      <c r="AD60" s="27"/>
      <c r="AE60" s="27"/>
      <c r="AF60" s="27"/>
      <c r="AG60" s="27"/>
      <c r="AH60" s="27"/>
      <c r="AI60" s="27"/>
      <c r="AJ60" s="27"/>
      <c r="AK60" s="27"/>
    </row>
    <row r="61" spans="1:37" x14ac:dyDescent="0.3">
      <c r="A61" s="33" t="s">
        <v>67</v>
      </c>
      <c r="B61" s="30">
        <v>2752.6387194199951</v>
      </c>
      <c r="C61" s="30">
        <v>1381.5239652800001</v>
      </c>
      <c r="D61" s="30">
        <v>1535.3646306300011</v>
      </c>
      <c r="E61" s="30">
        <f t="shared" ref="E61:E66" si="36">+B61+C61+D61</f>
        <v>5669.5273153299968</v>
      </c>
      <c r="F61" s="30">
        <v>3165.4163897400008</v>
      </c>
      <c r="G61" s="30">
        <v>1945.1792936299996</v>
      </c>
      <c r="H61" s="30">
        <v>2002.5186477799998</v>
      </c>
      <c r="I61" s="30">
        <f t="shared" ref="I61:I66" si="37">+F61+G61+H61</f>
        <v>7113.11433115</v>
      </c>
      <c r="J61" s="30">
        <f t="shared" si="8"/>
        <v>12782.641646479997</v>
      </c>
      <c r="K61" s="30">
        <v>2445.3767992700018</v>
      </c>
      <c r="L61" s="30">
        <v>1969.3226806300017</v>
      </c>
      <c r="M61" s="30">
        <v>1716.2809653099991</v>
      </c>
      <c r="N61" s="30">
        <f t="shared" ref="N61:N66" si="38">+K61+L61+M61</f>
        <v>6130.9804452100034</v>
      </c>
      <c r="O61" s="30">
        <v>2384.3079940699972</v>
      </c>
      <c r="P61" s="30">
        <v>2041.08231705</v>
      </c>
      <c r="Q61" s="30">
        <v>1595.7133033599991</v>
      </c>
      <c r="R61" s="30">
        <f t="shared" ref="R61:R66" si="39">+O61+P61+Q61</f>
        <v>6021.1036144799964</v>
      </c>
      <c r="S61" s="30">
        <f t="shared" ref="S61:S66" si="40">+N61+R61</f>
        <v>12152.08405969</v>
      </c>
      <c r="T61" s="30">
        <f t="shared" ref="T61:T66" si="41">+J61+S61</f>
        <v>24934.725706169997</v>
      </c>
      <c r="U61" s="28">
        <f t="shared" si="6"/>
        <v>24934.725706169997</v>
      </c>
      <c r="V61" s="28">
        <f t="shared" si="7"/>
        <v>0</v>
      </c>
    </row>
    <row r="62" spans="1:37" x14ac:dyDescent="0.3">
      <c r="A62" s="33" t="s">
        <v>68</v>
      </c>
      <c r="B62" s="30">
        <v>3777.0516862200011</v>
      </c>
      <c r="C62" s="30">
        <v>1530.7248641799993</v>
      </c>
      <c r="D62" s="30">
        <v>2088.3018184500006</v>
      </c>
      <c r="E62" s="30">
        <f t="shared" si="36"/>
        <v>7396.0783688500005</v>
      </c>
      <c r="F62" s="30">
        <v>4702.0793820000035</v>
      </c>
      <c r="G62" s="30">
        <v>2623.6443888499998</v>
      </c>
      <c r="H62" s="30">
        <v>2265.9656482900009</v>
      </c>
      <c r="I62" s="30">
        <f t="shared" si="37"/>
        <v>9591.6894191400042</v>
      </c>
      <c r="J62" s="30">
        <f t="shared" si="8"/>
        <v>16987.767787990004</v>
      </c>
      <c r="K62" s="30">
        <v>3732.0422319400009</v>
      </c>
      <c r="L62" s="30">
        <v>2649.7902222499997</v>
      </c>
      <c r="M62" s="30">
        <v>2090.147576639999</v>
      </c>
      <c r="N62" s="30">
        <f t="shared" si="38"/>
        <v>8471.98003083</v>
      </c>
      <c r="O62" s="30">
        <v>3780.1667567400082</v>
      </c>
      <c r="P62" s="30">
        <v>3036.7073022399995</v>
      </c>
      <c r="Q62" s="30">
        <v>2039.1039343299983</v>
      </c>
      <c r="R62" s="30">
        <f t="shared" si="39"/>
        <v>8855.9779933100053</v>
      </c>
      <c r="S62" s="30">
        <f t="shared" si="40"/>
        <v>17327.958024140004</v>
      </c>
      <c r="T62" s="30">
        <f t="shared" si="41"/>
        <v>34315.725812130011</v>
      </c>
      <c r="U62" s="28">
        <f t="shared" si="6"/>
        <v>34315.725812130011</v>
      </c>
      <c r="V62" s="28">
        <f t="shared" si="7"/>
        <v>0</v>
      </c>
    </row>
    <row r="63" spans="1:37" x14ac:dyDescent="0.3">
      <c r="A63" s="33" t="s">
        <v>69</v>
      </c>
      <c r="B63" s="30">
        <v>4365.3232836600018</v>
      </c>
      <c r="C63" s="30">
        <v>1978.67553888</v>
      </c>
      <c r="D63" s="30">
        <v>2421.133156840001</v>
      </c>
      <c r="E63" s="30">
        <f t="shared" si="36"/>
        <v>8765.131979380003</v>
      </c>
      <c r="F63" s="30">
        <v>5879.6246656000021</v>
      </c>
      <c r="G63" s="30">
        <v>3519.7150780699999</v>
      </c>
      <c r="H63" s="30">
        <v>2461.0353475600014</v>
      </c>
      <c r="I63" s="30">
        <f t="shared" si="37"/>
        <v>11860.375091230002</v>
      </c>
      <c r="J63" s="30">
        <f t="shared" si="8"/>
        <v>20625.507070610005</v>
      </c>
      <c r="K63" s="30">
        <v>4459.3836551199993</v>
      </c>
      <c r="L63" s="30">
        <v>3677.182102716999</v>
      </c>
      <c r="M63" s="30">
        <v>2272.4986227000004</v>
      </c>
      <c r="N63" s="30">
        <f t="shared" si="38"/>
        <v>10409.064380536998</v>
      </c>
      <c r="O63" s="30">
        <v>3916.384148650006</v>
      </c>
      <c r="P63" s="30">
        <v>3355.7592855199991</v>
      </c>
      <c r="Q63" s="30">
        <v>2513.3304426799964</v>
      </c>
      <c r="R63" s="30">
        <f t="shared" si="39"/>
        <v>9785.473876850001</v>
      </c>
      <c r="S63" s="30">
        <f t="shared" si="40"/>
        <v>20194.538257387001</v>
      </c>
      <c r="T63" s="30">
        <f t="shared" si="41"/>
        <v>40820.04532799701</v>
      </c>
      <c r="U63" s="28">
        <f t="shared" si="6"/>
        <v>40820.04532799701</v>
      </c>
      <c r="V63" s="28">
        <f t="shared" si="7"/>
        <v>0</v>
      </c>
    </row>
    <row r="64" spans="1:37" ht="16.5" x14ac:dyDescent="0.3">
      <c r="A64" s="33" t="s">
        <v>195</v>
      </c>
      <c r="B64" s="30">
        <v>150.8789020800001</v>
      </c>
      <c r="C64" s="30">
        <v>86.489387090000037</v>
      </c>
      <c r="D64" s="30">
        <v>97.432491179999971</v>
      </c>
      <c r="E64" s="30">
        <f t="shared" si="36"/>
        <v>334.80078035000008</v>
      </c>
      <c r="F64" s="30">
        <v>192.22252619</v>
      </c>
      <c r="G64" s="30">
        <v>164.33345893000001</v>
      </c>
      <c r="H64" s="30">
        <v>182.71467232000006</v>
      </c>
      <c r="I64" s="30">
        <f t="shared" si="37"/>
        <v>539.27065744000004</v>
      </c>
      <c r="J64" s="30">
        <f t="shared" si="8"/>
        <v>874.07143779000012</v>
      </c>
      <c r="K64" s="30">
        <v>226.41653273</v>
      </c>
      <c r="L64" s="30">
        <v>131.18255962000001</v>
      </c>
      <c r="M64" s="30">
        <v>112.81664593000001</v>
      </c>
      <c r="N64" s="30">
        <f t="shared" si="38"/>
        <v>470.41573827999997</v>
      </c>
      <c r="O64" s="30">
        <v>148.00947242000038</v>
      </c>
      <c r="P64" s="30">
        <v>105.31049279999999</v>
      </c>
      <c r="Q64" s="30">
        <v>108.60461725999998</v>
      </c>
      <c r="R64" s="30">
        <f t="shared" si="39"/>
        <v>361.92458248000037</v>
      </c>
      <c r="S64" s="30">
        <f t="shared" si="40"/>
        <v>832.3403207600004</v>
      </c>
      <c r="T64" s="30">
        <f t="shared" si="41"/>
        <v>1706.4117585500005</v>
      </c>
      <c r="U64" s="28">
        <f t="shared" si="6"/>
        <v>1706.4117585500005</v>
      </c>
      <c r="V64" s="28">
        <f t="shared" si="7"/>
        <v>0</v>
      </c>
    </row>
    <row r="65" spans="1:37" ht="16.5" x14ac:dyDescent="0.3">
      <c r="A65" s="33" t="s">
        <v>196</v>
      </c>
      <c r="B65" s="30">
        <v>1150.7213568599982</v>
      </c>
      <c r="C65" s="30">
        <v>470.13983943999972</v>
      </c>
      <c r="D65" s="30">
        <v>510.40386815000028</v>
      </c>
      <c r="E65" s="30">
        <f t="shared" si="36"/>
        <v>2131.2650644499981</v>
      </c>
      <c r="F65" s="30">
        <v>1488.560717679997</v>
      </c>
      <c r="G65" s="30">
        <v>696.71815698</v>
      </c>
      <c r="H65" s="30">
        <v>624.17664363999995</v>
      </c>
      <c r="I65" s="30">
        <f t="shared" si="37"/>
        <v>2809.455518299997</v>
      </c>
      <c r="J65" s="30">
        <f t="shared" si="8"/>
        <v>4940.7205827499947</v>
      </c>
      <c r="K65" s="30">
        <v>1097.0687806899996</v>
      </c>
      <c r="L65" s="30">
        <v>730.20209371000021</v>
      </c>
      <c r="M65" s="30">
        <v>559.55862988999991</v>
      </c>
      <c r="N65" s="30">
        <f t="shared" si="38"/>
        <v>2386.8295042899995</v>
      </c>
      <c r="O65" s="30">
        <v>1122.3921378499992</v>
      </c>
      <c r="P65" s="30">
        <v>707.65899422999985</v>
      </c>
      <c r="Q65" s="30">
        <v>547.68058896999878</v>
      </c>
      <c r="R65" s="30">
        <f t="shared" si="39"/>
        <v>2377.7317210499978</v>
      </c>
      <c r="S65" s="30">
        <f t="shared" si="40"/>
        <v>4764.5612253399977</v>
      </c>
      <c r="T65" s="30">
        <f t="shared" si="41"/>
        <v>9705.2818080899924</v>
      </c>
      <c r="U65" s="28">
        <f t="shared" si="6"/>
        <v>9705.2818080899942</v>
      </c>
      <c r="V65" s="28">
        <f t="shared" si="7"/>
        <v>0</v>
      </c>
    </row>
    <row r="66" spans="1:37" ht="16.5" x14ac:dyDescent="0.3">
      <c r="A66" s="33" t="s">
        <v>197</v>
      </c>
      <c r="B66" s="30">
        <v>718.94108903000085</v>
      </c>
      <c r="C66" s="30">
        <v>406.52176813999972</v>
      </c>
      <c r="D66" s="30">
        <v>548.06804565999994</v>
      </c>
      <c r="E66" s="30">
        <f t="shared" si="36"/>
        <v>1673.5309028300003</v>
      </c>
      <c r="F66" s="30">
        <v>880.52268121000054</v>
      </c>
      <c r="G66" s="30">
        <v>505.93734318999981</v>
      </c>
      <c r="H66" s="30">
        <v>610.84422512999981</v>
      </c>
      <c r="I66" s="30">
        <f t="shared" si="37"/>
        <v>1997.3042495300001</v>
      </c>
      <c r="J66" s="30">
        <f t="shared" si="8"/>
        <v>3670.8351523600004</v>
      </c>
      <c r="K66" s="30">
        <v>711.05047773000001</v>
      </c>
      <c r="L66" s="30">
        <v>736.23255124999991</v>
      </c>
      <c r="M66" s="30">
        <v>458.61369127999956</v>
      </c>
      <c r="N66" s="30">
        <f t="shared" si="38"/>
        <v>1905.8967202599995</v>
      </c>
      <c r="O66" s="30">
        <v>712.25327348000008</v>
      </c>
      <c r="P66" s="30">
        <v>536.33036494999953</v>
      </c>
      <c r="Q66" s="30">
        <v>530.81506206000097</v>
      </c>
      <c r="R66" s="30">
        <f t="shared" si="39"/>
        <v>1779.3987004900005</v>
      </c>
      <c r="S66" s="30">
        <f t="shared" si="40"/>
        <v>3685.2954207499997</v>
      </c>
      <c r="T66" s="30">
        <f t="shared" si="41"/>
        <v>7356.1305731100001</v>
      </c>
      <c r="U66" s="28">
        <f t="shared" si="6"/>
        <v>7356.1305731100001</v>
      </c>
      <c r="V66" s="28">
        <f t="shared" si="7"/>
        <v>0</v>
      </c>
    </row>
    <row r="67" spans="1:37" x14ac:dyDescent="0.3">
      <c r="U67" s="28">
        <f t="shared" si="6"/>
        <v>0</v>
      </c>
      <c r="V67" s="28">
        <f t="shared" si="7"/>
        <v>0</v>
      </c>
    </row>
    <row r="68" spans="1:37" s="37" customFormat="1" x14ac:dyDescent="0.3">
      <c r="A68" s="37" t="s">
        <v>73</v>
      </c>
      <c r="B68" s="27">
        <f>SUM(B69:B74)</f>
        <v>1345.8448015000008</v>
      </c>
      <c r="C68" s="27">
        <f t="shared" ref="C68:T68" si="42">SUM(C69:C74)</f>
        <v>521.9913912999998</v>
      </c>
      <c r="D68" s="27">
        <f t="shared" si="42"/>
        <v>738.00930391999998</v>
      </c>
      <c r="E68" s="27">
        <f t="shared" si="42"/>
        <v>2605.8454967200005</v>
      </c>
      <c r="F68" s="27">
        <f t="shared" si="42"/>
        <v>1495.5532881099994</v>
      </c>
      <c r="G68" s="27">
        <f t="shared" si="42"/>
        <v>896.60364396000011</v>
      </c>
      <c r="H68" s="27">
        <f t="shared" si="42"/>
        <v>910.08571845999995</v>
      </c>
      <c r="I68" s="27">
        <f t="shared" si="42"/>
        <v>3302.2426505299995</v>
      </c>
      <c r="J68" s="27">
        <f t="shared" si="42"/>
        <v>5908.0881472499996</v>
      </c>
      <c r="K68" s="27">
        <f t="shared" si="42"/>
        <v>1265.5264416999996</v>
      </c>
      <c r="L68" s="27">
        <f t="shared" si="42"/>
        <v>792.28299905999984</v>
      </c>
      <c r="M68" s="27">
        <f t="shared" si="42"/>
        <v>649.65445605999957</v>
      </c>
      <c r="N68" s="27">
        <f t="shared" si="42"/>
        <v>2707.4638968199993</v>
      </c>
      <c r="O68" s="27">
        <f t="shared" si="42"/>
        <v>1009.7423395800009</v>
      </c>
      <c r="P68" s="27">
        <f t="shared" si="42"/>
        <v>743.35568969999986</v>
      </c>
      <c r="Q68" s="27">
        <f t="shared" si="42"/>
        <v>677.42692819000035</v>
      </c>
      <c r="R68" s="27">
        <f t="shared" si="42"/>
        <v>2430.524957470001</v>
      </c>
      <c r="S68" s="27">
        <f t="shared" si="42"/>
        <v>5137.9888542900007</v>
      </c>
      <c r="T68" s="27">
        <f t="shared" si="42"/>
        <v>11046.077001540001</v>
      </c>
      <c r="U68" s="28">
        <f t="shared" si="6"/>
        <v>11046.077001540001</v>
      </c>
      <c r="V68" s="28">
        <f t="shared" si="7"/>
        <v>0</v>
      </c>
      <c r="W68" s="27"/>
      <c r="X68" s="27"/>
      <c r="Y68" s="27"/>
      <c r="Z68" s="27"/>
      <c r="AA68" s="27"/>
      <c r="AB68" s="27"/>
      <c r="AC68" s="27"/>
      <c r="AD68" s="27"/>
      <c r="AE68" s="27"/>
      <c r="AF68" s="27"/>
      <c r="AG68" s="27"/>
      <c r="AH68" s="27"/>
      <c r="AI68" s="27"/>
      <c r="AJ68" s="27"/>
      <c r="AK68" s="27"/>
    </row>
    <row r="69" spans="1:37" x14ac:dyDescent="0.3">
      <c r="A69" s="33" t="s">
        <v>74</v>
      </c>
      <c r="B69" s="30">
        <v>93.692989879999999</v>
      </c>
      <c r="C69" s="30">
        <v>28.174461629999996</v>
      </c>
      <c r="D69" s="30">
        <v>40.908784870000005</v>
      </c>
      <c r="E69" s="30">
        <f t="shared" ref="E69:E74" si="43">+B69+C69+D69</f>
        <v>162.77623638</v>
      </c>
      <c r="F69" s="30">
        <v>91.048946199999989</v>
      </c>
      <c r="G69" s="30">
        <v>56.147856389999987</v>
      </c>
      <c r="H69" s="30">
        <v>46.243576220000001</v>
      </c>
      <c r="I69" s="30">
        <f t="shared" ref="I69:I74" si="44">+F69+G69+H69</f>
        <v>193.44037880999997</v>
      </c>
      <c r="J69" s="30">
        <f t="shared" si="8"/>
        <v>356.21661518999997</v>
      </c>
      <c r="K69" s="30">
        <v>62.963768450000003</v>
      </c>
      <c r="L69" s="30">
        <v>34.322162169999999</v>
      </c>
      <c r="M69" s="30">
        <v>47.254852899999989</v>
      </c>
      <c r="N69" s="30">
        <f t="shared" ref="N69:N74" si="45">+K69+L69+M69</f>
        <v>144.54078351999999</v>
      </c>
      <c r="O69" s="30">
        <v>47.015500159999981</v>
      </c>
      <c r="P69" s="30">
        <v>35.844348239999995</v>
      </c>
      <c r="Q69" s="30">
        <v>31.940234950000004</v>
      </c>
      <c r="R69" s="30">
        <f t="shared" ref="R69:R74" si="46">+O69+P69+Q69</f>
        <v>114.80008334999998</v>
      </c>
      <c r="S69" s="30">
        <f t="shared" ref="S69:S129" si="47">+N69+R69</f>
        <v>259.34086686999996</v>
      </c>
      <c r="T69" s="30">
        <f>+J69+S69</f>
        <v>615.55748205999998</v>
      </c>
      <c r="U69" s="28">
        <f t="shared" si="6"/>
        <v>615.55748205999998</v>
      </c>
      <c r="V69" s="28">
        <f t="shared" si="7"/>
        <v>0</v>
      </c>
    </row>
    <row r="70" spans="1:37" x14ac:dyDescent="0.3">
      <c r="A70" s="33" t="s">
        <v>75</v>
      </c>
      <c r="B70" s="30">
        <v>97.298293010000009</v>
      </c>
      <c r="C70" s="30">
        <v>68.196314099999995</v>
      </c>
      <c r="D70" s="30">
        <v>103.95628478</v>
      </c>
      <c r="E70" s="30">
        <f t="shared" si="43"/>
        <v>269.45089188999998</v>
      </c>
      <c r="F70" s="30">
        <v>137.22430656</v>
      </c>
      <c r="G70" s="30">
        <v>84.282816280000006</v>
      </c>
      <c r="H70" s="30">
        <v>100.07785720000001</v>
      </c>
      <c r="I70" s="30">
        <f t="shared" si="44"/>
        <v>321.58498004</v>
      </c>
      <c r="J70" s="30">
        <f t="shared" si="8"/>
        <v>591.03587192999998</v>
      </c>
      <c r="K70" s="30">
        <v>112.33518437999993</v>
      </c>
      <c r="L70" s="30">
        <v>74.00739627999998</v>
      </c>
      <c r="M70" s="30">
        <v>71.802917359999981</v>
      </c>
      <c r="N70" s="30">
        <f t="shared" si="45"/>
        <v>258.14549801999988</v>
      </c>
      <c r="O70" s="30">
        <v>96.911409690000113</v>
      </c>
      <c r="P70" s="30">
        <v>96.125847259999986</v>
      </c>
      <c r="Q70" s="30">
        <v>78.93341246</v>
      </c>
      <c r="R70" s="30">
        <f t="shared" si="46"/>
        <v>271.97066941000008</v>
      </c>
      <c r="S70" s="30">
        <f t="shared" si="47"/>
        <v>530.1161674299999</v>
      </c>
      <c r="T70" s="30">
        <f>+J70+S70</f>
        <v>1121.1520393599999</v>
      </c>
      <c r="U70" s="28">
        <f t="shared" si="6"/>
        <v>1121.1520393599999</v>
      </c>
      <c r="V70" s="28">
        <f t="shared" si="7"/>
        <v>0</v>
      </c>
    </row>
    <row r="71" spans="1:37" x14ac:dyDescent="0.3">
      <c r="A71" s="33" t="s">
        <v>76</v>
      </c>
      <c r="B71" s="30">
        <v>356.06864186000075</v>
      </c>
      <c r="C71" s="30">
        <v>138.5785975</v>
      </c>
      <c r="D71" s="30">
        <v>217.84035972000004</v>
      </c>
      <c r="E71" s="30">
        <f t="shared" si="43"/>
        <v>712.48759908000079</v>
      </c>
      <c r="F71" s="30">
        <v>426.02664745000038</v>
      </c>
      <c r="G71" s="30">
        <v>264.69549159999997</v>
      </c>
      <c r="H71" s="30">
        <v>261.54605664000007</v>
      </c>
      <c r="I71" s="30">
        <f t="shared" si="44"/>
        <v>952.26819569000043</v>
      </c>
      <c r="J71" s="30">
        <f t="shared" si="8"/>
        <v>1664.7557947700011</v>
      </c>
      <c r="K71" s="30">
        <v>380.86508148000007</v>
      </c>
      <c r="L71" s="30">
        <v>255.47394064999997</v>
      </c>
      <c r="M71" s="30">
        <v>155.23596381999999</v>
      </c>
      <c r="N71" s="30">
        <f t="shared" si="45"/>
        <v>791.57498595000015</v>
      </c>
      <c r="O71" s="30">
        <v>315.84471769999976</v>
      </c>
      <c r="P71" s="30">
        <v>234.91523135000003</v>
      </c>
      <c r="Q71" s="30">
        <v>167.35547994999999</v>
      </c>
      <c r="R71" s="30">
        <f t="shared" si="46"/>
        <v>718.11542899999984</v>
      </c>
      <c r="S71" s="30">
        <f t="shared" si="47"/>
        <v>1509.6904149500001</v>
      </c>
      <c r="T71" s="30">
        <f>+J71+S71</f>
        <v>3174.4462097200012</v>
      </c>
      <c r="U71" s="28">
        <f t="shared" si="6"/>
        <v>3174.4462097200008</v>
      </c>
      <c r="V71" s="28">
        <f t="shared" si="7"/>
        <v>0</v>
      </c>
    </row>
    <row r="72" spans="1:37" x14ac:dyDescent="0.3">
      <c r="A72" s="33" t="s">
        <v>198</v>
      </c>
      <c r="B72" s="56">
        <v>656.34978192000005</v>
      </c>
      <c r="C72" s="56">
        <v>254.45285199999975</v>
      </c>
      <c r="D72" s="56">
        <v>323.12379408999993</v>
      </c>
      <c r="E72" s="56">
        <f t="shared" si="43"/>
        <v>1233.9264280099997</v>
      </c>
      <c r="F72" s="56">
        <v>752.24224601999902</v>
      </c>
      <c r="G72" s="56">
        <v>428.9788232300001</v>
      </c>
      <c r="H72" s="56">
        <v>392.78035638999989</v>
      </c>
      <c r="I72" s="56">
        <f t="shared" si="44"/>
        <v>1574.0014256399991</v>
      </c>
      <c r="J72" s="56">
        <f t="shared" si="8"/>
        <v>2807.9278536499987</v>
      </c>
      <c r="K72" s="56">
        <v>565.66380071999981</v>
      </c>
      <c r="L72" s="56">
        <v>384.43606312999981</v>
      </c>
      <c r="M72" s="56">
        <v>271.3505018999997</v>
      </c>
      <c r="N72" s="56">
        <f t="shared" si="45"/>
        <v>1221.4503657499993</v>
      </c>
      <c r="O72" s="56">
        <v>498.36972408000094</v>
      </c>
      <c r="P72" s="56">
        <v>330.31381838999982</v>
      </c>
      <c r="Q72" s="56">
        <v>357.08673662000035</v>
      </c>
      <c r="R72" s="56">
        <f t="shared" si="46"/>
        <v>1185.7702790900012</v>
      </c>
      <c r="S72" s="56">
        <f t="shared" si="47"/>
        <v>2407.2206448400002</v>
      </c>
      <c r="T72" s="56">
        <f>+J72+S72</f>
        <v>5215.1484984899989</v>
      </c>
      <c r="U72" s="28">
        <f t="shared" ref="U72:U135" si="48">+B72+C72+D72+F72+G72+H72+K72+L72+M72+O72+P72+Q72</f>
        <v>5215.1484984899989</v>
      </c>
      <c r="V72" s="28">
        <f t="shared" ref="V72:V135" si="49">+U72-T72</f>
        <v>0</v>
      </c>
    </row>
    <row r="73" spans="1:37" x14ac:dyDescent="0.3">
      <c r="A73" s="33" t="s">
        <v>199</v>
      </c>
      <c r="B73" s="56"/>
      <c r="C73" s="56"/>
      <c r="D73" s="56"/>
      <c r="E73" s="56"/>
      <c r="F73" s="56"/>
      <c r="G73" s="56"/>
      <c r="H73" s="56"/>
      <c r="I73" s="56"/>
      <c r="J73" s="56">
        <f t="shared" si="8"/>
        <v>0</v>
      </c>
      <c r="K73" s="56"/>
      <c r="L73" s="56"/>
      <c r="M73" s="56"/>
      <c r="N73" s="56"/>
      <c r="O73" s="56"/>
      <c r="P73" s="56"/>
      <c r="Q73" s="56"/>
      <c r="R73" s="56"/>
      <c r="S73" s="56"/>
      <c r="T73" s="56"/>
      <c r="U73" s="28">
        <f t="shared" si="48"/>
        <v>0</v>
      </c>
      <c r="V73" s="28">
        <f t="shared" si="49"/>
        <v>0</v>
      </c>
    </row>
    <row r="74" spans="1:37" x14ac:dyDescent="0.3">
      <c r="A74" s="33" t="s">
        <v>78</v>
      </c>
      <c r="B74" s="30">
        <v>142.43509483000005</v>
      </c>
      <c r="C74" s="30">
        <v>32.589166069999997</v>
      </c>
      <c r="D74" s="30">
        <v>52.180080460000006</v>
      </c>
      <c r="E74" s="30">
        <f t="shared" si="43"/>
        <v>227.20434136000006</v>
      </c>
      <c r="F74" s="30">
        <v>89.011141880000011</v>
      </c>
      <c r="G74" s="30">
        <v>62.498656459999992</v>
      </c>
      <c r="H74" s="30">
        <v>109.43787201000001</v>
      </c>
      <c r="I74" s="30">
        <f t="shared" si="44"/>
        <v>260.94767035000001</v>
      </c>
      <c r="J74" s="30">
        <f t="shared" si="8"/>
        <v>488.15201171000007</v>
      </c>
      <c r="K74" s="30">
        <v>143.69860666999995</v>
      </c>
      <c r="L74" s="30">
        <v>44.043436829999997</v>
      </c>
      <c r="M74" s="30">
        <v>104.01022008000001</v>
      </c>
      <c r="N74" s="30">
        <f t="shared" si="45"/>
        <v>291.75226357999998</v>
      </c>
      <c r="O74" s="30">
        <v>51.600987950000054</v>
      </c>
      <c r="P74" s="30">
        <v>46.156444460000024</v>
      </c>
      <c r="Q74" s="30">
        <v>42.111064209999995</v>
      </c>
      <c r="R74" s="30">
        <f t="shared" si="46"/>
        <v>139.86849662000009</v>
      </c>
      <c r="S74" s="30">
        <f t="shared" si="47"/>
        <v>431.62076020000006</v>
      </c>
      <c r="T74" s="30">
        <f>+J74+S74</f>
        <v>919.77277191000007</v>
      </c>
      <c r="U74" s="28">
        <f t="shared" si="48"/>
        <v>919.77277191000007</v>
      </c>
      <c r="V74" s="28">
        <f t="shared" si="49"/>
        <v>0</v>
      </c>
    </row>
    <row r="75" spans="1:37" x14ac:dyDescent="0.3">
      <c r="U75" s="28">
        <f t="shared" si="48"/>
        <v>0</v>
      </c>
      <c r="V75" s="28">
        <f t="shared" si="49"/>
        <v>0</v>
      </c>
    </row>
    <row r="76" spans="1:37" s="37" customFormat="1" x14ac:dyDescent="0.3">
      <c r="A76" s="37" t="s">
        <v>79</v>
      </c>
      <c r="B76" s="27">
        <f>SUM(B77:B82)</f>
        <v>2454.324889909999</v>
      </c>
      <c r="C76" s="27">
        <f t="shared" ref="C76:T76" si="50">SUM(C77:C82)</f>
        <v>1037.0992008100002</v>
      </c>
      <c r="D76" s="27">
        <f t="shared" si="50"/>
        <v>1506.66641099</v>
      </c>
      <c r="E76" s="27">
        <f t="shared" si="50"/>
        <v>4998.0905017099985</v>
      </c>
      <c r="F76" s="27">
        <f t="shared" si="50"/>
        <v>2524.1028132400002</v>
      </c>
      <c r="G76" s="27">
        <f t="shared" si="50"/>
        <v>1503.6636528600002</v>
      </c>
      <c r="H76" s="27">
        <f t="shared" si="50"/>
        <v>1893.627663</v>
      </c>
      <c r="I76" s="27">
        <f t="shared" si="50"/>
        <v>5921.394129100001</v>
      </c>
      <c r="J76" s="27">
        <f t="shared" si="50"/>
        <v>10919.484630809999</v>
      </c>
      <c r="K76" s="27">
        <f t="shared" si="50"/>
        <v>2233.25257186</v>
      </c>
      <c r="L76" s="27">
        <f t="shared" si="50"/>
        <v>1463.4543750300002</v>
      </c>
      <c r="M76" s="27">
        <f t="shared" si="50"/>
        <v>1207.7876852100003</v>
      </c>
      <c r="N76" s="27">
        <f t="shared" si="50"/>
        <v>4904.4946321000007</v>
      </c>
      <c r="O76" s="27">
        <f t="shared" si="50"/>
        <v>1985.5501007399987</v>
      </c>
      <c r="P76" s="27">
        <f t="shared" si="50"/>
        <v>1479.7467224599998</v>
      </c>
      <c r="Q76" s="27">
        <f t="shared" si="50"/>
        <v>1531.2149499600005</v>
      </c>
      <c r="R76" s="27">
        <f t="shared" si="50"/>
        <v>4996.5117731599985</v>
      </c>
      <c r="S76" s="27">
        <f t="shared" si="50"/>
        <v>9901.0064052599992</v>
      </c>
      <c r="T76" s="27">
        <f t="shared" si="50"/>
        <v>20820.491036069998</v>
      </c>
      <c r="U76" s="28">
        <f t="shared" si="48"/>
        <v>20820.491036070001</v>
      </c>
      <c r="V76" s="28">
        <f t="shared" si="49"/>
        <v>0</v>
      </c>
      <c r="W76" s="27"/>
      <c r="X76" s="27"/>
      <c r="Y76" s="27"/>
      <c r="Z76" s="27"/>
      <c r="AA76" s="27"/>
      <c r="AB76" s="27"/>
      <c r="AC76" s="27"/>
      <c r="AD76" s="27"/>
      <c r="AE76" s="27"/>
      <c r="AF76" s="27"/>
      <c r="AG76" s="27"/>
      <c r="AH76" s="27"/>
      <c r="AI76" s="27"/>
      <c r="AJ76" s="27"/>
      <c r="AK76" s="27"/>
    </row>
    <row r="77" spans="1:37" x14ac:dyDescent="0.3">
      <c r="A77" s="33" t="s">
        <v>80</v>
      </c>
      <c r="B77" s="30">
        <v>726.0691431099998</v>
      </c>
      <c r="C77" s="30">
        <v>414.16736683000005</v>
      </c>
      <c r="D77" s="30">
        <v>659.32906224999999</v>
      </c>
      <c r="E77" s="30">
        <f t="shared" ref="E77:E82" si="51">+B77+C77+D77</f>
        <v>1799.5655721899998</v>
      </c>
      <c r="F77" s="30">
        <v>1031.1049176500001</v>
      </c>
      <c r="G77" s="30">
        <v>498.90663149</v>
      </c>
      <c r="H77" s="30">
        <v>711.55461864000006</v>
      </c>
      <c r="I77" s="30">
        <f t="shared" ref="I77:I82" si="52">+F77+G77+H77</f>
        <v>2241.5661677800003</v>
      </c>
      <c r="J77" s="30">
        <f t="shared" ref="J77:J129" si="53">+E77+I77</f>
        <v>4041.1317399700001</v>
      </c>
      <c r="K77" s="30">
        <v>826.21711934000018</v>
      </c>
      <c r="L77" s="30">
        <v>512.05702866000013</v>
      </c>
      <c r="M77" s="30">
        <v>411.87572779000033</v>
      </c>
      <c r="N77" s="30">
        <f t="shared" ref="N77:N82" si="54">+K77+L77+M77</f>
        <v>1750.1498757900008</v>
      </c>
      <c r="O77" s="30">
        <v>693.25798172999998</v>
      </c>
      <c r="P77" s="30">
        <v>574.15082923999989</v>
      </c>
      <c r="Q77" s="30">
        <v>508.30266673000028</v>
      </c>
      <c r="R77" s="30">
        <f t="shared" ref="R77:R82" si="55">+O77+P77+Q77</f>
        <v>1775.7114777000002</v>
      </c>
      <c r="S77" s="30">
        <f t="shared" si="47"/>
        <v>3525.861353490001</v>
      </c>
      <c r="T77" s="30">
        <f t="shared" ref="T77:T82" si="56">+J77+S77</f>
        <v>7566.9930934600015</v>
      </c>
      <c r="U77" s="28">
        <f t="shared" si="48"/>
        <v>7566.9930934600015</v>
      </c>
      <c r="V77" s="28">
        <f t="shared" si="49"/>
        <v>0</v>
      </c>
    </row>
    <row r="78" spans="1:37" x14ac:dyDescent="0.3">
      <c r="A78" s="33" t="s">
        <v>81</v>
      </c>
      <c r="B78" s="30">
        <v>187.51823544000027</v>
      </c>
      <c r="C78" s="30">
        <v>92.520309870000006</v>
      </c>
      <c r="D78" s="30">
        <v>124.13226918000001</v>
      </c>
      <c r="E78" s="30">
        <f t="shared" si="51"/>
        <v>404.17081449000023</v>
      </c>
      <c r="F78" s="30">
        <v>182.97478611000011</v>
      </c>
      <c r="G78" s="30">
        <v>128.11655814000002</v>
      </c>
      <c r="H78" s="30">
        <v>136.62209956000007</v>
      </c>
      <c r="I78" s="30">
        <f t="shared" si="52"/>
        <v>447.71344381000017</v>
      </c>
      <c r="J78" s="30">
        <f t="shared" si="53"/>
        <v>851.8842583000004</v>
      </c>
      <c r="K78" s="30">
        <v>168.42114241000004</v>
      </c>
      <c r="L78" s="30">
        <v>104.00740109000002</v>
      </c>
      <c r="M78" s="30">
        <v>116.17317961999997</v>
      </c>
      <c r="N78" s="30">
        <f t="shared" si="54"/>
        <v>388.60172312000003</v>
      </c>
      <c r="O78" s="30">
        <v>156.35926724000007</v>
      </c>
      <c r="P78" s="30">
        <v>135.01424272999995</v>
      </c>
      <c r="Q78" s="30">
        <v>116.24949868000002</v>
      </c>
      <c r="R78" s="30">
        <f t="shared" si="55"/>
        <v>407.62300864999997</v>
      </c>
      <c r="S78" s="30">
        <f t="shared" si="47"/>
        <v>796.22473177000006</v>
      </c>
      <c r="T78" s="30">
        <f t="shared" si="56"/>
        <v>1648.1089900700003</v>
      </c>
      <c r="U78" s="28">
        <f t="shared" si="48"/>
        <v>1648.1089900700003</v>
      </c>
      <c r="V78" s="28">
        <f t="shared" si="49"/>
        <v>0</v>
      </c>
    </row>
    <row r="79" spans="1:37" x14ac:dyDescent="0.3">
      <c r="A79" s="33" t="s">
        <v>82</v>
      </c>
      <c r="B79" s="30">
        <v>922.4179317899991</v>
      </c>
      <c r="C79" s="30">
        <v>307.32703818000005</v>
      </c>
      <c r="D79" s="30">
        <v>442.93149920999997</v>
      </c>
      <c r="E79" s="30">
        <f t="shared" si="51"/>
        <v>1672.676469179999</v>
      </c>
      <c r="F79" s="30">
        <v>749.66907388999971</v>
      </c>
      <c r="G79" s="30">
        <v>462.55077048999993</v>
      </c>
      <c r="H79" s="30">
        <v>598.77271968000014</v>
      </c>
      <c r="I79" s="30">
        <f t="shared" si="52"/>
        <v>1810.9925640599997</v>
      </c>
      <c r="J79" s="30">
        <f t="shared" si="53"/>
        <v>3483.6690332399985</v>
      </c>
      <c r="K79" s="30">
        <v>758.68155744999967</v>
      </c>
      <c r="L79" s="30">
        <v>514.48380810000003</v>
      </c>
      <c r="M79" s="30">
        <v>401.57070168000001</v>
      </c>
      <c r="N79" s="30">
        <f t="shared" si="54"/>
        <v>1674.7360672299997</v>
      </c>
      <c r="O79" s="30">
        <v>721.51384661999896</v>
      </c>
      <c r="P79" s="30">
        <v>448.9379226399999</v>
      </c>
      <c r="Q79" s="30">
        <v>453.65563010000011</v>
      </c>
      <c r="R79" s="30">
        <f t="shared" si="55"/>
        <v>1624.1073993599989</v>
      </c>
      <c r="S79" s="30">
        <f t="shared" si="47"/>
        <v>3298.8434665899986</v>
      </c>
      <c r="T79" s="30">
        <f t="shared" si="56"/>
        <v>6782.5124998299971</v>
      </c>
      <c r="U79" s="28">
        <f t="shared" si="48"/>
        <v>6782.5124998299971</v>
      </c>
      <c r="V79" s="28">
        <f t="shared" si="49"/>
        <v>0</v>
      </c>
    </row>
    <row r="80" spans="1:37" x14ac:dyDescent="0.3">
      <c r="A80" s="33" t="s">
        <v>83</v>
      </c>
      <c r="B80" s="30">
        <v>130.59638548999988</v>
      </c>
      <c r="C80" s="30">
        <v>46.850785509999987</v>
      </c>
      <c r="D80" s="30">
        <v>59.014363099999997</v>
      </c>
      <c r="E80" s="30">
        <f t="shared" si="51"/>
        <v>236.46153409999985</v>
      </c>
      <c r="F80" s="30">
        <v>106.13504909000001</v>
      </c>
      <c r="G80" s="30">
        <v>68.338118460000004</v>
      </c>
      <c r="H80" s="30">
        <v>121.52995230999996</v>
      </c>
      <c r="I80" s="30">
        <f t="shared" si="52"/>
        <v>296.00311985999997</v>
      </c>
      <c r="J80" s="30">
        <f t="shared" si="53"/>
        <v>532.46465395999985</v>
      </c>
      <c r="K80" s="30">
        <v>102.51249066</v>
      </c>
      <c r="L80" s="30">
        <v>77.082252620000006</v>
      </c>
      <c r="M80" s="30">
        <v>53.418275149999999</v>
      </c>
      <c r="N80" s="30">
        <f t="shared" si="54"/>
        <v>233.01301842999999</v>
      </c>
      <c r="O80" s="30">
        <v>97.628072090000117</v>
      </c>
      <c r="P80" s="30">
        <v>87.28892221000001</v>
      </c>
      <c r="Q80" s="30">
        <v>67.733958260000009</v>
      </c>
      <c r="R80" s="30">
        <f t="shared" si="55"/>
        <v>252.65095256000012</v>
      </c>
      <c r="S80" s="30">
        <f t="shared" si="47"/>
        <v>485.66397099000011</v>
      </c>
      <c r="T80" s="30">
        <f t="shared" si="56"/>
        <v>1018.1286249499999</v>
      </c>
      <c r="U80" s="28">
        <f t="shared" si="48"/>
        <v>1018.12862495</v>
      </c>
      <c r="V80" s="28">
        <f t="shared" si="49"/>
        <v>0</v>
      </c>
    </row>
    <row r="81" spans="1:37" x14ac:dyDescent="0.3">
      <c r="A81" s="33" t="s">
        <v>84</v>
      </c>
      <c r="B81" s="30">
        <v>210.53245707999997</v>
      </c>
      <c r="C81" s="30">
        <v>97.444432970000008</v>
      </c>
      <c r="D81" s="30">
        <v>102.18054171999999</v>
      </c>
      <c r="E81" s="30">
        <f t="shared" si="51"/>
        <v>410.15743176999996</v>
      </c>
      <c r="F81" s="30">
        <v>167.74634319</v>
      </c>
      <c r="G81" s="30">
        <v>179.4792027</v>
      </c>
      <c r="H81" s="30">
        <v>114.49435836999997</v>
      </c>
      <c r="I81" s="30">
        <f t="shared" si="52"/>
        <v>461.71990426000002</v>
      </c>
      <c r="J81" s="30">
        <f t="shared" si="53"/>
        <v>871.87733602999992</v>
      </c>
      <c r="K81" s="30">
        <v>145.64486208</v>
      </c>
      <c r="L81" s="30">
        <v>110.04995530999999</v>
      </c>
      <c r="M81" s="30">
        <v>88.42555873000002</v>
      </c>
      <c r="N81" s="30">
        <f t="shared" si="54"/>
        <v>344.12037612</v>
      </c>
      <c r="O81" s="30">
        <v>112.14582913999993</v>
      </c>
      <c r="P81" s="30">
        <v>106.62402044999999</v>
      </c>
      <c r="Q81" s="30">
        <v>138.31230124999999</v>
      </c>
      <c r="R81" s="30">
        <f t="shared" si="55"/>
        <v>357.08215083999994</v>
      </c>
      <c r="S81" s="30">
        <f t="shared" si="47"/>
        <v>701.20252695999989</v>
      </c>
      <c r="T81" s="30">
        <f t="shared" si="56"/>
        <v>1573.0798629899998</v>
      </c>
      <c r="U81" s="28">
        <f t="shared" si="48"/>
        <v>1573.0798629899998</v>
      </c>
      <c r="V81" s="28">
        <f t="shared" si="49"/>
        <v>0</v>
      </c>
    </row>
    <row r="82" spans="1:37" x14ac:dyDescent="0.3">
      <c r="A82" s="33" t="s">
        <v>85</v>
      </c>
      <c r="B82" s="30">
        <v>277.19073700000013</v>
      </c>
      <c r="C82" s="30">
        <v>78.789267450000011</v>
      </c>
      <c r="D82" s="30">
        <v>119.07867553</v>
      </c>
      <c r="E82" s="30">
        <f t="shared" si="51"/>
        <v>475.05867998000014</v>
      </c>
      <c r="F82" s="30">
        <v>286.47264331000014</v>
      </c>
      <c r="G82" s="30">
        <v>166.27237157999997</v>
      </c>
      <c r="H82" s="30">
        <v>210.65391443999997</v>
      </c>
      <c r="I82" s="30">
        <f t="shared" si="52"/>
        <v>663.3989293300001</v>
      </c>
      <c r="J82" s="30">
        <f t="shared" si="53"/>
        <v>1138.4576093100002</v>
      </c>
      <c r="K82" s="30">
        <v>231.77539991999996</v>
      </c>
      <c r="L82" s="30">
        <v>145.77392924999998</v>
      </c>
      <c r="M82" s="30">
        <v>136.32424224000005</v>
      </c>
      <c r="N82" s="30">
        <f t="shared" si="54"/>
        <v>513.87357141000007</v>
      </c>
      <c r="O82" s="30">
        <v>204.64510391999971</v>
      </c>
      <c r="P82" s="30">
        <v>127.73078518999996</v>
      </c>
      <c r="Q82" s="30">
        <v>246.96089494</v>
      </c>
      <c r="R82" s="30">
        <f t="shared" si="55"/>
        <v>579.33678404999966</v>
      </c>
      <c r="S82" s="30">
        <f t="shared" si="47"/>
        <v>1093.2103554599998</v>
      </c>
      <c r="T82" s="30">
        <f t="shared" si="56"/>
        <v>2231.6679647700003</v>
      </c>
      <c r="U82" s="28">
        <f t="shared" si="48"/>
        <v>2231.6679647699998</v>
      </c>
      <c r="V82" s="28">
        <f t="shared" si="49"/>
        <v>0</v>
      </c>
    </row>
    <row r="83" spans="1:37" x14ac:dyDescent="0.3">
      <c r="U83" s="28">
        <f t="shared" si="48"/>
        <v>0</v>
      </c>
      <c r="V83" s="28">
        <f t="shared" si="49"/>
        <v>0</v>
      </c>
    </row>
    <row r="84" spans="1:37" s="37" customFormat="1" x14ac:dyDescent="0.3">
      <c r="A84" s="37" t="s">
        <v>86</v>
      </c>
      <c r="B84" s="27">
        <f>SUM(B85:B89)</f>
        <v>2082.0668262299996</v>
      </c>
      <c r="C84" s="27">
        <f t="shared" ref="C84:T84" si="57">SUM(C85:C89)</f>
        <v>1044.4282464099999</v>
      </c>
      <c r="D84" s="27">
        <f t="shared" si="57"/>
        <v>1233.6245779999999</v>
      </c>
      <c r="E84" s="27">
        <f t="shared" si="57"/>
        <v>4360.1196506399992</v>
      </c>
      <c r="F84" s="27">
        <f t="shared" si="57"/>
        <v>2548.9075170029964</v>
      </c>
      <c r="G84" s="27">
        <f t="shared" si="57"/>
        <v>1303.7577939669995</v>
      </c>
      <c r="H84" s="27">
        <f t="shared" si="57"/>
        <v>1680.8201348900002</v>
      </c>
      <c r="I84" s="27">
        <f t="shared" si="57"/>
        <v>5533.4854458599966</v>
      </c>
      <c r="J84" s="27">
        <f t="shared" si="57"/>
        <v>9893.6050964999959</v>
      </c>
      <c r="K84" s="27">
        <f t="shared" si="57"/>
        <v>1957.4073697500014</v>
      </c>
      <c r="L84" s="27">
        <f t="shared" si="57"/>
        <v>1420.11582997</v>
      </c>
      <c r="M84" s="27">
        <f t="shared" si="57"/>
        <v>1276.8512242599995</v>
      </c>
      <c r="N84" s="27">
        <f t="shared" si="57"/>
        <v>4654.3744239800008</v>
      </c>
      <c r="O84" s="27">
        <f t="shared" si="57"/>
        <v>2039.9815353699973</v>
      </c>
      <c r="P84" s="27">
        <f t="shared" si="57"/>
        <v>1410.6126821299999</v>
      </c>
      <c r="Q84" s="27">
        <f t="shared" si="57"/>
        <v>1329.8985690499994</v>
      </c>
      <c r="R84" s="27">
        <f t="shared" si="57"/>
        <v>4780.4927865499976</v>
      </c>
      <c r="S84" s="27">
        <f t="shared" si="57"/>
        <v>9434.8672105299975</v>
      </c>
      <c r="T84" s="27">
        <f t="shared" si="57"/>
        <v>19328.472307029995</v>
      </c>
      <c r="U84" s="28">
        <f t="shared" si="48"/>
        <v>19328.472307029988</v>
      </c>
      <c r="V84" s="28">
        <f t="shared" si="49"/>
        <v>0</v>
      </c>
      <c r="W84" s="27"/>
      <c r="X84" s="27"/>
      <c r="Y84" s="27"/>
      <c r="Z84" s="27"/>
      <c r="AA84" s="27"/>
      <c r="AB84" s="27"/>
      <c r="AC84" s="27"/>
      <c r="AD84" s="27"/>
      <c r="AE84" s="27"/>
      <c r="AF84" s="27"/>
      <c r="AG84" s="27"/>
      <c r="AH84" s="27"/>
      <c r="AI84" s="27"/>
      <c r="AJ84" s="27"/>
      <c r="AK84" s="27"/>
    </row>
    <row r="85" spans="1:37" x14ac:dyDescent="0.3">
      <c r="A85" s="33" t="s">
        <v>87</v>
      </c>
      <c r="B85" s="30">
        <v>345.92667383000025</v>
      </c>
      <c r="C85" s="30">
        <v>206.84346410000001</v>
      </c>
      <c r="D85" s="30">
        <v>179.12493083999996</v>
      </c>
      <c r="E85" s="30">
        <f t="shared" ref="E85:E89" si="58">+B85+C85+D85</f>
        <v>731.89506877000019</v>
      </c>
      <c r="F85" s="30">
        <v>419.7839151799995</v>
      </c>
      <c r="G85" s="30">
        <v>212.92711557999999</v>
      </c>
      <c r="H85" s="30">
        <v>217.62386694999998</v>
      </c>
      <c r="I85" s="30">
        <f t="shared" ref="I85:I89" si="59">+F85+G85+H85</f>
        <v>850.3348977099995</v>
      </c>
      <c r="J85" s="30">
        <f t="shared" si="53"/>
        <v>1582.2299664799998</v>
      </c>
      <c r="K85" s="30">
        <v>330.39702554000002</v>
      </c>
      <c r="L85" s="30">
        <v>263.36036264000001</v>
      </c>
      <c r="M85" s="30">
        <v>174.21216387999993</v>
      </c>
      <c r="N85" s="30">
        <f t="shared" ref="N85:N89" si="60">+K85+L85+M85</f>
        <v>767.96955205999996</v>
      </c>
      <c r="O85" s="30">
        <v>260.61017578999997</v>
      </c>
      <c r="P85" s="30">
        <v>204.16721986000005</v>
      </c>
      <c r="Q85" s="30">
        <v>164.02124895000009</v>
      </c>
      <c r="R85" s="30">
        <f t="shared" ref="R85:R89" si="61">+O85+P85+Q85</f>
        <v>628.7986446000001</v>
      </c>
      <c r="S85" s="30">
        <f t="shared" si="47"/>
        <v>1396.7681966600001</v>
      </c>
      <c r="T85" s="30">
        <f t="shared" ref="T85:T89" si="62">+J85+S85</f>
        <v>2978.9981631399996</v>
      </c>
      <c r="U85" s="28">
        <f t="shared" si="48"/>
        <v>2978.9981631399996</v>
      </c>
      <c r="V85" s="28">
        <f t="shared" si="49"/>
        <v>0</v>
      </c>
    </row>
    <row r="86" spans="1:37" x14ac:dyDescent="0.3">
      <c r="A86" s="33" t="s">
        <v>88</v>
      </c>
      <c r="B86" s="30">
        <v>143.43536464000002</v>
      </c>
      <c r="C86" s="30">
        <v>66.316722920000004</v>
      </c>
      <c r="D86" s="30">
        <v>108.84399706000001</v>
      </c>
      <c r="E86" s="30">
        <f t="shared" si="58"/>
        <v>318.59608462</v>
      </c>
      <c r="F86" s="30">
        <v>152.22238335</v>
      </c>
      <c r="G86" s="30">
        <v>74.773959969999993</v>
      </c>
      <c r="H86" s="30">
        <v>136.45497928999998</v>
      </c>
      <c r="I86" s="30">
        <f t="shared" si="59"/>
        <v>363.45132260999998</v>
      </c>
      <c r="J86" s="30">
        <f t="shared" si="53"/>
        <v>682.04740722999998</v>
      </c>
      <c r="K86" s="30">
        <v>109.78408243000005</v>
      </c>
      <c r="L86" s="30">
        <v>92.564196550000005</v>
      </c>
      <c r="M86" s="30">
        <v>77.471261859999984</v>
      </c>
      <c r="N86" s="30">
        <f t="shared" si="60"/>
        <v>279.81954084000006</v>
      </c>
      <c r="O86" s="30">
        <v>83.890743299999954</v>
      </c>
      <c r="P86" s="30">
        <v>82.521387559999951</v>
      </c>
      <c r="Q86" s="30">
        <v>95.163798580000019</v>
      </c>
      <c r="R86" s="30">
        <f t="shared" si="61"/>
        <v>261.57592943999992</v>
      </c>
      <c r="S86" s="30">
        <f t="shared" si="47"/>
        <v>541.39547027999993</v>
      </c>
      <c r="T86" s="30">
        <f t="shared" si="62"/>
        <v>1223.44287751</v>
      </c>
      <c r="U86" s="28">
        <f t="shared" si="48"/>
        <v>1223.44287751</v>
      </c>
      <c r="V86" s="28">
        <f t="shared" si="49"/>
        <v>0</v>
      </c>
    </row>
    <row r="87" spans="1:37" x14ac:dyDescent="0.3">
      <c r="A87" s="33" t="s">
        <v>89</v>
      </c>
      <c r="B87" s="30">
        <v>217.57285056999987</v>
      </c>
      <c r="C87" s="30">
        <v>109.14270203999999</v>
      </c>
      <c r="D87" s="30">
        <v>147.64970986</v>
      </c>
      <c r="E87" s="30">
        <f t="shared" si="58"/>
        <v>474.36526246999983</v>
      </c>
      <c r="F87" s="30">
        <v>245.10149066000002</v>
      </c>
      <c r="G87" s="30">
        <v>140.70517269999999</v>
      </c>
      <c r="H87" s="30">
        <v>174.89615648999998</v>
      </c>
      <c r="I87" s="30">
        <f t="shared" si="59"/>
        <v>560.70281984999997</v>
      </c>
      <c r="J87" s="30">
        <f t="shared" si="53"/>
        <v>1035.0680823199998</v>
      </c>
      <c r="K87" s="30">
        <v>171.77280526999994</v>
      </c>
      <c r="L87" s="30">
        <v>142.81971667999997</v>
      </c>
      <c r="M87" s="30">
        <v>157.92134151999997</v>
      </c>
      <c r="N87" s="30">
        <f t="shared" si="60"/>
        <v>472.51386346999982</v>
      </c>
      <c r="O87" s="30">
        <v>189.78523640000026</v>
      </c>
      <c r="P87" s="30">
        <v>139.7585081</v>
      </c>
      <c r="Q87" s="30">
        <v>146.12455184000012</v>
      </c>
      <c r="R87" s="30">
        <f t="shared" si="61"/>
        <v>475.66829634000032</v>
      </c>
      <c r="S87" s="30">
        <f t="shared" si="47"/>
        <v>948.18215981000014</v>
      </c>
      <c r="T87" s="30">
        <f t="shared" si="62"/>
        <v>1983.2502421300001</v>
      </c>
      <c r="U87" s="28">
        <f t="shared" si="48"/>
        <v>1983.2502421300003</v>
      </c>
      <c r="V87" s="28">
        <f t="shared" si="49"/>
        <v>0</v>
      </c>
    </row>
    <row r="88" spans="1:37" ht="16.5" x14ac:dyDescent="0.3">
      <c r="A88" s="33" t="s">
        <v>200</v>
      </c>
      <c r="B88" s="30">
        <v>199.58207033999986</v>
      </c>
      <c r="C88" s="30">
        <v>110.44524505</v>
      </c>
      <c r="D88" s="30">
        <v>129.93503854000005</v>
      </c>
      <c r="E88" s="30">
        <f t="shared" si="58"/>
        <v>439.96235392999989</v>
      </c>
      <c r="F88" s="30">
        <v>230.28070846299988</v>
      </c>
      <c r="G88" s="30">
        <v>156.13098285699999</v>
      </c>
      <c r="H88" s="30">
        <v>233.71860161000001</v>
      </c>
      <c r="I88" s="30">
        <f t="shared" si="59"/>
        <v>620.13029292999988</v>
      </c>
      <c r="J88" s="30">
        <f t="shared" si="53"/>
        <v>1060.0926468599998</v>
      </c>
      <c r="K88" s="30">
        <v>171.16614303999998</v>
      </c>
      <c r="L88" s="30">
        <v>140.12696627000005</v>
      </c>
      <c r="M88" s="30">
        <v>122.78787335</v>
      </c>
      <c r="N88" s="30">
        <f t="shared" si="60"/>
        <v>434.08098266000002</v>
      </c>
      <c r="O88" s="30">
        <v>229.12284776999985</v>
      </c>
      <c r="P88" s="30">
        <v>133.64886079000001</v>
      </c>
      <c r="Q88" s="30">
        <v>136.90614516000002</v>
      </c>
      <c r="R88" s="30">
        <f t="shared" si="61"/>
        <v>499.67785371999992</v>
      </c>
      <c r="S88" s="30">
        <f t="shared" si="47"/>
        <v>933.75883637999993</v>
      </c>
      <c r="T88" s="30">
        <f t="shared" si="62"/>
        <v>1993.8514832399997</v>
      </c>
      <c r="U88" s="28">
        <f t="shared" si="48"/>
        <v>1993.8514832399997</v>
      </c>
      <c r="V88" s="28">
        <f t="shared" si="49"/>
        <v>0</v>
      </c>
    </row>
    <row r="89" spans="1:37" ht="16.5" x14ac:dyDescent="0.3">
      <c r="A89" s="33" t="s">
        <v>201</v>
      </c>
      <c r="B89" s="56">
        <v>1175.5498668499995</v>
      </c>
      <c r="C89" s="56">
        <v>551.68011229999991</v>
      </c>
      <c r="D89" s="56">
        <v>668.07090170000004</v>
      </c>
      <c r="E89" s="56">
        <f t="shared" si="58"/>
        <v>2395.3008808499994</v>
      </c>
      <c r="F89" s="56">
        <v>1501.5190193499968</v>
      </c>
      <c r="G89" s="56">
        <v>719.22056285999963</v>
      </c>
      <c r="H89" s="56">
        <v>918.12653055000044</v>
      </c>
      <c r="I89" s="56">
        <f t="shared" si="59"/>
        <v>3138.8661127599971</v>
      </c>
      <c r="J89" s="56">
        <f t="shared" si="53"/>
        <v>5534.166993609997</v>
      </c>
      <c r="K89" s="56">
        <v>1174.2873134700014</v>
      </c>
      <c r="L89" s="56">
        <v>781.24458782999989</v>
      </c>
      <c r="M89" s="56">
        <v>744.45858364999947</v>
      </c>
      <c r="N89" s="56">
        <f t="shared" si="60"/>
        <v>2699.9904849500008</v>
      </c>
      <c r="O89" s="56">
        <v>1276.5725321099974</v>
      </c>
      <c r="P89" s="56">
        <v>850.51670582000008</v>
      </c>
      <c r="Q89" s="56">
        <v>787.68282451999926</v>
      </c>
      <c r="R89" s="56">
        <f t="shared" si="61"/>
        <v>2914.7720624499971</v>
      </c>
      <c r="S89" s="56">
        <f t="shared" si="47"/>
        <v>5614.7625473999979</v>
      </c>
      <c r="T89" s="56">
        <f t="shared" si="62"/>
        <v>11148.929541009995</v>
      </c>
      <c r="U89" s="28">
        <f t="shared" si="48"/>
        <v>11148.929541009995</v>
      </c>
      <c r="V89" s="28">
        <f t="shared" si="49"/>
        <v>0</v>
      </c>
    </row>
    <row r="90" spans="1:37" x14ac:dyDescent="0.3">
      <c r="A90" s="33" t="s">
        <v>202</v>
      </c>
      <c r="B90" s="56"/>
      <c r="C90" s="56"/>
      <c r="D90" s="56"/>
      <c r="E90" s="56"/>
      <c r="F90" s="56"/>
      <c r="G90" s="56"/>
      <c r="H90" s="56"/>
      <c r="I90" s="56"/>
      <c r="J90" s="56"/>
      <c r="K90" s="56"/>
      <c r="L90" s="56"/>
      <c r="M90" s="56"/>
      <c r="N90" s="56"/>
      <c r="O90" s="56"/>
      <c r="P90" s="56"/>
      <c r="Q90" s="56"/>
      <c r="R90" s="56"/>
      <c r="S90" s="56"/>
      <c r="T90" s="56"/>
      <c r="U90" s="28">
        <f t="shared" si="48"/>
        <v>0</v>
      </c>
      <c r="V90" s="28">
        <f t="shared" si="49"/>
        <v>0</v>
      </c>
    </row>
    <row r="91" spans="1:37" x14ac:dyDescent="0.3">
      <c r="U91" s="28">
        <f t="shared" si="48"/>
        <v>0</v>
      </c>
      <c r="V91" s="28">
        <f t="shared" si="49"/>
        <v>0</v>
      </c>
    </row>
    <row r="92" spans="1:37" s="37" customFormat="1" x14ac:dyDescent="0.3">
      <c r="A92" s="37" t="s">
        <v>92</v>
      </c>
      <c r="B92" s="27">
        <f>SUM(B93:B95)</f>
        <v>1886.8102478400021</v>
      </c>
      <c r="C92" s="27">
        <f t="shared" ref="C92:T92" si="63">SUM(C93:C95)</f>
        <v>840.00392437000005</v>
      </c>
      <c r="D92" s="27">
        <f t="shared" si="63"/>
        <v>1122.1830674100001</v>
      </c>
      <c r="E92" s="27">
        <f t="shared" si="63"/>
        <v>3848.9972396200023</v>
      </c>
      <c r="F92" s="27">
        <f t="shared" si="63"/>
        <v>2081.9216445099992</v>
      </c>
      <c r="G92" s="27">
        <f t="shared" si="63"/>
        <v>1363.2717250200001</v>
      </c>
      <c r="H92" s="27">
        <f t="shared" si="63"/>
        <v>1654.9115489199999</v>
      </c>
      <c r="I92" s="27">
        <f t="shared" si="63"/>
        <v>5100.1049184499989</v>
      </c>
      <c r="J92" s="27">
        <f t="shared" si="63"/>
        <v>8949.1021580700017</v>
      </c>
      <c r="K92" s="27">
        <f t="shared" si="63"/>
        <v>1758.1540551699995</v>
      </c>
      <c r="L92" s="27">
        <f t="shared" si="63"/>
        <v>1217.4814999600001</v>
      </c>
      <c r="M92" s="27">
        <f t="shared" si="63"/>
        <v>1229.5340455800003</v>
      </c>
      <c r="N92" s="27">
        <f t="shared" si="63"/>
        <v>4205.1696007099999</v>
      </c>
      <c r="O92" s="27">
        <f t="shared" si="63"/>
        <v>1812.6463968200001</v>
      </c>
      <c r="P92" s="27">
        <f t="shared" si="63"/>
        <v>1277.1443814900001</v>
      </c>
      <c r="Q92" s="27">
        <f t="shared" si="63"/>
        <v>1052.2385347399997</v>
      </c>
      <c r="R92" s="27">
        <f t="shared" si="63"/>
        <v>4142.0293130499995</v>
      </c>
      <c r="S92" s="27">
        <f t="shared" si="63"/>
        <v>8347.1989137599994</v>
      </c>
      <c r="T92" s="27">
        <f t="shared" si="63"/>
        <v>17296.301071829999</v>
      </c>
      <c r="U92" s="28">
        <f t="shared" si="48"/>
        <v>17296.301071830003</v>
      </c>
      <c r="V92" s="28">
        <f t="shared" si="49"/>
        <v>0</v>
      </c>
      <c r="W92" s="27"/>
      <c r="X92" s="27"/>
      <c r="Y92" s="27"/>
      <c r="Z92" s="27"/>
      <c r="AA92" s="27"/>
      <c r="AB92" s="27"/>
      <c r="AC92" s="27"/>
      <c r="AD92" s="27"/>
      <c r="AE92" s="27"/>
      <c r="AF92" s="27"/>
      <c r="AG92" s="27"/>
      <c r="AH92" s="27"/>
      <c r="AI92" s="27"/>
      <c r="AJ92" s="27"/>
      <c r="AK92" s="27"/>
    </row>
    <row r="93" spans="1:37" x14ac:dyDescent="0.3">
      <c r="A93" s="33" t="s">
        <v>203</v>
      </c>
      <c r="B93" s="56">
        <v>1407.6339637400019</v>
      </c>
      <c r="C93" s="56">
        <v>613.97001025999998</v>
      </c>
      <c r="D93" s="56">
        <v>758.40656527000021</v>
      </c>
      <c r="E93" s="56">
        <f t="shared" ref="E93:E153" si="64">+B93+C93+D93</f>
        <v>2780.010539270002</v>
      </c>
      <c r="F93" s="56">
        <v>1585.9732910799987</v>
      </c>
      <c r="G93" s="56">
        <v>930.37663395999994</v>
      </c>
      <c r="H93" s="56">
        <v>1030.5333814299997</v>
      </c>
      <c r="I93" s="56">
        <f t="shared" ref="I93:I153" si="65">+F93+G93+H93</f>
        <v>3546.8833064699984</v>
      </c>
      <c r="J93" s="56">
        <f t="shared" si="53"/>
        <v>6326.89384574</v>
      </c>
      <c r="K93" s="56">
        <v>1256.3077152499995</v>
      </c>
      <c r="L93" s="56">
        <v>840.6565742800002</v>
      </c>
      <c r="M93" s="56">
        <v>891.76478467000038</v>
      </c>
      <c r="N93" s="56">
        <f t="shared" ref="N93:N153" si="66">+K93+L93+M93</f>
        <v>2988.7290742000005</v>
      </c>
      <c r="O93" s="56">
        <v>1366.1793214600004</v>
      </c>
      <c r="P93" s="56">
        <v>856.95054916000004</v>
      </c>
      <c r="Q93" s="56">
        <v>721.29233753999972</v>
      </c>
      <c r="R93" s="56">
        <f t="shared" ref="R93:R153" si="67">+O93+P93+Q93</f>
        <v>2944.4222081600001</v>
      </c>
      <c r="S93" s="56">
        <f t="shared" si="47"/>
        <v>5933.1512823600006</v>
      </c>
      <c r="T93" s="56">
        <f>+J93+S93</f>
        <v>12260.045128100001</v>
      </c>
      <c r="U93" s="28">
        <f t="shared" si="48"/>
        <v>12260.045128099999</v>
      </c>
      <c r="V93" s="28">
        <f t="shared" si="49"/>
        <v>0</v>
      </c>
    </row>
    <row r="94" spans="1:37" x14ac:dyDescent="0.3">
      <c r="A94" s="33" t="s">
        <v>204</v>
      </c>
      <c r="B94" s="56"/>
      <c r="C94" s="56"/>
      <c r="D94" s="56"/>
      <c r="E94" s="56"/>
      <c r="F94" s="56"/>
      <c r="G94" s="56"/>
      <c r="H94" s="56"/>
      <c r="I94" s="56"/>
      <c r="J94" s="56"/>
      <c r="K94" s="56"/>
      <c r="L94" s="56"/>
      <c r="M94" s="56"/>
      <c r="N94" s="56"/>
      <c r="O94" s="56"/>
      <c r="P94" s="56"/>
      <c r="Q94" s="56"/>
      <c r="R94" s="56"/>
      <c r="S94" s="56"/>
      <c r="T94" s="56"/>
      <c r="U94" s="28">
        <f t="shared" si="48"/>
        <v>0</v>
      </c>
      <c r="V94" s="28">
        <f t="shared" si="49"/>
        <v>0</v>
      </c>
    </row>
    <row r="95" spans="1:37" x14ac:dyDescent="0.3">
      <c r="A95" s="33" t="s">
        <v>205</v>
      </c>
      <c r="B95" s="56">
        <v>479.17628410000026</v>
      </c>
      <c r="C95" s="56">
        <v>226.03391411000001</v>
      </c>
      <c r="D95" s="56">
        <v>363.77650213999999</v>
      </c>
      <c r="E95" s="56">
        <f t="shared" si="64"/>
        <v>1068.9867003500003</v>
      </c>
      <c r="F95" s="56">
        <v>495.94835343000068</v>
      </c>
      <c r="G95" s="56">
        <v>432.8950910600002</v>
      </c>
      <c r="H95" s="56">
        <v>624.37816749000012</v>
      </c>
      <c r="I95" s="56">
        <f t="shared" si="65"/>
        <v>1553.2216119800009</v>
      </c>
      <c r="J95" s="56">
        <f t="shared" si="53"/>
        <v>2622.2083123300013</v>
      </c>
      <c r="K95" s="56">
        <v>501.84633991999988</v>
      </c>
      <c r="L95" s="56">
        <v>376.82492567999986</v>
      </c>
      <c r="M95" s="56">
        <v>337.76926090999996</v>
      </c>
      <c r="N95" s="56">
        <f t="shared" si="66"/>
        <v>1216.4405265099997</v>
      </c>
      <c r="O95" s="56">
        <v>446.46707535999968</v>
      </c>
      <c r="P95" s="56">
        <v>420.19383233000002</v>
      </c>
      <c r="Q95" s="56">
        <v>330.94619720000003</v>
      </c>
      <c r="R95" s="56">
        <f t="shared" si="67"/>
        <v>1197.6071048899998</v>
      </c>
      <c r="S95" s="56">
        <f t="shared" si="47"/>
        <v>2414.0476313999998</v>
      </c>
      <c r="T95" s="56">
        <f>+J95+S95</f>
        <v>5036.2559437300006</v>
      </c>
      <c r="U95" s="28">
        <f t="shared" si="48"/>
        <v>5036.2559437300006</v>
      </c>
      <c r="V95" s="28">
        <f t="shared" si="49"/>
        <v>0</v>
      </c>
    </row>
    <row r="96" spans="1:37" x14ac:dyDescent="0.3">
      <c r="A96" s="33" t="s">
        <v>206</v>
      </c>
      <c r="B96" s="56"/>
      <c r="C96" s="56"/>
      <c r="D96" s="56"/>
      <c r="E96" s="56"/>
      <c r="F96" s="56"/>
      <c r="G96" s="56"/>
      <c r="H96" s="56"/>
      <c r="I96" s="56"/>
      <c r="J96" s="56"/>
      <c r="K96" s="56"/>
      <c r="L96" s="56"/>
      <c r="M96" s="56"/>
      <c r="N96" s="56"/>
      <c r="O96" s="56"/>
      <c r="P96" s="56"/>
      <c r="Q96" s="56"/>
      <c r="R96" s="56"/>
      <c r="S96" s="56"/>
      <c r="T96" s="56"/>
      <c r="U96" s="28">
        <f t="shared" si="48"/>
        <v>0</v>
      </c>
      <c r="V96" s="28">
        <f t="shared" si="49"/>
        <v>0</v>
      </c>
    </row>
    <row r="97" spans="1:37" x14ac:dyDescent="0.3">
      <c r="U97" s="28">
        <f t="shared" si="48"/>
        <v>0</v>
      </c>
      <c r="V97" s="28">
        <f t="shared" si="49"/>
        <v>0</v>
      </c>
    </row>
    <row r="98" spans="1:37" s="37" customFormat="1" x14ac:dyDescent="0.3">
      <c r="A98" s="37" t="s">
        <v>95</v>
      </c>
      <c r="B98" s="27">
        <f>SUM(B99:B104)</f>
        <v>10384.669252140007</v>
      </c>
      <c r="C98" s="27">
        <f t="shared" ref="C98:T98" si="68">SUM(C99:C104)</f>
        <v>4959.3660135999999</v>
      </c>
      <c r="D98" s="27">
        <f t="shared" si="68"/>
        <v>5931.0188416400006</v>
      </c>
      <c r="E98" s="27">
        <f t="shared" si="68"/>
        <v>21275.054107380009</v>
      </c>
      <c r="F98" s="27">
        <f t="shared" si="68"/>
        <v>14694.379531780003</v>
      </c>
      <c r="G98" s="27">
        <f t="shared" si="68"/>
        <v>7921.9114221200007</v>
      </c>
      <c r="H98" s="27">
        <f t="shared" si="68"/>
        <v>6801.9686051899989</v>
      </c>
      <c r="I98" s="27">
        <f t="shared" si="68"/>
        <v>29418.259559090002</v>
      </c>
      <c r="J98" s="27">
        <f t="shared" si="68"/>
        <v>50693.313666470014</v>
      </c>
      <c r="K98" s="27">
        <f t="shared" si="68"/>
        <v>10225.870364149996</v>
      </c>
      <c r="L98" s="27">
        <f t="shared" si="68"/>
        <v>9340.3043512799995</v>
      </c>
      <c r="M98" s="27">
        <f t="shared" si="68"/>
        <v>6478.8541985399988</v>
      </c>
      <c r="N98" s="27">
        <f t="shared" si="68"/>
        <v>26045.028913969996</v>
      </c>
      <c r="O98" s="27">
        <f t="shared" si="68"/>
        <v>10129.75823698</v>
      </c>
      <c r="P98" s="27">
        <f t="shared" si="68"/>
        <v>9054.9429649000012</v>
      </c>
      <c r="Q98" s="27">
        <f t="shared" si="68"/>
        <v>5842.6195251499958</v>
      </c>
      <c r="R98" s="27">
        <f t="shared" si="68"/>
        <v>25027.320727029997</v>
      </c>
      <c r="S98" s="27">
        <f t="shared" si="68"/>
        <v>51072.349640999993</v>
      </c>
      <c r="T98" s="27">
        <f t="shared" si="68"/>
        <v>101765.66330747001</v>
      </c>
      <c r="U98" s="28">
        <f t="shared" si="48"/>
        <v>101765.66330746998</v>
      </c>
      <c r="V98" s="28">
        <f t="shared" si="49"/>
        <v>0</v>
      </c>
      <c r="W98" s="27"/>
      <c r="X98" s="27"/>
      <c r="Y98" s="27"/>
      <c r="Z98" s="27"/>
      <c r="AA98" s="27"/>
      <c r="AB98" s="27"/>
      <c r="AC98" s="27"/>
      <c r="AD98" s="27"/>
      <c r="AE98" s="27"/>
      <c r="AF98" s="27"/>
      <c r="AG98" s="27"/>
      <c r="AH98" s="27"/>
      <c r="AI98" s="27"/>
      <c r="AJ98" s="27"/>
      <c r="AK98" s="27"/>
    </row>
    <row r="99" spans="1:37" x14ac:dyDescent="0.3">
      <c r="A99" s="33" t="s">
        <v>96</v>
      </c>
      <c r="B99" s="30">
        <v>465.03252192000008</v>
      </c>
      <c r="C99" s="30">
        <v>273.79023915999994</v>
      </c>
      <c r="D99" s="30">
        <v>274.89859421999995</v>
      </c>
      <c r="E99" s="30">
        <f t="shared" si="64"/>
        <v>1013.7213552999999</v>
      </c>
      <c r="F99" s="30">
        <v>564.90743298000041</v>
      </c>
      <c r="G99" s="30">
        <v>311.18450071000007</v>
      </c>
      <c r="H99" s="30">
        <v>345.42975014000007</v>
      </c>
      <c r="I99" s="30">
        <f t="shared" si="65"/>
        <v>1221.5216838300005</v>
      </c>
      <c r="J99" s="30">
        <f t="shared" si="53"/>
        <v>2235.2430391300004</v>
      </c>
      <c r="K99" s="30">
        <v>521.4349556899997</v>
      </c>
      <c r="L99" s="30">
        <v>354.89632028</v>
      </c>
      <c r="M99" s="30">
        <v>413.13579879999998</v>
      </c>
      <c r="N99" s="30">
        <f t="shared" si="66"/>
        <v>1289.4670747699997</v>
      </c>
      <c r="O99" s="30">
        <v>439.86870581000034</v>
      </c>
      <c r="P99" s="30">
        <v>373.23998106000005</v>
      </c>
      <c r="Q99" s="30">
        <v>351.37682257999978</v>
      </c>
      <c r="R99" s="30">
        <f t="shared" si="67"/>
        <v>1164.4855094500001</v>
      </c>
      <c r="S99" s="30">
        <f t="shared" si="47"/>
        <v>2453.9525842200001</v>
      </c>
      <c r="T99" s="30">
        <f>+J99+S99</f>
        <v>4689.1956233500005</v>
      </c>
      <c r="U99" s="28">
        <f t="shared" si="48"/>
        <v>4689.1956233500005</v>
      </c>
      <c r="V99" s="28">
        <f t="shared" si="49"/>
        <v>0</v>
      </c>
    </row>
    <row r="100" spans="1:37" x14ac:dyDescent="0.3">
      <c r="A100" s="33" t="s">
        <v>207</v>
      </c>
      <c r="B100" s="56">
        <v>2496.0527582900017</v>
      </c>
      <c r="C100" s="56">
        <v>1187.0358526099997</v>
      </c>
      <c r="D100" s="56">
        <v>1588.4584717400003</v>
      </c>
      <c r="E100" s="56">
        <f t="shared" si="64"/>
        <v>5271.5470826400015</v>
      </c>
      <c r="F100" s="56">
        <v>3071.5190060900018</v>
      </c>
      <c r="G100" s="56">
        <v>1638.0847988599999</v>
      </c>
      <c r="H100" s="56">
        <v>1591.4268449599999</v>
      </c>
      <c r="I100" s="56">
        <f t="shared" si="65"/>
        <v>6301.0306499100025</v>
      </c>
      <c r="J100" s="56">
        <f t="shared" si="53"/>
        <v>11572.577732550004</v>
      </c>
      <c r="K100" s="56">
        <v>2539.1846295599998</v>
      </c>
      <c r="L100" s="56">
        <v>1838.23301283</v>
      </c>
      <c r="M100" s="56">
        <v>1727.6673435599996</v>
      </c>
      <c r="N100" s="56">
        <f t="shared" si="66"/>
        <v>6105.0849859499995</v>
      </c>
      <c r="O100" s="56">
        <v>2496.9495178499983</v>
      </c>
      <c r="P100" s="56">
        <v>1801.8184234900007</v>
      </c>
      <c r="Q100" s="56">
        <v>1330.426298509999</v>
      </c>
      <c r="R100" s="56">
        <f t="shared" si="67"/>
        <v>5629.1942398499978</v>
      </c>
      <c r="S100" s="56">
        <f t="shared" si="47"/>
        <v>11734.279225799997</v>
      </c>
      <c r="T100" s="56">
        <f>+J100+S100</f>
        <v>23306.856958349999</v>
      </c>
      <c r="U100" s="28">
        <f t="shared" si="48"/>
        <v>23306.856958350003</v>
      </c>
      <c r="V100" s="28">
        <f t="shared" si="49"/>
        <v>0</v>
      </c>
    </row>
    <row r="101" spans="1:37" x14ac:dyDescent="0.3">
      <c r="A101" s="33" t="s">
        <v>208</v>
      </c>
      <c r="B101" s="56"/>
      <c r="C101" s="56"/>
      <c r="D101" s="56"/>
      <c r="E101" s="56"/>
      <c r="F101" s="56"/>
      <c r="G101" s="56"/>
      <c r="H101" s="56"/>
      <c r="I101" s="56"/>
      <c r="J101" s="56"/>
      <c r="K101" s="56"/>
      <c r="L101" s="56"/>
      <c r="M101" s="56"/>
      <c r="N101" s="56"/>
      <c r="O101" s="56"/>
      <c r="P101" s="56"/>
      <c r="Q101" s="56"/>
      <c r="R101" s="56"/>
      <c r="S101" s="56"/>
      <c r="T101" s="56"/>
      <c r="U101" s="28">
        <f t="shared" si="48"/>
        <v>0</v>
      </c>
      <c r="V101" s="28">
        <f t="shared" si="49"/>
        <v>0</v>
      </c>
    </row>
    <row r="102" spans="1:37" x14ac:dyDescent="0.3">
      <c r="A102" s="33" t="s">
        <v>209</v>
      </c>
      <c r="B102" s="56"/>
      <c r="C102" s="56"/>
      <c r="D102" s="56"/>
      <c r="E102" s="56"/>
      <c r="F102" s="56"/>
      <c r="G102" s="56"/>
      <c r="H102" s="56"/>
      <c r="I102" s="56"/>
      <c r="J102" s="56"/>
      <c r="K102" s="56"/>
      <c r="L102" s="56"/>
      <c r="M102" s="56"/>
      <c r="N102" s="56"/>
      <c r="O102" s="56"/>
      <c r="P102" s="56"/>
      <c r="Q102" s="56"/>
      <c r="R102" s="56"/>
      <c r="S102" s="56"/>
      <c r="T102" s="56"/>
      <c r="U102" s="28">
        <f t="shared" si="48"/>
        <v>0</v>
      </c>
      <c r="V102" s="28">
        <f t="shared" si="49"/>
        <v>0</v>
      </c>
    </row>
    <row r="103" spans="1:37" x14ac:dyDescent="0.3">
      <c r="A103" s="33" t="s">
        <v>98</v>
      </c>
      <c r="B103" s="30">
        <v>2656.4439477300034</v>
      </c>
      <c r="C103" s="30">
        <v>1254.9518800800006</v>
      </c>
      <c r="D103" s="30">
        <v>1705.36450866</v>
      </c>
      <c r="E103" s="30">
        <f t="shared" si="64"/>
        <v>5616.7603364700044</v>
      </c>
      <c r="F103" s="30">
        <v>3498.58066469</v>
      </c>
      <c r="G103" s="30">
        <v>1804.2739307599998</v>
      </c>
      <c r="H103" s="30">
        <v>1798.542695409998</v>
      </c>
      <c r="I103" s="30">
        <f t="shared" si="65"/>
        <v>7101.3972908599972</v>
      </c>
      <c r="J103" s="30">
        <f t="shared" si="53"/>
        <v>12718.157627330002</v>
      </c>
      <c r="K103" s="30">
        <v>2696.566400589998</v>
      </c>
      <c r="L103" s="30">
        <v>2144.6538410599987</v>
      </c>
      <c r="M103" s="30">
        <v>2084.9302798799999</v>
      </c>
      <c r="N103" s="30">
        <f t="shared" si="66"/>
        <v>6926.1505215299967</v>
      </c>
      <c r="O103" s="30">
        <v>2754.0302410599979</v>
      </c>
      <c r="P103" s="30">
        <v>1935.2335360599993</v>
      </c>
      <c r="Q103" s="30">
        <v>1577.2383120799982</v>
      </c>
      <c r="R103" s="30">
        <f t="shared" si="67"/>
        <v>6266.5020891999957</v>
      </c>
      <c r="S103" s="30">
        <f t="shared" si="47"/>
        <v>13192.652610729992</v>
      </c>
      <c r="T103" s="30">
        <f>+J103+S103</f>
        <v>25910.810238059996</v>
      </c>
      <c r="U103" s="28">
        <f t="shared" si="48"/>
        <v>25910.810238059996</v>
      </c>
      <c r="V103" s="28">
        <f t="shared" si="49"/>
        <v>0</v>
      </c>
    </row>
    <row r="104" spans="1:37" ht="16.5" x14ac:dyDescent="0.3">
      <c r="A104" s="38" t="s">
        <v>210</v>
      </c>
      <c r="B104" s="30">
        <v>4767.1400242000018</v>
      </c>
      <c r="C104" s="30">
        <v>2243.5880417499998</v>
      </c>
      <c r="D104" s="30">
        <v>2362.2972670200006</v>
      </c>
      <c r="E104" s="30">
        <f t="shared" si="64"/>
        <v>9373.0253329700026</v>
      </c>
      <c r="F104" s="30">
        <v>7559.3724280200013</v>
      </c>
      <c r="G104" s="30">
        <v>4168.3681917900012</v>
      </c>
      <c r="H104" s="30">
        <v>3066.5693146800004</v>
      </c>
      <c r="I104" s="30">
        <f t="shared" si="65"/>
        <v>14794.309934490004</v>
      </c>
      <c r="J104" s="30">
        <f t="shared" si="53"/>
        <v>24167.335267460006</v>
      </c>
      <c r="K104" s="30">
        <v>4468.6843783099985</v>
      </c>
      <c r="L104" s="30">
        <v>5002.5211771100012</v>
      </c>
      <c r="M104" s="30">
        <v>2253.1207762999998</v>
      </c>
      <c r="N104" s="30">
        <f t="shared" si="66"/>
        <v>11724.32633172</v>
      </c>
      <c r="O104" s="30">
        <v>4438.9097722600027</v>
      </c>
      <c r="P104" s="30">
        <v>4944.6510242900004</v>
      </c>
      <c r="Q104" s="30">
        <v>2583.5780919799995</v>
      </c>
      <c r="R104" s="30">
        <f t="shared" si="67"/>
        <v>11967.138888530002</v>
      </c>
      <c r="S104" s="30">
        <f t="shared" si="47"/>
        <v>23691.46522025</v>
      </c>
      <c r="T104" s="30">
        <f>+J104+S104</f>
        <v>47858.800487710003</v>
      </c>
      <c r="U104" s="28">
        <f t="shared" si="48"/>
        <v>47858.800487710017</v>
      </c>
      <c r="V104" s="28">
        <f t="shared" si="49"/>
        <v>0</v>
      </c>
    </row>
    <row r="105" spans="1:37" x14ac:dyDescent="0.3">
      <c r="U105" s="28">
        <f t="shared" si="48"/>
        <v>0</v>
      </c>
      <c r="V105" s="28">
        <f t="shared" si="49"/>
        <v>0</v>
      </c>
    </row>
    <row r="106" spans="1:37" s="37" customFormat="1" x14ac:dyDescent="0.3">
      <c r="A106" s="37" t="s">
        <v>100</v>
      </c>
      <c r="B106" s="27">
        <f>SUM(B107:B113)</f>
        <v>1575.1140232299997</v>
      </c>
      <c r="C106" s="27">
        <f t="shared" ref="C106:T106" si="69">SUM(C107:C113)</f>
        <v>963.71054085000003</v>
      </c>
      <c r="D106" s="27">
        <f t="shared" si="69"/>
        <v>1201.5793110269999</v>
      </c>
      <c r="E106" s="27">
        <f t="shared" si="69"/>
        <v>3740.4038751069997</v>
      </c>
      <c r="F106" s="27">
        <f t="shared" si="69"/>
        <v>1946.9301958430005</v>
      </c>
      <c r="G106" s="27">
        <f t="shared" si="69"/>
        <v>1444.6480615299997</v>
      </c>
      <c r="H106" s="27">
        <f t="shared" si="69"/>
        <v>1384.1620750499997</v>
      </c>
      <c r="I106" s="27">
        <f t="shared" si="69"/>
        <v>4775.7403324230008</v>
      </c>
      <c r="J106" s="27">
        <f t="shared" si="69"/>
        <v>8516.1442075300001</v>
      </c>
      <c r="K106" s="27">
        <f t="shared" si="69"/>
        <v>1561.7370185299992</v>
      </c>
      <c r="L106" s="27">
        <f t="shared" si="69"/>
        <v>1125.34015258</v>
      </c>
      <c r="M106" s="27">
        <f t="shared" si="69"/>
        <v>1094.5116120600001</v>
      </c>
      <c r="N106" s="27">
        <f t="shared" si="69"/>
        <v>3781.5887831699993</v>
      </c>
      <c r="O106" s="27">
        <f t="shared" si="69"/>
        <v>1457.131304869999</v>
      </c>
      <c r="P106" s="27">
        <f t="shared" si="69"/>
        <v>1053.23774998</v>
      </c>
      <c r="Q106" s="27">
        <f t="shared" si="69"/>
        <v>1146.9201966400003</v>
      </c>
      <c r="R106" s="27">
        <f t="shared" si="69"/>
        <v>3657.2892514899991</v>
      </c>
      <c r="S106" s="27">
        <f t="shared" si="69"/>
        <v>7438.8780346599988</v>
      </c>
      <c r="T106" s="27">
        <f t="shared" si="69"/>
        <v>15955.022242189998</v>
      </c>
      <c r="U106" s="28">
        <f t="shared" si="48"/>
        <v>15955.022242189998</v>
      </c>
      <c r="V106" s="28">
        <f t="shared" si="49"/>
        <v>0</v>
      </c>
      <c r="W106" s="27"/>
      <c r="X106" s="27"/>
      <c r="Y106" s="27"/>
      <c r="Z106" s="27"/>
      <c r="AA106" s="27"/>
      <c r="AB106" s="27"/>
      <c r="AC106" s="27"/>
      <c r="AD106" s="27"/>
      <c r="AE106" s="27"/>
      <c r="AF106" s="27"/>
      <c r="AG106" s="27"/>
      <c r="AH106" s="27"/>
      <c r="AI106" s="27"/>
      <c r="AJ106" s="27"/>
      <c r="AK106" s="27"/>
    </row>
    <row r="107" spans="1:37" x14ac:dyDescent="0.3">
      <c r="A107" s="33" t="s">
        <v>211</v>
      </c>
      <c r="B107" s="56">
        <v>732.00193826999953</v>
      </c>
      <c r="C107" s="56">
        <v>384.11989563999998</v>
      </c>
      <c r="D107" s="56">
        <v>535.22788488699996</v>
      </c>
      <c r="E107" s="56">
        <f t="shared" si="64"/>
        <v>1651.3497187969997</v>
      </c>
      <c r="F107" s="56">
        <v>767.01994654300074</v>
      </c>
      <c r="G107" s="56">
        <v>654.25196737999988</v>
      </c>
      <c r="H107" s="56">
        <v>609.38911707999989</v>
      </c>
      <c r="I107" s="56">
        <f t="shared" si="65"/>
        <v>2030.6610310030005</v>
      </c>
      <c r="J107" s="56">
        <f t="shared" si="53"/>
        <v>3682.0107498000002</v>
      </c>
      <c r="K107" s="56">
        <v>620.22787740999968</v>
      </c>
      <c r="L107" s="56">
        <v>414.09028609000001</v>
      </c>
      <c r="M107" s="56">
        <v>468.27235317999993</v>
      </c>
      <c r="N107" s="56">
        <f t="shared" si="66"/>
        <v>1502.5905166799996</v>
      </c>
      <c r="O107" s="56">
        <v>603.89294285000005</v>
      </c>
      <c r="P107" s="56">
        <v>420.72077751</v>
      </c>
      <c r="Q107" s="56">
        <v>437.34065585000013</v>
      </c>
      <c r="R107" s="56">
        <f t="shared" si="67"/>
        <v>1461.9543762100002</v>
      </c>
      <c r="S107" s="56">
        <f t="shared" si="47"/>
        <v>2964.5448928899996</v>
      </c>
      <c r="T107" s="56">
        <f>+J107+S107</f>
        <v>6646.5556426900002</v>
      </c>
      <c r="U107" s="28">
        <f t="shared" si="48"/>
        <v>6646.5556426899993</v>
      </c>
      <c r="V107" s="28">
        <f t="shared" si="49"/>
        <v>0</v>
      </c>
    </row>
    <row r="108" spans="1:37" ht="16.5" x14ac:dyDescent="0.3">
      <c r="A108" s="33" t="s">
        <v>212</v>
      </c>
      <c r="B108" s="56"/>
      <c r="C108" s="56"/>
      <c r="D108" s="56"/>
      <c r="E108" s="56"/>
      <c r="F108" s="56"/>
      <c r="G108" s="56"/>
      <c r="H108" s="56"/>
      <c r="I108" s="56"/>
      <c r="J108" s="56"/>
      <c r="K108" s="56"/>
      <c r="L108" s="56"/>
      <c r="M108" s="56"/>
      <c r="N108" s="56"/>
      <c r="O108" s="56"/>
      <c r="P108" s="56"/>
      <c r="Q108" s="56"/>
      <c r="R108" s="56"/>
      <c r="S108" s="56"/>
      <c r="T108" s="56"/>
      <c r="U108" s="28">
        <f t="shared" si="48"/>
        <v>0</v>
      </c>
      <c r="V108" s="28">
        <f t="shared" si="49"/>
        <v>0</v>
      </c>
    </row>
    <row r="109" spans="1:37" ht="14.25" customHeight="1" x14ac:dyDescent="0.3">
      <c r="A109" s="33" t="s">
        <v>101</v>
      </c>
      <c r="B109" s="30">
        <v>92.928894579999948</v>
      </c>
      <c r="C109" s="30">
        <v>87.441532039999998</v>
      </c>
      <c r="D109" s="30">
        <v>105.35672006</v>
      </c>
      <c r="E109" s="30">
        <f t="shared" si="64"/>
        <v>285.72714667999992</v>
      </c>
      <c r="F109" s="30">
        <v>158.25498040000008</v>
      </c>
      <c r="G109" s="30">
        <v>94.087975239999977</v>
      </c>
      <c r="H109" s="30">
        <v>124.46004961</v>
      </c>
      <c r="I109" s="30">
        <f t="shared" si="65"/>
        <v>376.80300525000007</v>
      </c>
      <c r="J109" s="30">
        <f t="shared" si="53"/>
        <v>662.53015192999999</v>
      </c>
      <c r="K109" s="30">
        <v>122.35325513000001</v>
      </c>
      <c r="L109" s="30">
        <v>94.648009290000005</v>
      </c>
      <c r="M109" s="30">
        <v>92.273866099999992</v>
      </c>
      <c r="N109" s="30">
        <f t="shared" si="66"/>
        <v>309.27513052</v>
      </c>
      <c r="O109" s="30">
        <v>105.95387066999999</v>
      </c>
      <c r="P109" s="30">
        <v>81.327832959999995</v>
      </c>
      <c r="Q109" s="30">
        <v>88.202526090000006</v>
      </c>
      <c r="R109" s="30">
        <f t="shared" si="67"/>
        <v>275.48422971999997</v>
      </c>
      <c r="S109" s="30">
        <f t="shared" si="47"/>
        <v>584.75936023999998</v>
      </c>
      <c r="T109" s="30">
        <f>+J109+S109</f>
        <v>1247.2895121699999</v>
      </c>
      <c r="U109" s="28">
        <f t="shared" si="48"/>
        <v>1247.2895121699999</v>
      </c>
      <c r="V109" s="28">
        <f t="shared" si="49"/>
        <v>0</v>
      </c>
    </row>
    <row r="110" spans="1:37" ht="16.5" customHeight="1" x14ac:dyDescent="0.3">
      <c r="A110" s="33" t="s">
        <v>213</v>
      </c>
      <c r="B110" s="30">
        <v>346.60663426999997</v>
      </c>
      <c r="C110" s="30">
        <v>236.20026150999996</v>
      </c>
      <c r="D110" s="30">
        <v>223.16435230999997</v>
      </c>
      <c r="E110" s="30">
        <f t="shared" si="64"/>
        <v>805.97124808999979</v>
      </c>
      <c r="F110" s="30">
        <v>526.0679400299997</v>
      </c>
      <c r="G110" s="30">
        <v>365.52738347000002</v>
      </c>
      <c r="H110" s="30">
        <v>258.27603022</v>
      </c>
      <c r="I110" s="30">
        <f t="shared" si="65"/>
        <v>1149.8713537199997</v>
      </c>
      <c r="J110" s="30">
        <f t="shared" si="53"/>
        <v>1955.8426018099995</v>
      </c>
      <c r="K110" s="30">
        <v>435.06674869999978</v>
      </c>
      <c r="L110" s="30">
        <v>284.89693144000006</v>
      </c>
      <c r="M110" s="30">
        <v>219.6039036899999</v>
      </c>
      <c r="N110" s="30">
        <f t="shared" si="66"/>
        <v>939.56758382999976</v>
      </c>
      <c r="O110" s="30">
        <v>375.63244474999885</v>
      </c>
      <c r="P110" s="30">
        <v>281.33873381000006</v>
      </c>
      <c r="Q110" s="30">
        <v>252.72103081000003</v>
      </c>
      <c r="R110" s="30">
        <f t="shared" si="67"/>
        <v>909.69220936999886</v>
      </c>
      <c r="S110" s="30">
        <f t="shared" si="47"/>
        <v>1849.2597931999985</v>
      </c>
      <c r="T110" s="30">
        <f>+J110+S110</f>
        <v>3805.102395009998</v>
      </c>
      <c r="U110" s="28">
        <f t="shared" si="48"/>
        <v>3805.102395009998</v>
      </c>
      <c r="V110" s="28">
        <f t="shared" si="49"/>
        <v>0</v>
      </c>
    </row>
    <row r="111" spans="1:37" x14ac:dyDescent="0.3">
      <c r="A111" s="33" t="s">
        <v>103</v>
      </c>
      <c r="B111" s="30">
        <v>116.25736236999994</v>
      </c>
      <c r="C111" s="30">
        <v>83.511871849999991</v>
      </c>
      <c r="D111" s="30">
        <v>94.783651819999989</v>
      </c>
      <c r="E111" s="30">
        <f t="shared" si="64"/>
        <v>294.55288603999992</v>
      </c>
      <c r="F111" s="30">
        <v>142.12805235000002</v>
      </c>
      <c r="G111" s="30">
        <v>97.947359139999961</v>
      </c>
      <c r="H111" s="30">
        <v>131.00120686</v>
      </c>
      <c r="I111" s="30">
        <f t="shared" si="65"/>
        <v>371.07661834999999</v>
      </c>
      <c r="J111" s="30">
        <f t="shared" si="53"/>
        <v>665.62950438999997</v>
      </c>
      <c r="K111" s="30">
        <v>106.30767383</v>
      </c>
      <c r="L111" s="30">
        <v>108.36593691</v>
      </c>
      <c r="M111" s="30">
        <v>129.10164327000004</v>
      </c>
      <c r="N111" s="30">
        <f t="shared" si="66"/>
        <v>343.77525401000003</v>
      </c>
      <c r="O111" s="30">
        <v>107.23730353999997</v>
      </c>
      <c r="P111" s="30">
        <v>94.535883700000014</v>
      </c>
      <c r="Q111" s="30">
        <v>125.64944466</v>
      </c>
      <c r="R111" s="30">
        <f t="shared" si="67"/>
        <v>327.42263189999994</v>
      </c>
      <c r="S111" s="30">
        <f t="shared" si="47"/>
        <v>671.19788590999997</v>
      </c>
      <c r="T111" s="30">
        <f>+J111+S111</f>
        <v>1336.8273902999999</v>
      </c>
      <c r="U111" s="28">
        <f t="shared" si="48"/>
        <v>1336.8273903000002</v>
      </c>
      <c r="V111" s="28">
        <f t="shared" si="49"/>
        <v>0</v>
      </c>
    </row>
    <row r="112" spans="1:37" x14ac:dyDescent="0.3">
      <c r="A112" s="33" t="s">
        <v>104</v>
      </c>
      <c r="B112" s="30">
        <v>179.78672029000006</v>
      </c>
      <c r="C112" s="30">
        <v>109.52432390999998</v>
      </c>
      <c r="D112" s="30">
        <v>141.36349134999998</v>
      </c>
      <c r="E112" s="30">
        <f t="shared" si="64"/>
        <v>430.67453554999997</v>
      </c>
      <c r="F112" s="30">
        <v>189.16879795999998</v>
      </c>
      <c r="G112" s="30">
        <v>133.57158989999999</v>
      </c>
      <c r="H112" s="30">
        <v>156.41809167</v>
      </c>
      <c r="I112" s="30">
        <f t="shared" si="65"/>
        <v>479.15847952999991</v>
      </c>
      <c r="J112" s="30">
        <f t="shared" si="53"/>
        <v>909.83301507999988</v>
      </c>
      <c r="K112" s="30">
        <v>164.60338977000004</v>
      </c>
      <c r="L112" s="30">
        <v>117.83357887000003</v>
      </c>
      <c r="M112" s="30">
        <v>110.62940104</v>
      </c>
      <c r="N112" s="30">
        <f t="shared" si="66"/>
        <v>393.06636968000004</v>
      </c>
      <c r="O112" s="30">
        <v>154.34338565000004</v>
      </c>
      <c r="P112" s="30">
        <v>83.719182560000007</v>
      </c>
      <c r="Q112" s="30">
        <v>155.53405991</v>
      </c>
      <c r="R112" s="30">
        <f t="shared" si="67"/>
        <v>393.59662812000005</v>
      </c>
      <c r="S112" s="30">
        <f t="shared" si="47"/>
        <v>786.66299780000008</v>
      </c>
      <c r="T112" s="30">
        <f>+J112+S112</f>
        <v>1696.4960128799999</v>
      </c>
      <c r="U112" s="28">
        <f t="shared" si="48"/>
        <v>1696.4960128800003</v>
      </c>
      <c r="V112" s="28">
        <f t="shared" si="49"/>
        <v>0</v>
      </c>
    </row>
    <row r="113" spans="1:37" x14ac:dyDescent="0.3">
      <c r="A113" s="33" t="s">
        <v>105</v>
      </c>
      <c r="B113" s="30">
        <v>107.53247345000018</v>
      </c>
      <c r="C113" s="30">
        <v>62.912655900000004</v>
      </c>
      <c r="D113" s="30">
        <v>101.6832106</v>
      </c>
      <c r="E113" s="30">
        <f t="shared" si="64"/>
        <v>272.12833995000017</v>
      </c>
      <c r="F113" s="30">
        <v>164.29047856</v>
      </c>
      <c r="G113" s="30">
        <v>99.261786400000005</v>
      </c>
      <c r="H113" s="30">
        <v>104.61757960999998</v>
      </c>
      <c r="I113" s="30">
        <f t="shared" si="65"/>
        <v>368.16984457000001</v>
      </c>
      <c r="J113" s="30">
        <f t="shared" si="53"/>
        <v>640.29818452000018</v>
      </c>
      <c r="K113" s="30">
        <v>113.17807369000003</v>
      </c>
      <c r="L113" s="30">
        <v>105.50540998</v>
      </c>
      <c r="M113" s="30">
        <v>74.630444780000005</v>
      </c>
      <c r="N113" s="30">
        <f t="shared" si="66"/>
        <v>293.31392845000005</v>
      </c>
      <c r="O113" s="30">
        <v>110.07135741000013</v>
      </c>
      <c r="P113" s="30">
        <v>91.595339440000004</v>
      </c>
      <c r="Q113" s="30">
        <v>87.472479320000005</v>
      </c>
      <c r="R113" s="30">
        <f t="shared" si="67"/>
        <v>289.13917617000016</v>
      </c>
      <c r="S113" s="30">
        <f t="shared" si="47"/>
        <v>582.4531046200002</v>
      </c>
      <c r="T113" s="30">
        <f>+J113+S113</f>
        <v>1222.7512891400004</v>
      </c>
      <c r="U113" s="28">
        <f t="shared" si="48"/>
        <v>1222.7512891400006</v>
      </c>
      <c r="V113" s="28">
        <f t="shared" si="49"/>
        <v>0</v>
      </c>
    </row>
    <row r="114" spans="1:37" x14ac:dyDescent="0.3">
      <c r="U114" s="28">
        <f t="shared" si="48"/>
        <v>0</v>
      </c>
      <c r="V114" s="28">
        <f t="shared" si="49"/>
        <v>0</v>
      </c>
    </row>
    <row r="115" spans="1:37" s="37" customFormat="1" x14ac:dyDescent="0.3">
      <c r="A115" s="37" t="s">
        <v>107</v>
      </c>
      <c r="B115" s="27">
        <f>SUM(B116:B120)</f>
        <v>1151.6861902599996</v>
      </c>
      <c r="C115" s="27">
        <f t="shared" ref="C115:T115" si="70">SUM(C116:C120)</f>
        <v>586.16746979999994</v>
      </c>
      <c r="D115" s="27">
        <f t="shared" si="70"/>
        <v>715.34948891999989</v>
      </c>
      <c r="E115" s="27">
        <f t="shared" si="70"/>
        <v>2453.2031489799997</v>
      </c>
      <c r="F115" s="27">
        <f t="shared" si="70"/>
        <v>1210.79145771</v>
      </c>
      <c r="G115" s="27">
        <f t="shared" si="70"/>
        <v>822.60846186000015</v>
      </c>
      <c r="H115" s="27">
        <f t="shared" si="70"/>
        <v>877.19579248000002</v>
      </c>
      <c r="I115" s="27">
        <f t="shared" si="70"/>
        <v>2910.5957120500007</v>
      </c>
      <c r="J115" s="27">
        <f t="shared" si="70"/>
        <v>5363.7988610299999</v>
      </c>
      <c r="K115" s="27">
        <f t="shared" si="70"/>
        <v>1059.8588050100002</v>
      </c>
      <c r="L115" s="27">
        <f t="shared" si="70"/>
        <v>815.40029947000016</v>
      </c>
      <c r="M115" s="27">
        <f t="shared" si="70"/>
        <v>728.70545162999974</v>
      </c>
      <c r="N115" s="27">
        <f t="shared" si="70"/>
        <v>2603.9645561100001</v>
      </c>
      <c r="O115" s="27">
        <f t="shared" si="70"/>
        <v>997.43142845999978</v>
      </c>
      <c r="P115" s="27">
        <f t="shared" si="70"/>
        <v>818.27663044999986</v>
      </c>
      <c r="Q115" s="27">
        <f t="shared" si="70"/>
        <v>1039.3840442000003</v>
      </c>
      <c r="R115" s="27">
        <f t="shared" si="70"/>
        <v>2855.0921031099997</v>
      </c>
      <c r="S115" s="27">
        <f t="shared" si="70"/>
        <v>5459.0566592200003</v>
      </c>
      <c r="T115" s="27">
        <f t="shared" si="70"/>
        <v>10822.855520249999</v>
      </c>
      <c r="U115" s="28">
        <f t="shared" si="48"/>
        <v>10822.855520249999</v>
      </c>
      <c r="V115" s="28">
        <f t="shared" si="49"/>
        <v>0</v>
      </c>
      <c r="W115" s="27"/>
      <c r="X115" s="27"/>
      <c r="Y115" s="27"/>
      <c r="Z115" s="27"/>
      <c r="AA115" s="27"/>
      <c r="AB115" s="27"/>
      <c r="AC115" s="27"/>
      <c r="AD115" s="27"/>
      <c r="AE115" s="27"/>
      <c r="AF115" s="27"/>
      <c r="AG115" s="27"/>
      <c r="AH115" s="27"/>
      <c r="AI115" s="27"/>
      <c r="AJ115" s="27"/>
      <c r="AK115" s="27"/>
    </row>
    <row r="116" spans="1:37" x14ac:dyDescent="0.3">
      <c r="A116" s="33" t="s">
        <v>139</v>
      </c>
      <c r="B116" s="30">
        <v>33.705290060000003</v>
      </c>
      <c r="C116" s="30">
        <v>27.137944079999997</v>
      </c>
      <c r="D116" s="30">
        <v>36.811960970000008</v>
      </c>
      <c r="E116" s="30">
        <f t="shared" si="64"/>
        <v>97.655195110000008</v>
      </c>
      <c r="F116" s="30">
        <v>50.48175844</v>
      </c>
      <c r="G116" s="30">
        <v>38.955077269999997</v>
      </c>
      <c r="H116" s="30">
        <v>9.0154218700000008</v>
      </c>
      <c r="I116" s="30">
        <f t="shared" si="65"/>
        <v>98.452257579999994</v>
      </c>
      <c r="J116" s="30">
        <f t="shared" si="53"/>
        <v>196.10745269</v>
      </c>
      <c r="K116" s="30">
        <v>53.832193350000011</v>
      </c>
      <c r="L116" s="30">
        <v>42.10430963000001</v>
      </c>
      <c r="M116" s="30">
        <v>28.157514980000002</v>
      </c>
      <c r="N116" s="30">
        <f t="shared" si="66"/>
        <v>124.09401796000003</v>
      </c>
      <c r="O116" s="30">
        <v>36.954786510000012</v>
      </c>
      <c r="P116" s="30">
        <v>25.42460771</v>
      </c>
      <c r="Q116" s="30">
        <v>60.674269769999967</v>
      </c>
      <c r="R116" s="30">
        <f t="shared" si="67"/>
        <v>123.05366398999998</v>
      </c>
      <c r="S116" s="30">
        <f t="shared" si="47"/>
        <v>247.14768194999999</v>
      </c>
      <c r="T116" s="30">
        <f t="shared" ref="T116:T120" si="71">+J116+S116</f>
        <v>443.25513463999999</v>
      </c>
      <c r="U116" s="28">
        <f t="shared" si="48"/>
        <v>443.25513463999999</v>
      </c>
      <c r="V116" s="28">
        <f t="shared" si="49"/>
        <v>0</v>
      </c>
    </row>
    <row r="117" spans="1:37" x14ac:dyDescent="0.3">
      <c r="A117" s="33" t="s">
        <v>108</v>
      </c>
      <c r="B117" s="30">
        <v>264.65717735000021</v>
      </c>
      <c r="C117" s="30">
        <v>147.91768610999995</v>
      </c>
      <c r="D117" s="30">
        <v>146.56591999999995</v>
      </c>
      <c r="E117" s="30">
        <f t="shared" si="64"/>
        <v>559.14078346000019</v>
      </c>
      <c r="F117" s="30">
        <v>316.22074588000015</v>
      </c>
      <c r="G117" s="30">
        <v>203.32037122000003</v>
      </c>
      <c r="H117" s="30">
        <v>203.24530919999995</v>
      </c>
      <c r="I117" s="30">
        <f t="shared" si="65"/>
        <v>722.78642630000013</v>
      </c>
      <c r="J117" s="30">
        <f t="shared" si="53"/>
        <v>1281.9272097600003</v>
      </c>
      <c r="K117" s="30">
        <v>310.13554569000013</v>
      </c>
      <c r="L117" s="30">
        <v>174.43988829</v>
      </c>
      <c r="M117" s="30">
        <v>178.60437874999997</v>
      </c>
      <c r="N117" s="30">
        <f t="shared" si="66"/>
        <v>663.17981273000009</v>
      </c>
      <c r="O117" s="30">
        <v>267.18684470999949</v>
      </c>
      <c r="P117" s="30">
        <v>203.04481166999994</v>
      </c>
      <c r="Q117" s="30">
        <v>268.54621868000021</v>
      </c>
      <c r="R117" s="30">
        <f t="shared" si="67"/>
        <v>738.77787505999959</v>
      </c>
      <c r="S117" s="30">
        <f t="shared" si="47"/>
        <v>1401.9576877899997</v>
      </c>
      <c r="T117" s="30">
        <f t="shared" si="71"/>
        <v>2683.88489755</v>
      </c>
      <c r="U117" s="28">
        <f t="shared" si="48"/>
        <v>2683.8848975499996</v>
      </c>
      <c r="V117" s="28">
        <f t="shared" si="49"/>
        <v>0</v>
      </c>
    </row>
    <row r="118" spans="1:37" x14ac:dyDescent="0.3">
      <c r="A118" s="33" t="s">
        <v>109</v>
      </c>
      <c r="B118" s="30">
        <v>303.33589695999979</v>
      </c>
      <c r="C118" s="30">
        <v>126.59693467000001</v>
      </c>
      <c r="D118" s="30">
        <v>173.00058014999996</v>
      </c>
      <c r="E118" s="30">
        <f t="shared" si="64"/>
        <v>602.93341177999969</v>
      </c>
      <c r="F118" s="30">
        <v>232.67949051999994</v>
      </c>
      <c r="G118" s="30">
        <v>195.4618504200001</v>
      </c>
      <c r="H118" s="30">
        <v>174.58250741999993</v>
      </c>
      <c r="I118" s="30">
        <f t="shared" si="65"/>
        <v>602.72384836000003</v>
      </c>
      <c r="J118" s="30">
        <f t="shared" si="53"/>
        <v>1205.6572601399998</v>
      </c>
      <c r="K118" s="30">
        <v>223.02399921999998</v>
      </c>
      <c r="L118" s="30">
        <v>176.31029170000002</v>
      </c>
      <c r="M118" s="30">
        <v>185.09102585999995</v>
      </c>
      <c r="N118" s="30">
        <f t="shared" si="66"/>
        <v>584.42531678</v>
      </c>
      <c r="O118" s="30">
        <v>225.65704696999984</v>
      </c>
      <c r="P118" s="30">
        <v>206.14035197000001</v>
      </c>
      <c r="Q118" s="30">
        <v>258.82730318000006</v>
      </c>
      <c r="R118" s="30">
        <f t="shared" si="67"/>
        <v>690.62470211999994</v>
      </c>
      <c r="S118" s="30">
        <f t="shared" si="47"/>
        <v>1275.0500188999999</v>
      </c>
      <c r="T118" s="30">
        <f t="shared" si="71"/>
        <v>2480.7072790399998</v>
      </c>
      <c r="U118" s="28">
        <f t="shared" si="48"/>
        <v>2480.7072790399993</v>
      </c>
      <c r="V118" s="28">
        <f t="shared" si="49"/>
        <v>0</v>
      </c>
    </row>
    <row r="119" spans="1:37" x14ac:dyDescent="0.3">
      <c r="A119" s="33" t="s">
        <v>110</v>
      </c>
      <c r="B119" s="30">
        <v>77.39967396000003</v>
      </c>
      <c r="C119" s="30">
        <v>43.165876220000001</v>
      </c>
      <c r="D119" s="30">
        <v>75.361631610000018</v>
      </c>
      <c r="E119" s="30">
        <f t="shared" si="64"/>
        <v>195.92718179000005</v>
      </c>
      <c r="F119" s="30">
        <v>107.27068763000003</v>
      </c>
      <c r="G119" s="30">
        <v>80.12755181</v>
      </c>
      <c r="H119" s="30">
        <v>93.038790450000008</v>
      </c>
      <c r="I119" s="30">
        <f t="shared" si="65"/>
        <v>280.43702989000002</v>
      </c>
      <c r="J119" s="30">
        <f t="shared" si="53"/>
        <v>476.36421168000004</v>
      </c>
      <c r="K119" s="30">
        <v>56.012498300000011</v>
      </c>
      <c r="L119" s="30">
        <v>70.92316412000001</v>
      </c>
      <c r="M119" s="30">
        <v>87.649262159999978</v>
      </c>
      <c r="N119" s="30">
        <f t="shared" si="66"/>
        <v>214.58492458000001</v>
      </c>
      <c r="O119" s="30">
        <v>71.923551669999895</v>
      </c>
      <c r="P119" s="30">
        <v>61.562953469999989</v>
      </c>
      <c r="Q119" s="30">
        <v>134.39585111999997</v>
      </c>
      <c r="R119" s="30">
        <f t="shared" si="67"/>
        <v>267.88235625999982</v>
      </c>
      <c r="S119" s="30">
        <f t="shared" si="47"/>
        <v>482.46728083999983</v>
      </c>
      <c r="T119" s="30">
        <f t="shared" si="71"/>
        <v>958.83149251999987</v>
      </c>
      <c r="U119" s="28">
        <f t="shared" si="48"/>
        <v>958.8314925200001</v>
      </c>
      <c r="V119" s="28">
        <f t="shared" si="49"/>
        <v>0</v>
      </c>
    </row>
    <row r="120" spans="1:37" x14ac:dyDescent="0.3">
      <c r="A120" s="33" t="s">
        <v>112</v>
      </c>
      <c r="B120" s="30">
        <v>472.58815192999964</v>
      </c>
      <c r="C120" s="30">
        <v>241.34902871999998</v>
      </c>
      <c r="D120" s="30">
        <v>283.60939619000004</v>
      </c>
      <c r="E120" s="30">
        <f t="shared" si="64"/>
        <v>997.54657683999972</v>
      </c>
      <c r="F120" s="30">
        <v>504.13877524000003</v>
      </c>
      <c r="G120" s="30">
        <v>304.74361113999998</v>
      </c>
      <c r="H120" s="30">
        <v>397.31376354000014</v>
      </c>
      <c r="I120" s="30">
        <f t="shared" si="65"/>
        <v>1206.1961499200002</v>
      </c>
      <c r="J120" s="30">
        <f t="shared" si="53"/>
        <v>2203.7427267599996</v>
      </c>
      <c r="K120" s="30">
        <v>416.85456844999993</v>
      </c>
      <c r="L120" s="30">
        <v>351.6226457300001</v>
      </c>
      <c r="M120" s="30">
        <v>249.20326987999988</v>
      </c>
      <c r="N120" s="30">
        <f t="shared" si="66"/>
        <v>1017.6804840599999</v>
      </c>
      <c r="O120" s="30">
        <v>395.70919860000049</v>
      </c>
      <c r="P120" s="30">
        <v>322.10390562999999</v>
      </c>
      <c r="Q120" s="30">
        <v>316.94040145000002</v>
      </c>
      <c r="R120" s="30">
        <f t="shared" si="67"/>
        <v>1034.7535056800004</v>
      </c>
      <c r="S120" s="30">
        <f t="shared" si="47"/>
        <v>2052.4339897400005</v>
      </c>
      <c r="T120" s="30">
        <f t="shared" si="71"/>
        <v>4256.1767165000001</v>
      </c>
      <c r="U120" s="28">
        <f t="shared" si="48"/>
        <v>4256.1767165000001</v>
      </c>
      <c r="V120" s="28">
        <f t="shared" si="49"/>
        <v>0</v>
      </c>
    </row>
    <row r="121" spans="1:37" x14ac:dyDescent="0.3">
      <c r="U121" s="28">
        <f t="shared" si="48"/>
        <v>0</v>
      </c>
      <c r="V121" s="28">
        <f t="shared" si="49"/>
        <v>0</v>
      </c>
    </row>
    <row r="122" spans="1:37" s="37" customFormat="1" x14ac:dyDescent="0.3">
      <c r="A122" s="37" t="s">
        <v>113</v>
      </c>
      <c r="B122" s="27">
        <f>SUM(B123:B129)</f>
        <v>2118.8646112250012</v>
      </c>
      <c r="C122" s="27">
        <f t="shared" ref="C122:T122" si="72">SUM(C123:C129)</f>
        <v>1143.5230752400003</v>
      </c>
      <c r="D122" s="27">
        <f t="shared" si="72"/>
        <v>1486.2310316799999</v>
      </c>
      <c r="E122" s="27">
        <f t="shared" si="72"/>
        <v>4748.6187181450005</v>
      </c>
      <c r="F122" s="27">
        <f t="shared" si="72"/>
        <v>2315.1830587599989</v>
      </c>
      <c r="G122" s="27">
        <f t="shared" si="72"/>
        <v>1294.2799538999998</v>
      </c>
      <c r="H122" s="27">
        <f t="shared" si="72"/>
        <v>1957.0193448800003</v>
      </c>
      <c r="I122" s="27">
        <f t="shared" si="72"/>
        <v>5566.4823575399996</v>
      </c>
      <c r="J122" s="27">
        <f t="shared" si="72"/>
        <v>10315.101075684999</v>
      </c>
      <c r="K122" s="27">
        <f t="shared" si="72"/>
        <v>1991.0322889500007</v>
      </c>
      <c r="L122" s="27">
        <f t="shared" si="72"/>
        <v>1405.6457935400003</v>
      </c>
      <c r="M122" s="27">
        <f t="shared" si="72"/>
        <v>1324.1677641100002</v>
      </c>
      <c r="N122" s="27">
        <f t="shared" si="72"/>
        <v>4720.8458466000011</v>
      </c>
      <c r="O122" s="27">
        <f t="shared" si="72"/>
        <v>1788.5680010199981</v>
      </c>
      <c r="P122" s="27">
        <f t="shared" si="72"/>
        <v>1407.0463612500002</v>
      </c>
      <c r="Q122" s="27">
        <f t="shared" si="72"/>
        <v>1391.1755128699997</v>
      </c>
      <c r="R122" s="27">
        <f t="shared" si="72"/>
        <v>4586.789875139998</v>
      </c>
      <c r="S122" s="27">
        <f t="shared" si="72"/>
        <v>9307.63572174</v>
      </c>
      <c r="T122" s="27">
        <f t="shared" si="72"/>
        <v>19622.736797425001</v>
      </c>
      <c r="U122" s="28">
        <f t="shared" si="48"/>
        <v>19622.736797424994</v>
      </c>
      <c r="V122" s="28">
        <f t="shared" si="49"/>
        <v>0</v>
      </c>
      <c r="W122" s="27"/>
      <c r="X122" s="27"/>
      <c r="Y122" s="27"/>
      <c r="Z122" s="27"/>
      <c r="AA122" s="27"/>
      <c r="AB122" s="27"/>
      <c r="AC122" s="27"/>
      <c r="AD122" s="27"/>
      <c r="AE122" s="27"/>
      <c r="AF122" s="27"/>
      <c r="AG122" s="27"/>
      <c r="AH122" s="27"/>
      <c r="AI122" s="27"/>
      <c r="AJ122" s="27"/>
      <c r="AK122" s="27"/>
    </row>
    <row r="123" spans="1:37" x14ac:dyDescent="0.3">
      <c r="A123" s="33" t="s">
        <v>114</v>
      </c>
      <c r="B123" s="30">
        <v>383.42102227000026</v>
      </c>
      <c r="C123" s="30">
        <v>217.37479922</v>
      </c>
      <c r="D123" s="30">
        <v>264.18121609000013</v>
      </c>
      <c r="E123" s="30">
        <f t="shared" si="64"/>
        <v>864.97703758000034</v>
      </c>
      <c r="F123" s="30">
        <v>459.61398974999963</v>
      </c>
      <c r="G123" s="30">
        <v>252.41122194999994</v>
      </c>
      <c r="H123" s="30">
        <v>335.00475311000002</v>
      </c>
      <c r="I123" s="30">
        <f t="shared" si="65"/>
        <v>1047.0299648099995</v>
      </c>
      <c r="J123" s="30">
        <f t="shared" si="53"/>
        <v>1912.0070023899998</v>
      </c>
      <c r="K123" s="30">
        <v>348.07208701000019</v>
      </c>
      <c r="L123" s="30">
        <v>263.80956459999999</v>
      </c>
      <c r="M123" s="30">
        <v>232.87628768999994</v>
      </c>
      <c r="N123" s="30">
        <f t="shared" si="66"/>
        <v>844.75793930000009</v>
      </c>
      <c r="O123" s="30">
        <v>343.65042875999973</v>
      </c>
      <c r="P123" s="30">
        <v>293.06586383000013</v>
      </c>
      <c r="Q123" s="30">
        <v>282.9247839599999</v>
      </c>
      <c r="R123" s="30">
        <f t="shared" si="67"/>
        <v>919.64107654999975</v>
      </c>
      <c r="S123" s="30">
        <f t="shared" si="47"/>
        <v>1764.3990158499998</v>
      </c>
      <c r="T123" s="30">
        <f>+J123+S123</f>
        <v>3676.4060182399999</v>
      </c>
      <c r="U123" s="28">
        <f t="shared" si="48"/>
        <v>3676.4060182400003</v>
      </c>
      <c r="V123" s="28">
        <f t="shared" si="49"/>
        <v>0</v>
      </c>
    </row>
    <row r="124" spans="1:37" ht="16.5" x14ac:dyDescent="0.3">
      <c r="A124" s="33" t="s">
        <v>214</v>
      </c>
      <c r="B124" s="56">
        <v>93.643167285000061</v>
      </c>
      <c r="C124" s="56">
        <v>72.26133969</v>
      </c>
      <c r="D124" s="56">
        <v>98.428672950000006</v>
      </c>
      <c r="E124" s="56">
        <f t="shared" si="64"/>
        <v>264.33317992500008</v>
      </c>
      <c r="F124" s="56">
        <v>161.14891983999999</v>
      </c>
      <c r="G124" s="56">
        <v>99.546190579999987</v>
      </c>
      <c r="H124" s="56">
        <v>158.55182108000005</v>
      </c>
      <c r="I124" s="56">
        <f t="shared" si="65"/>
        <v>419.24693150000007</v>
      </c>
      <c r="J124" s="56">
        <f t="shared" si="53"/>
        <v>683.58011142500015</v>
      </c>
      <c r="K124" s="56">
        <v>101.03935270000002</v>
      </c>
      <c r="L124" s="56">
        <v>78.739932329999988</v>
      </c>
      <c r="M124" s="56">
        <v>82.971855349999998</v>
      </c>
      <c r="N124" s="56">
        <f t="shared" si="66"/>
        <v>262.75114038000004</v>
      </c>
      <c r="O124" s="56">
        <v>111.13333770999995</v>
      </c>
      <c r="P124" s="56">
        <v>77.317163140000019</v>
      </c>
      <c r="Q124" s="56">
        <v>99.878428159999999</v>
      </c>
      <c r="R124" s="56">
        <f t="shared" si="67"/>
        <v>288.32892900999997</v>
      </c>
      <c r="S124" s="56">
        <f t="shared" si="47"/>
        <v>551.08006939000006</v>
      </c>
      <c r="T124" s="56">
        <f>+J124+S124</f>
        <v>1234.6601808150003</v>
      </c>
      <c r="U124" s="28">
        <f t="shared" si="48"/>
        <v>1234.6601808150003</v>
      </c>
      <c r="V124" s="28">
        <f t="shared" si="49"/>
        <v>0</v>
      </c>
    </row>
    <row r="125" spans="1:37" x14ac:dyDescent="0.3">
      <c r="A125" s="33" t="s">
        <v>215</v>
      </c>
      <c r="B125" s="56"/>
      <c r="C125" s="56"/>
      <c r="D125" s="56"/>
      <c r="E125" s="56"/>
      <c r="F125" s="56"/>
      <c r="G125" s="56"/>
      <c r="H125" s="56"/>
      <c r="I125" s="56"/>
      <c r="J125" s="56"/>
      <c r="K125" s="56"/>
      <c r="L125" s="56"/>
      <c r="M125" s="56"/>
      <c r="N125" s="56"/>
      <c r="O125" s="56"/>
      <c r="P125" s="56"/>
      <c r="Q125" s="56"/>
      <c r="R125" s="56"/>
      <c r="S125" s="56"/>
      <c r="T125" s="56"/>
      <c r="U125" s="28">
        <f t="shared" si="48"/>
        <v>0</v>
      </c>
      <c r="V125" s="28">
        <f t="shared" si="49"/>
        <v>0</v>
      </c>
    </row>
    <row r="126" spans="1:37" ht="16.5" x14ac:dyDescent="0.3">
      <c r="A126" s="33" t="s">
        <v>216</v>
      </c>
      <c r="B126" s="30">
        <v>1111.3522688500004</v>
      </c>
      <c r="C126" s="30">
        <v>578.5328474600002</v>
      </c>
      <c r="D126" s="30">
        <v>813.02083215999983</v>
      </c>
      <c r="E126" s="30">
        <f t="shared" si="64"/>
        <v>2502.9059484700006</v>
      </c>
      <c r="F126" s="30">
        <v>1130.567824669999</v>
      </c>
      <c r="G126" s="30">
        <v>605.56855497999982</v>
      </c>
      <c r="H126" s="30">
        <v>1060.7073381600003</v>
      </c>
      <c r="I126" s="30">
        <f t="shared" si="65"/>
        <v>2796.8437178099994</v>
      </c>
      <c r="J126" s="30">
        <f t="shared" si="53"/>
        <v>5299.7496662800004</v>
      </c>
      <c r="K126" s="30">
        <v>1075.4477375400004</v>
      </c>
      <c r="L126" s="30">
        <v>697.85121011000024</v>
      </c>
      <c r="M126" s="30">
        <v>703.58875172000023</v>
      </c>
      <c r="N126" s="30">
        <f t="shared" si="66"/>
        <v>2476.887699370001</v>
      </c>
      <c r="O126" s="30">
        <v>883.82133260999854</v>
      </c>
      <c r="P126" s="30">
        <v>634.21503491999999</v>
      </c>
      <c r="Q126" s="30">
        <v>692.5029860599999</v>
      </c>
      <c r="R126" s="30">
        <f t="shared" si="67"/>
        <v>2210.5393535899984</v>
      </c>
      <c r="S126" s="30">
        <f t="shared" si="47"/>
        <v>4687.4270529599999</v>
      </c>
      <c r="T126" s="30">
        <f>+J126+S126</f>
        <v>9987.1767192400002</v>
      </c>
      <c r="U126" s="28">
        <f t="shared" si="48"/>
        <v>9987.1767192399984</v>
      </c>
      <c r="V126" s="28">
        <f t="shared" si="49"/>
        <v>0</v>
      </c>
    </row>
    <row r="127" spans="1:37" x14ac:dyDescent="0.3">
      <c r="A127" s="33" t="s">
        <v>217</v>
      </c>
      <c r="B127" s="56">
        <v>275.22670412000014</v>
      </c>
      <c r="C127" s="56">
        <v>139.23102291000001</v>
      </c>
      <c r="D127" s="56">
        <v>155.07518401000004</v>
      </c>
      <c r="E127" s="56">
        <f t="shared" si="64"/>
        <v>569.53291104000016</v>
      </c>
      <c r="F127" s="56">
        <v>319.38788982000017</v>
      </c>
      <c r="G127" s="56">
        <v>190.10471055000005</v>
      </c>
      <c r="H127" s="56">
        <v>201.82071461000007</v>
      </c>
      <c r="I127" s="56">
        <f t="shared" si="65"/>
        <v>711.31331498000031</v>
      </c>
      <c r="J127" s="56">
        <f t="shared" si="53"/>
        <v>1280.8462260200004</v>
      </c>
      <c r="K127" s="56">
        <v>280.56570308000011</v>
      </c>
      <c r="L127" s="56">
        <v>181.23720860000003</v>
      </c>
      <c r="M127" s="56">
        <v>164.37177056000002</v>
      </c>
      <c r="N127" s="56">
        <f t="shared" si="66"/>
        <v>626.17468224000015</v>
      </c>
      <c r="O127" s="56">
        <v>223.97288129000043</v>
      </c>
      <c r="P127" s="56">
        <v>240.81079116000001</v>
      </c>
      <c r="Q127" s="56">
        <v>151.04208720000005</v>
      </c>
      <c r="R127" s="56">
        <f t="shared" si="67"/>
        <v>615.82575965000046</v>
      </c>
      <c r="S127" s="56">
        <f t="shared" si="47"/>
        <v>1242.0004418900007</v>
      </c>
      <c r="T127" s="56">
        <f>+J127+S127</f>
        <v>2522.8466679100011</v>
      </c>
      <c r="U127" s="28">
        <f t="shared" si="48"/>
        <v>2522.8466679100011</v>
      </c>
      <c r="V127" s="28">
        <f t="shared" si="49"/>
        <v>0</v>
      </c>
    </row>
    <row r="128" spans="1:37" x14ac:dyDescent="0.3">
      <c r="A128" s="33" t="s">
        <v>218</v>
      </c>
      <c r="B128" s="56"/>
      <c r="C128" s="56"/>
      <c r="D128" s="56"/>
      <c r="E128" s="56"/>
      <c r="F128" s="56"/>
      <c r="G128" s="56"/>
      <c r="H128" s="56"/>
      <c r="I128" s="56"/>
      <c r="J128" s="56"/>
      <c r="K128" s="56"/>
      <c r="L128" s="56"/>
      <c r="M128" s="56"/>
      <c r="N128" s="56"/>
      <c r="O128" s="56"/>
      <c r="P128" s="56"/>
      <c r="Q128" s="56"/>
      <c r="R128" s="56"/>
      <c r="S128" s="56"/>
      <c r="T128" s="56"/>
      <c r="U128" s="28">
        <f t="shared" si="48"/>
        <v>0</v>
      </c>
      <c r="V128" s="28">
        <f t="shared" si="49"/>
        <v>0</v>
      </c>
    </row>
    <row r="129" spans="1:37" x14ac:dyDescent="0.3">
      <c r="A129" s="33" t="s">
        <v>116</v>
      </c>
      <c r="B129" s="30">
        <v>255.22144870000011</v>
      </c>
      <c r="C129" s="30">
        <v>136.12306596000002</v>
      </c>
      <c r="D129" s="30">
        <v>155.52512646999998</v>
      </c>
      <c r="E129" s="30">
        <f t="shared" si="64"/>
        <v>546.8696411300001</v>
      </c>
      <c r="F129" s="30">
        <v>244.46443468000007</v>
      </c>
      <c r="G129" s="30">
        <v>146.64927584000009</v>
      </c>
      <c r="H129" s="30">
        <v>200.93471792</v>
      </c>
      <c r="I129" s="30">
        <f t="shared" si="65"/>
        <v>592.04842844000018</v>
      </c>
      <c r="J129" s="30">
        <f t="shared" si="53"/>
        <v>1138.9180695700002</v>
      </c>
      <c r="K129" s="30">
        <v>185.90740862000001</v>
      </c>
      <c r="L129" s="30">
        <v>184.00787790000001</v>
      </c>
      <c r="M129" s="30">
        <v>140.35909879000002</v>
      </c>
      <c r="N129" s="30">
        <f t="shared" si="66"/>
        <v>510.27438531000001</v>
      </c>
      <c r="O129" s="30">
        <v>225.99002064999939</v>
      </c>
      <c r="P129" s="30">
        <v>161.63750819999998</v>
      </c>
      <c r="Q129" s="30">
        <v>164.82722749000001</v>
      </c>
      <c r="R129" s="30">
        <f t="shared" si="67"/>
        <v>552.45475633999945</v>
      </c>
      <c r="S129" s="30">
        <f t="shared" si="47"/>
        <v>1062.7291416499995</v>
      </c>
      <c r="T129" s="30">
        <f>+J129+S129</f>
        <v>2201.6472112199999</v>
      </c>
      <c r="U129" s="28">
        <f t="shared" si="48"/>
        <v>2201.6472112199995</v>
      </c>
      <c r="V129" s="28">
        <f t="shared" si="49"/>
        <v>0</v>
      </c>
    </row>
    <row r="130" spans="1:37" x14ac:dyDescent="0.3">
      <c r="U130" s="28">
        <f t="shared" si="48"/>
        <v>0</v>
      </c>
      <c r="V130" s="28">
        <f t="shared" si="49"/>
        <v>0</v>
      </c>
    </row>
    <row r="131" spans="1:37" s="37" customFormat="1" x14ac:dyDescent="0.3">
      <c r="A131" s="37" t="s">
        <v>119</v>
      </c>
      <c r="B131" s="27">
        <f>SUM(B132:B138)</f>
        <v>6258.3549144900026</v>
      </c>
      <c r="C131" s="27">
        <f t="shared" ref="C131:T131" si="73">SUM(C132:C138)</f>
        <v>3139.1934751399995</v>
      </c>
      <c r="D131" s="27">
        <f t="shared" si="73"/>
        <v>2928.3882322700001</v>
      </c>
      <c r="E131" s="27">
        <f t="shared" si="73"/>
        <v>12325.936621900002</v>
      </c>
      <c r="F131" s="27">
        <f t="shared" si="73"/>
        <v>8424.6001160899978</v>
      </c>
      <c r="G131" s="27">
        <f t="shared" si="73"/>
        <v>5179.9142051099989</v>
      </c>
      <c r="H131" s="27">
        <f t="shared" si="73"/>
        <v>3598.9930100499996</v>
      </c>
      <c r="I131" s="27">
        <f t="shared" si="73"/>
        <v>17203.507331249999</v>
      </c>
      <c r="J131" s="27">
        <f t="shared" si="73"/>
        <v>29529.443953149999</v>
      </c>
      <c r="K131" s="27">
        <f t="shared" si="73"/>
        <v>5768.0887028999987</v>
      </c>
      <c r="L131" s="27">
        <f t="shared" si="73"/>
        <v>4840.9338670899997</v>
      </c>
      <c r="M131" s="27">
        <f t="shared" si="73"/>
        <v>3503.246384850001</v>
      </c>
      <c r="N131" s="27">
        <f t="shared" si="73"/>
        <v>14112.268954839998</v>
      </c>
      <c r="O131" s="27">
        <f t="shared" si="73"/>
        <v>5561.4258416700031</v>
      </c>
      <c r="P131" s="27">
        <f t="shared" si="73"/>
        <v>5662.633612579999</v>
      </c>
      <c r="Q131" s="27">
        <f t="shared" si="73"/>
        <v>3287.4845614599994</v>
      </c>
      <c r="R131" s="27">
        <f t="shared" si="73"/>
        <v>14511.544015710002</v>
      </c>
      <c r="S131" s="27">
        <f t="shared" si="73"/>
        <v>28623.81297055</v>
      </c>
      <c r="T131" s="27">
        <f t="shared" si="73"/>
        <v>58153.256923699999</v>
      </c>
      <c r="U131" s="28">
        <f t="shared" si="48"/>
        <v>58153.256923700006</v>
      </c>
      <c r="V131" s="28">
        <f t="shared" si="49"/>
        <v>0</v>
      </c>
      <c r="W131" s="27"/>
      <c r="X131" s="27"/>
      <c r="Y131" s="27"/>
      <c r="Z131" s="27"/>
      <c r="AA131" s="27"/>
      <c r="AB131" s="27"/>
      <c r="AC131" s="27"/>
      <c r="AD131" s="27"/>
      <c r="AE131" s="27"/>
      <c r="AF131" s="27"/>
      <c r="AG131" s="27"/>
      <c r="AH131" s="27"/>
      <c r="AI131" s="27"/>
      <c r="AJ131" s="27"/>
      <c r="AK131" s="27"/>
    </row>
    <row r="132" spans="1:37" x14ac:dyDescent="0.3">
      <c r="A132" s="33" t="s">
        <v>219</v>
      </c>
      <c r="B132" s="56">
        <v>535.80439964999869</v>
      </c>
      <c r="C132" s="56">
        <v>287.71274790000007</v>
      </c>
      <c r="D132" s="56">
        <v>370.40771193000006</v>
      </c>
      <c r="E132" s="56">
        <f t="shared" si="64"/>
        <v>1193.9248594799988</v>
      </c>
      <c r="F132" s="56">
        <v>719.3157512400004</v>
      </c>
      <c r="G132" s="56">
        <v>395.48684448000006</v>
      </c>
      <c r="H132" s="56">
        <v>474.65476986999983</v>
      </c>
      <c r="I132" s="56">
        <f t="shared" si="65"/>
        <v>1589.4573655900003</v>
      </c>
      <c r="J132" s="56">
        <f>+E132+I132</f>
        <v>2783.3822250699991</v>
      </c>
      <c r="K132" s="56">
        <v>495.13644460000035</v>
      </c>
      <c r="L132" s="56">
        <v>440.48554791999993</v>
      </c>
      <c r="M132" s="56">
        <v>425.40803389999991</v>
      </c>
      <c r="N132" s="56">
        <f t="shared" si="66"/>
        <v>1361.0300264200002</v>
      </c>
      <c r="O132" s="56">
        <v>496.12715788999935</v>
      </c>
      <c r="P132" s="56">
        <v>496.49551525999976</v>
      </c>
      <c r="Q132" s="56">
        <v>406.36268486</v>
      </c>
      <c r="R132" s="56">
        <f t="shared" si="67"/>
        <v>1398.9853580099991</v>
      </c>
      <c r="S132" s="56">
        <f t="shared" ref="S132:S172" si="74">+N132+R132</f>
        <v>2760.0153844299994</v>
      </c>
      <c r="T132" s="56">
        <f>+J132+S132</f>
        <v>5543.397609499998</v>
      </c>
      <c r="U132" s="28">
        <f t="shared" si="48"/>
        <v>5543.397609499998</v>
      </c>
      <c r="V132" s="28">
        <f t="shared" si="49"/>
        <v>0</v>
      </c>
    </row>
    <row r="133" spans="1:37" x14ac:dyDescent="0.3">
      <c r="A133" s="33" t="s">
        <v>220</v>
      </c>
      <c r="B133" s="56"/>
      <c r="C133" s="56"/>
      <c r="D133" s="56"/>
      <c r="E133" s="56"/>
      <c r="F133" s="56"/>
      <c r="G133" s="56"/>
      <c r="H133" s="56"/>
      <c r="I133" s="56"/>
      <c r="J133" s="56"/>
      <c r="K133" s="56"/>
      <c r="L133" s="56"/>
      <c r="M133" s="56"/>
      <c r="N133" s="56"/>
      <c r="O133" s="56"/>
      <c r="P133" s="56"/>
      <c r="Q133" s="56"/>
      <c r="R133" s="56"/>
      <c r="S133" s="56"/>
      <c r="T133" s="56"/>
      <c r="U133" s="28">
        <f t="shared" si="48"/>
        <v>0</v>
      </c>
      <c r="V133" s="28">
        <f t="shared" si="49"/>
        <v>0</v>
      </c>
    </row>
    <row r="134" spans="1:37" x14ac:dyDescent="0.3">
      <c r="A134" s="33" t="s">
        <v>221</v>
      </c>
      <c r="B134" s="56">
        <v>324.14154192000001</v>
      </c>
      <c r="C134" s="56">
        <v>87.05047780000001</v>
      </c>
      <c r="D134" s="56">
        <v>162.39710449</v>
      </c>
      <c r="E134" s="56">
        <f t="shared" si="64"/>
        <v>573.58912421000002</v>
      </c>
      <c r="F134" s="56">
        <v>300.9249350300002</v>
      </c>
      <c r="G134" s="56">
        <v>153.26644662999999</v>
      </c>
      <c r="H134" s="56">
        <v>218.94473943</v>
      </c>
      <c r="I134" s="56">
        <f t="shared" si="65"/>
        <v>673.13612109000019</v>
      </c>
      <c r="J134" s="56">
        <f>+E134+I134</f>
        <v>1246.7252453000001</v>
      </c>
      <c r="K134" s="56">
        <v>213.92473380000007</v>
      </c>
      <c r="L134" s="56">
        <v>182.41544071000004</v>
      </c>
      <c r="M134" s="56">
        <v>194.26964378000002</v>
      </c>
      <c r="N134" s="56">
        <f t="shared" si="66"/>
        <v>590.60981829000013</v>
      </c>
      <c r="O134" s="56">
        <v>226.68363522999994</v>
      </c>
      <c r="P134" s="56">
        <v>200.47259105000001</v>
      </c>
      <c r="Q134" s="56">
        <v>187.84829651000018</v>
      </c>
      <c r="R134" s="56">
        <f t="shared" si="67"/>
        <v>615.00452279000012</v>
      </c>
      <c r="S134" s="56">
        <f t="shared" si="74"/>
        <v>1205.6143410800003</v>
      </c>
      <c r="T134" s="56">
        <f>+J134+S134</f>
        <v>2452.3395863800006</v>
      </c>
      <c r="U134" s="28">
        <f t="shared" si="48"/>
        <v>2452.3395863800006</v>
      </c>
      <c r="V134" s="28">
        <f t="shared" si="49"/>
        <v>0</v>
      </c>
    </row>
    <row r="135" spans="1:37" x14ac:dyDescent="0.3">
      <c r="A135" s="33" t="s">
        <v>222</v>
      </c>
      <c r="B135" s="56"/>
      <c r="C135" s="56"/>
      <c r="D135" s="56"/>
      <c r="E135" s="56"/>
      <c r="F135" s="56"/>
      <c r="G135" s="56"/>
      <c r="H135" s="56"/>
      <c r="I135" s="56"/>
      <c r="J135" s="56"/>
      <c r="K135" s="56"/>
      <c r="L135" s="56"/>
      <c r="M135" s="56"/>
      <c r="N135" s="56"/>
      <c r="O135" s="56"/>
      <c r="P135" s="56"/>
      <c r="Q135" s="56"/>
      <c r="R135" s="56"/>
      <c r="S135" s="56"/>
      <c r="T135" s="56"/>
      <c r="U135" s="28">
        <f t="shared" si="48"/>
        <v>0</v>
      </c>
      <c r="V135" s="28">
        <f t="shared" si="49"/>
        <v>0</v>
      </c>
    </row>
    <row r="136" spans="1:37" x14ac:dyDescent="0.3">
      <c r="A136" s="33" t="s">
        <v>122</v>
      </c>
      <c r="B136" s="30">
        <v>109.12081730000006</v>
      </c>
      <c r="C136" s="30">
        <v>58.250205730000012</v>
      </c>
      <c r="D136" s="30">
        <v>107.18253602000004</v>
      </c>
      <c r="E136" s="30">
        <f t="shared" si="64"/>
        <v>274.5535590500001</v>
      </c>
      <c r="F136" s="30">
        <v>127.80411509999998</v>
      </c>
      <c r="G136" s="30">
        <v>102.71117307999999</v>
      </c>
      <c r="H136" s="30">
        <v>165.01932505000005</v>
      </c>
      <c r="I136" s="30">
        <f t="shared" si="65"/>
        <v>395.53461322999999</v>
      </c>
      <c r="J136" s="30">
        <f>+E136+I136</f>
        <v>670.08817228000009</v>
      </c>
      <c r="K136" s="30">
        <v>142.28761394000011</v>
      </c>
      <c r="L136" s="30">
        <v>126.70043514000001</v>
      </c>
      <c r="M136" s="30">
        <v>110.54729930000001</v>
      </c>
      <c r="N136" s="30">
        <f t="shared" si="66"/>
        <v>379.53534838000013</v>
      </c>
      <c r="O136" s="30">
        <v>144.4029461100003</v>
      </c>
      <c r="P136" s="30">
        <v>100.36274965999999</v>
      </c>
      <c r="Q136" s="30">
        <v>97.755037489999964</v>
      </c>
      <c r="R136" s="30">
        <f t="shared" si="67"/>
        <v>342.52073326000027</v>
      </c>
      <c r="S136" s="30">
        <f t="shared" si="74"/>
        <v>722.05608164000046</v>
      </c>
      <c r="T136" s="30">
        <f>+J136+S136</f>
        <v>1392.1442539200007</v>
      </c>
      <c r="U136" s="28">
        <f t="shared" ref="U136:U174" si="75">+B136+C136+D136+F136+G136+H136+K136+L136+M136+O136+P136+Q136</f>
        <v>1392.1442539200004</v>
      </c>
      <c r="V136" s="28">
        <f t="shared" ref="V136:V174" si="76">+U136-T136</f>
        <v>0</v>
      </c>
    </row>
    <row r="137" spans="1:37" x14ac:dyDescent="0.3">
      <c r="A137" s="33" t="s">
        <v>123</v>
      </c>
      <c r="B137" s="30">
        <v>1917.4182080900021</v>
      </c>
      <c r="C137" s="30">
        <v>1017.7741215699996</v>
      </c>
      <c r="D137" s="30">
        <v>1095.9721828699999</v>
      </c>
      <c r="E137" s="30">
        <f t="shared" si="64"/>
        <v>4031.1645125300015</v>
      </c>
      <c r="F137" s="30">
        <v>2516.3999644300002</v>
      </c>
      <c r="G137" s="30">
        <v>1686.4697436099993</v>
      </c>
      <c r="H137" s="30">
        <v>1115.6379982000003</v>
      </c>
      <c r="I137" s="30">
        <f t="shared" si="65"/>
        <v>5318.5077062399996</v>
      </c>
      <c r="J137" s="30">
        <f>+E137+I137</f>
        <v>9349.6722187700016</v>
      </c>
      <c r="K137" s="30">
        <v>1841.2429010699989</v>
      </c>
      <c r="L137" s="30">
        <v>1270.6002020599999</v>
      </c>
      <c r="M137" s="30">
        <v>1271.6835307000006</v>
      </c>
      <c r="N137" s="30">
        <f t="shared" si="66"/>
        <v>4383.5266338299989</v>
      </c>
      <c r="O137" s="30">
        <v>1798.4039314000024</v>
      </c>
      <c r="P137" s="30">
        <v>1390.9774641099998</v>
      </c>
      <c r="Q137" s="30">
        <v>1023.16365412</v>
      </c>
      <c r="R137" s="30">
        <f t="shared" si="67"/>
        <v>4212.5450496300018</v>
      </c>
      <c r="S137" s="30">
        <f t="shared" si="74"/>
        <v>8596.0716834600007</v>
      </c>
      <c r="T137" s="30">
        <f>+J137+S137</f>
        <v>17945.743902230002</v>
      </c>
      <c r="U137" s="28">
        <f t="shared" si="75"/>
        <v>17945.743902229999</v>
      </c>
      <c r="V137" s="28">
        <f t="shared" si="76"/>
        <v>0</v>
      </c>
    </row>
    <row r="138" spans="1:37" ht="16.5" x14ac:dyDescent="0.3">
      <c r="A138" s="33" t="s">
        <v>223</v>
      </c>
      <c r="B138" s="30">
        <v>3371.8699475300018</v>
      </c>
      <c r="C138" s="30">
        <v>1688.4059221399998</v>
      </c>
      <c r="D138" s="30">
        <v>1192.42869696</v>
      </c>
      <c r="E138" s="30">
        <f t="shared" si="64"/>
        <v>6252.7045666300019</v>
      </c>
      <c r="F138" s="30">
        <v>4760.1553502899978</v>
      </c>
      <c r="G138" s="30">
        <v>2841.9799973099998</v>
      </c>
      <c r="H138" s="30">
        <v>1624.7361774999997</v>
      </c>
      <c r="I138" s="30">
        <f t="shared" si="65"/>
        <v>9226.8715250999976</v>
      </c>
      <c r="J138" s="30">
        <f>+E138+I138</f>
        <v>15479.576091729999</v>
      </c>
      <c r="K138" s="30">
        <v>3075.4970094899991</v>
      </c>
      <c r="L138" s="30">
        <v>2820.7322412600001</v>
      </c>
      <c r="M138" s="30">
        <v>1501.3378771700002</v>
      </c>
      <c r="N138" s="30">
        <f t="shared" si="66"/>
        <v>7397.5671279199987</v>
      </c>
      <c r="O138" s="30">
        <v>2895.8081710400006</v>
      </c>
      <c r="P138" s="30">
        <v>3474.3252924999993</v>
      </c>
      <c r="Q138" s="30">
        <v>1572.3548884799993</v>
      </c>
      <c r="R138" s="30">
        <f t="shared" si="67"/>
        <v>7942.4883520199992</v>
      </c>
      <c r="S138" s="30">
        <f t="shared" si="74"/>
        <v>15340.055479939998</v>
      </c>
      <c r="T138" s="30">
        <f>+J138+S138</f>
        <v>30819.631571669997</v>
      </c>
      <c r="U138" s="28">
        <f t="shared" si="75"/>
        <v>30819.631571669997</v>
      </c>
      <c r="V138" s="28">
        <f t="shared" si="76"/>
        <v>0</v>
      </c>
    </row>
    <row r="139" spans="1:37" x14ac:dyDescent="0.3">
      <c r="U139" s="28">
        <f t="shared" si="75"/>
        <v>0</v>
      </c>
      <c r="V139" s="28">
        <f t="shared" si="76"/>
        <v>0</v>
      </c>
    </row>
    <row r="140" spans="1:37" s="37" customFormat="1" x14ac:dyDescent="0.3">
      <c r="A140" s="37" t="s">
        <v>125</v>
      </c>
      <c r="B140" s="27">
        <f>SUM(B141:B145)</f>
        <v>1484.2005864799994</v>
      </c>
      <c r="C140" s="27">
        <f t="shared" ref="C140:T140" si="77">SUM(C141:C145)</f>
        <v>629.69040344999985</v>
      </c>
      <c r="D140" s="27">
        <f t="shared" si="77"/>
        <v>954.73483048000003</v>
      </c>
      <c r="E140" s="27">
        <f t="shared" si="77"/>
        <v>3068.6258204099986</v>
      </c>
      <c r="F140" s="27">
        <f t="shared" si="77"/>
        <v>1628.3511547400001</v>
      </c>
      <c r="G140" s="27">
        <f t="shared" si="77"/>
        <v>1012.4275232500001</v>
      </c>
      <c r="H140" s="27">
        <f t="shared" si="77"/>
        <v>1129.0229332200004</v>
      </c>
      <c r="I140" s="27">
        <f t="shared" si="77"/>
        <v>3769.8016112100004</v>
      </c>
      <c r="J140" s="27">
        <f t="shared" si="77"/>
        <v>6838.427431619999</v>
      </c>
      <c r="K140" s="27">
        <f t="shared" si="77"/>
        <v>1396.1906455299995</v>
      </c>
      <c r="L140" s="27">
        <f t="shared" si="77"/>
        <v>1019.27909413</v>
      </c>
      <c r="M140" s="27">
        <f t="shared" si="77"/>
        <v>963.4250801500001</v>
      </c>
      <c r="N140" s="27">
        <f t="shared" si="77"/>
        <v>3378.8948198099997</v>
      </c>
      <c r="O140" s="27">
        <f t="shared" si="77"/>
        <v>1291.2958815300008</v>
      </c>
      <c r="P140" s="27">
        <f t="shared" si="77"/>
        <v>1128.2572081799995</v>
      </c>
      <c r="Q140" s="27">
        <f t="shared" si="77"/>
        <v>1285.1169783200003</v>
      </c>
      <c r="R140" s="27">
        <f t="shared" si="77"/>
        <v>3704.6700680300005</v>
      </c>
      <c r="S140" s="27">
        <f t="shared" si="77"/>
        <v>7083.5648878400007</v>
      </c>
      <c r="T140" s="27">
        <f t="shared" si="77"/>
        <v>13921.99231946</v>
      </c>
      <c r="U140" s="28">
        <f t="shared" si="75"/>
        <v>13921.992319460001</v>
      </c>
      <c r="V140" s="28">
        <f t="shared" si="76"/>
        <v>0</v>
      </c>
      <c r="W140" s="27"/>
      <c r="X140" s="27"/>
      <c r="Y140" s="27"/>
      <c r="Z140" s="27"/>
      <c r="AA140" s="27"/>
      <c r="AB140" s="27"/>
      <c r="AC140" s="27"/>
      <c r="AD140" s="27"/>
      <c r="AE140" s="27"/>
      <c r="AF140" s="27"/>
      <c r="AG140" s="27"/>
      <c r="AH140" s="27"/>
      <c r="AI140" s="27"/>
      <c r="AJ140" s="27"/>
      <c r="AK140" s="27"/>
    </row>
    <row r="141" spans="1:37" x14ac:dyDescent="0.3">
      <c r="A141" s="33" t="s">
        <v>126</v>
      </c>
      <c r="B141" s="30">
        <v>251.82343997000032</v>
      </c>
      <c r="C141" s="30">
        <v>131.41161756</v>
      </c>
      <c r="D141" s="30">
        <v>165.61423355000005</v>
      </c>
      <c r="E141" s="30">
        <f t="shared" si="64"/>
        <v>548.84929108000028</v>
      </c>
      <c r="F141" s="30">
        <v>322.19319191000005</v>
      </c>
      <c r="G141" s="30">
        <v>200.04078469000001</v>
      </c>
      <c r="H141" s="30">
        <v>245.70910733000011</v>
      </c>
      <c r="I141" s="30">
        <f t="shared" si="65"/>
        <v>767.94308393000006</v>
      </c>
      <c r="J141" s="30">
        <f>+E141+I141</f>
        <v>1316.7923750100003</v>
      </c>
      <c r="K141" s="30">
        <v>259.76548292999985</v>
      </c>
      <c r="L141" s="30">
        <v>205.58336858000007</v>
      </c>
      <c r="M141" s="30">
        <v>174.43650602000005</v>
      </c>
      <c r="N141" s="30">
        <f t="shared" si="66"/>
        <v>639.78535752999994</v>
      </c>
      <c r="O141" s="30">
        <v>224.1340756300001</v>
      </c>
      <c r="P141" s="30">
        <v>211.42040565999986</v>
      </c>
      <c r="Q141" s="30">
        <v>248.13884868000014</v>
      </c>
      <c r="R141" s="30">
        <f t="shared" si="67"/>
        <v>683.69332997000015</v>
      </c>
      <c r="S141" s="30">
        <f t="shared" si="74"/>
        <v>1323.4786875</v>
      </c>
      <c r="T141" s="30">
        <f>+J141+S141</f>
        <v>2640.2710625100003</v>
      </c>
      <c r="U141" s="28">
        <f t="shared" si="75"/>
        <v>2640.2710625100003</v>
      </c>
      <c r="V141" s="28">
        <f t="shared" si="76"/>
        <v>0</v>
      </c>
    </row>
    <row r="142" spans="1:37" x14ac:dyDescent="0.3">
      <c r="A142" s="33" t="s">
        <v>128</v>
      </c>
      <c r="B142" s="30">
        <v>406.49759062999976</v>
      </c>
      <c r="C142" s="30">
        <v>189.65350920999992</v>
      </c>
      <c r="D142" s="30">
        <v>278.56739070999993</v>
      </c>
      <c r="E142" s="30">
        <f t="shared" si="64"/>
        <v>874.71849054999961</v>
      </c>
      <c r="F142" s="30">
        <v>419.14663291000016</v>
      </c>
      <c r="G142" s="30">
        <v>338.07897811000004</v>
      </c>
      <c r="H142" s="30">
        <v>332.09207351000015</v>
      </c>
      <c r="I142" s="30">
        <f t="shared" si="65"/>
        <v>1089.3176845300004</v>
      </c>
      <c r="J142" s="30">
        <f>+E142+I142</f>
        <v>1964.03617508</v>
      </c>
      <c r="K142" s="30">
        <v>407.8448923699998</v>
      </c>
      <c r="L142" s="30">
        <v>292.75209061000004</v>
      </c>
      <c r="M142" s="30">
        <v>322.72041606000005</v>
      </c>
      <c r="N142" s="30">
        <f t="shared" si="66"/>
        <v>1023.3173990399999</v>
      </c>
      <c r="O142" s="30">
        <v>348.86308071000076</v>
      </c>
      <c r="P142" s="30">
        <v>378.17348895999987</v>
      </c>
      <c r="Q142" s="30">
        <v>447.11888745999971</v>
      </c>
      <c r="R142" s="30">
        <f t="shared" si="67"/>
        <v>1174.1554571300003</v>
      </c>
      <c r="S142" s="30">
        <f t="shared" si="74"/>
        <v>2197.4728561700003</v>
      </c>
      <c r="T142" s="30">
        <f>+J142+S142</f>
        <v>4161.5090312500006</v>
      </c>
      <c r="U142" s="28">
        <f t="shared" si="75"/>
        <v>4161.5090312499997</v>
      </c>
      <c r="V142" s="28">
        <f t="shared" si="76"/>
        <v>0</v>
      </c>
    </row>
    <row r="143" spans="1:37" x14ac:dyDescent="0.3">
      <c r="A143" s="33" t="s">
        <v>129</v>
      </c>
      <c r="B143" s="30">
        <v>152.93018056</v>
      </c>
      <c r="C143" s="30">
        <v>73.117827449999993</v>
      </c>
      <c r="D143" s="30">
        <v>163.97273046000001</v>
      </c>
      <c r="E143" s="30">
        <f t="shared" si="64"/>
        <v>390.02073846999997</v>
      </c>
      <c r="F143" s="30">
        <v>182.20163466999998</v>
      </c>
      <c r="G143" s="30">
        <v>132.51484988999999</v>
      </c>
      <c r="H143" s="30">
        <v>179.98516657000002</v>
      </c>
      <c r="I143" s="30">
        <f t="shared" si="65"/>
        <v>494.70165112999996</v>
      </c>
      <c r="J143" s="30">
        <f>+E143+I143</f>
        <v>884.72238959999993</v>
      </c>
      <c r="K143" s="30">
        <v>160.13328179999996</v>
      </c>
      <c r="L143" s="30">
        <v>120.77627024999998</v>
      </c>
      <c r="M143" s="30">
        <v>122.17700959000004</v>
      </c>
      <c r="N143" s="30">
        <f t="shared" si="66"/>
        <v>403.08656164000001</v>
      </c>
      <c r="O143" s="30">
        <v>170.17173907000034</v>
      </c>
      <c r="P143" s="30">
        <v>150.35931308999994</v>
      </c>
      <c r="Q143" s="30">
        <v>167.9898048</v>
      </c>
      <c r="R143" s="30">
        <f t="shared" si="67"/>
        <v>488.52085696000029</v>
      </c>
      <c r="S143" s="30">
        <f t="shared" si="74"/>
        <v>891.6074186000003</v>
      </c>
      <c r="T143" s="30">
        <f>+J143+S143</f>
        <v>1776.3298082000001</v>
      </c>
      <c r="U143" s="28">
        <f t="shared" si="75"/>
        <v>1776.3298082000003</v>
      </c>
      <c r="V143" s="28">
        <f t="shared" si="76"/>
        <v>0</v>
      </c>
    </row>
    <row r="144" spans="1:37" x14ac:dyDescent="0.3">
      <c r="A144" s="33" t="s">
        <v>224</v>
      </c>
      <c r="B144" s="56">
        <v>672.94937531999915</v>
      </c>
      <c r="C144" s="56">
        <v>235.50744922999996</v>
      </c>
      <c r="D144" s="56">
        <v>346.58047575999996</v>
      </c>
      <c r="E144" s="56">
        <f t="shared" si="64"/>
        <v>1255.037300309999</v>
      </c>
      <c r="F144" s="56">
        <v>704.80969524999989</v>
      </c>
      <c r="G144" s="56">
        <v>341.79291056000005</v>
      </c>
      <c r="H144" s="56">
        <v>371.23658581000007</v>
      </c>
      <c r="I144" s="56">
        <f t="shared" si="65"/>
        <v>1417.8391916199998</v>
      </c>
      <c r="J144" s="56">
        <f>+E144+I144</f>
        <v>2672.8764919299988</v>
      </c>
      <c r="K144" s="56">
        <v>568.44698842999992</v>
      </c>
      <c r="L144" s="56">
        <v>400.16736468999994</v>
      </c>
      <c r="M144" s="56">
        <v>344.09114848000002</v>
      </c>
      <c r="N144" s="56">
        <f t="shared" si="66"/>
        <v>1312.7055015999999</v>
      </c>
      <c r="O144" s="56">
        <v>548.12698611999951</v>
      </c>
      <c r="P144" s="56">
        <v>388.30400046999995</v>
      </c>
      <c r="Q144" s="56">
        <v>421.86943738000031</v>
      </c>
      <c r="R144" s="56">
        <f t="shared" si="67"/>
        <v>1358.3004239699999</v>
      </c>
      <c r="S144" s="56">
        <f t="shared" si="74"/>
        <v>2671.0059255699998</v>
      </c>
      <c r="T144" s="56">
        <f>+J144+S144</f>
        <v>5343.8824174999991</v>
      </c>
      <c r="U144" s="28">
        <f t="shared" si="75"/>
        <v>5343.8824174999982</v>
      </c>
      <c r="V144" s="28">
        <f t="shared" si="76"/>
        <v>0</v>
      </c>
    </row>
    <row r="145" spans="1:37" x14ac:dyDescent="0.3">
      <c r="A145" s="33" t="s">
        <v>225</v>
      </c>
      <c r="B145" s="56"/>
      <c r="C145" s="56"/>
      <c r="D145" s="56"/>
      <c r="E145" s="56"/>
      <c r="F145" s="56"/>
      <c r="G145" s="56"/>
      <c r="H145" s="56"/>
      <c r="I145" s="56"/>
      <c r="J145" s="56"/>
      <c r="K145" s="56"/>
      <c r="L145" s="56"/>
      <c r="M145" s="56"/>
      <c r="N145" s="56"/>
      <c r="O145" s="56"/>
      <c r="P145" s="56"/>
      <c r="Q145" s="56"/>
      <c r="R145" s="56"/>
      <c r="S145" s="56"/>
      <c r="T145" s="56"/>
      <c r="U145" s="28">
        <f t="shared" si="75"/>
        <v>0</v>
      </c>
      <c r="V145" s="28">
        <f t="shared" si="76"/>
        <v>0</v>
      </c>
    </row>
    <row r="146" spans="1:37" x14ac:dyDescent="0.3">
      <c r="U146" s="28">
        <f t="shared" si="75"/>
        <v>0</v>
      </c>
      <c r="V146" s="28">
        <f t="shared" si="76"/>
        <v>0</v>
      </c>
    </row>
    <row r="147" spans="1:37" s="37" customFormat="1" x14ac:dyDescent="0.3">
      <c r="A147" s="37" t="s">
        <v>130</v>
      </c>
      <c r="B147" s="27">
        <f>SUM(B148:B153)</f>
        <v>1301.640679649998</v>
      </c>
      <c r="C147" s="27">
        <f t="shared" ref="C147:T147" si="78">SUM(C148:C153)</f>
        <v>682.67921029000001</v>
      </c>
      <c r="D147" s="27">
        <f t="shared" si="78"/>
        <v>778.04723801000011</v>
      </c>
      <c r="E147" s="27">
        <f t="shared" si="78"/>
        <v>2762.3671279499986</v>
      </c>
      <c r="F147" s="27">
        <f t="shared" si="78"/>
        <v>1183.5411141400007</v>
      </c>
      <c r="G147" s="27">
        <f t="shared" si="78"/>
        <v>896.84704096000019</v>
      </c>
      <c r="H147" s="27">
        <f t="shared" si="78"/>
        <v>1038.3159402900001</v>
      </c>
      <c r="I147" s="27">
        <f t="shared" si="78"/>
        <v>3118.7040953900005</v>
      </c>
      <c r="J147" s="27">
        <f t="shared" si="78"/>
        <v>5881.0712233399981</v>
      </c>
      <c r="K147" s="27">
        <f t="shared" si="78"/>
        <v>1147.84610744</v>
      </c>
      <c r="L147" s="27">
        <f t="shared" si="78"/>
        <v>872.02239568999994</v>
      </c>
      <c r="M147" s="27">
        <f t="shared" si="78"/>
        <v>976.24752316999979</v>
      </c>
      <c r="N147" s="27">
        <f t="shared" si="78"/>
        <v>2996.1160263000002</v>
      </c>
      <c r="O147" s="27">
        <f t="shared" si="78"/>
        <v>975.19269232999886</v>
      </c>
      <c r="P147" s="27">
        <f t="shared" si="78"/>
        <v>782.15162224999995</v>
      </c>
      <c r="Q147" s="27">
        <f t="shared" si="78"/>
        <v>746.02572619999989</v>
      </c>
      <c r="R147" s="27">
        <f t="shared" si="78"/>
        <v>2503.3700407799988</v>
      </c>
      <c r="S147" s="27">
        <f t="shared" si="78"/>
        <v>5499.486067079999</v>
      </c>
      <c r="T147" s="27">
        <f t="shared" si="78"/>
        <v>11380.557290419996</v>
      </c>
      <c r="U147" s="28">
        <f t="shared" si="75"/>
        <v>11380.557290419996</v>
      </c>
      <c r="V147" s="28">
        <f t="shared" si="76"/>
        <v>0</v>
      </c>
      <c r="W147" s="27"/>
      <c r="X147" s="27"/>
      <c r="Y147" s="27"/>
      <c r="Z147" s="27"/>
      <c r="AA147" s="27"/>
      <c r="AB147" s="27"/>
      <c r="AC147" s="27"/>
      <c r="AD147" s="27"/>
      <c r="AE147" s="27"/>
      <c r="AF147" s="27"/>
      <c r="AG147" s="27"/>
      <c r="AH147" s="27"/>
      <c r="AI147" s="27"/>
      <c r="AJ147" s="27"/>
      <c r="AK147" s="27"/>
    </row>
    <row r="148" spans="1:37" x14ac:dyDescent="0.3">
      <c r="A148" s="33" t="s">
        <v>226</v>
      </c>
      <c r="B148" s="56">
        <v>619.07743561999803</v>
      </c>
      <c r="C148" s="56">
        <v>289.56728127000002</v>
      </c>
      <c r="D148" s="56">
        <v>315.61238560000015</v>
      </c>
      <c r="E148" s="56">
        <f t="shared" si="64"/>
        <v>1224.2571024899983</v>
      </c>
      <c r="F148" s="56">
        <v>494.5101981100002</v>
      </c>
      <c r="G148" s="56">
        <v>360.5265777300001</v>
      </c>
      <c r="H148" s="56">
        <v>512.83765456999993</v>
      </c>
      <c r="I148" s="56">
        <f t="shared" si="65"/>
        <v>1367.8744304100001</v>
      </c>
      <c r="J148" s="56">
        <f>+E148+I148</f>
        <v>2592.1315328999981</v>
      </c>
      <c r="K148" s="56">
        <v>474.50699104000017</v>
      </c>
      <c r="L148" s="56">
        <v>312.42006835999996</v>
      </c>
      <c r="M148" s="56">
        <v>411.29024636999986</v>
      </c>
      <c r="N148" s="56">
        <f t="shared" si="66"/>
        <v>1198.2173057700002</v>
      </c>
      <c r="O148" s="56">
        <v>370.04295087999895</v>
      </c>
      <c r="P148" s="56">
        <v>320.29412372999991</v>
      </c>
      <c r="Q148" s="56">
        <v>265.91273898999981</v>
      </c>
      <c r="R148" s="56">
        <f t="shared" si="67"/>
        <v>956.24981359999856</v>
      </c>
      <c r="S148" s="56">
        <f t="shared" si="74"/>
        <v>2154.4671193699987</v>
      </c>
      <c r="T148" s="56">
        <f>+J148+S148</f>
        <v>4746.5986522699968</v>
      </c>
      <c r="U148" s="28">
        <f t="shared" si="75"/>
        <v>4746.5986522699977</v>
      </c>
      <c r="V148" s="28">
        <f t="shared" si="76"/>
        <v>0</v>
      </c>
    </row>
    <row r="149" spans="1:37" x14ac:dyDescent="0.3">
      <c r="A149" s="33" t="s">
        <v>227</v>
      </c>
      <c r="B149" s="56"/>
      <c r="C149" s="56"/>
      <c r="D149" s="56"/>
      <c r="E149" s="56"/>
      <c r="F149" s="56"/>
      <c r="G149" s="56"/>
      <c r="H149" s="56"/>
      <c r="I149" s="56"/>
      <c r="J149" s="56"/>
      <c r="K149" s="56"/>
      <c r="L149" s="56"/>
      <c r="M149" s="56"/>
      <c r="N149" s="56"/>
      <c r="O149" s="56"/>
      <c r="P149" s="56"/>
      <c r="Q149" s="56"/>
      <c r="R149" s="56"/>
      <c r="S149" s="56"/>
      <c r="T149" s="56"/>
      <c r="U149" s="28">
        <f t="shared" si="75"/>
        <v>0</v>
      </c>
      <c r="V149" s="28">
        <f t="shared" si="76"/>
        <v>0</v>
      </c>
    </row>
    <row r="150" spans="1:37" x14ac:dyDescent="0.3">
      <c r="A150" s="33" t="s">
        <v>132</v>
      </c>
      <c r="B150" s="30">
        <v>201.53477465999993</v>
      </c>
      <c r="C150" s="30">
        <v>102.31214444</v>
      </c>
      <c r="D150" s="30">
        <v>138.43071476000003</v>
      </c>
      <c r="E150" s="30">
        <f t="shared" si="64"/>
        <v>442.27763385999992</v>
      </c>
      <c r="F150" s="30">
        <v>171.59728834999999</v>
      </c>
      <c r="G150" s="30">
        <v>144.78462873999999</v>
      </c>
      <c r="H150" s="30">
        <v>142.61086823000002</v>
      </c>
      <c r="I150" s="30">
        <f t="shared" si="65"/>
        <v>458.99278532000005</v>
      </c>
      <c r="J150" s="30">
        <f>+E150+I150</f>
        <v>901.27041917999998</v>
      </c>
      <c r="K150" s="30">
        <v>166.81902738999989</v>
      </c>
      <c r="L150" s="30">
        <v>147.42503325000001</v>
      </c>
      <c r="M150" s="30">
        <v>135.00631413999994</v>
      </c>
      <c r="N150" s="30">
        <f t="shared" si="66"/>
        <v>449.2503747799999</v>
      </c>
      <c r="O150" s="30">
        <v>167.60579440000015</v>
      </c>
      <c r="P150" s="30">
        <v>130.76426918000001</v>
      </c>
      <c r="Q150" s="30">
        <v>160.92536585000002</v>
      </c>
      <c r="R150" s="30">
        <f t="shared" si="67"/>
        <v>459.29542943000024</v>
      </c>
      <c r="S150" s="30">
        <f t="shared" si="74"/>
        <v>908.54580421000014</v>
      </c>
      <c r="T150" s="30">
        <f>+J150+S150</f>
        <v>1809.8162233900002</v>
      </c>
      <c r="U150" s="28">
        <f t="shared" si="75"/>
        <v>1809.8162233899998</v>
      </c>
      <c r="V150" s="28">
        <f t="shared" si="76"/>
        <v>0</v>
      </c>
    </row>
    <row r="151" spans="1:37" x14ac:dyDescent="0.3">
      <c r="A151" s="33" t="s">
        <v>228</v>
      </c>
      <c r="B151" s="56">
        <v>278.7815409599998</v>
      </c>
      <c r="C151" s="56">
        <v>172.00129636000005</v>
      </c>
      <c r="D151" s="56">
        <v>179.75541758999998</v>
      </c>
      <c r="E151" s="56">
        <f t="shared" si="64"/>
        <v>630.53825490999986</v>
      </c>
      <c r="F151" s="56">
        <v>292.66229080000033</v>
      </c>
      <c r="G151" s="56">
        <v>210.13059134000002</v>
      </c>
      <c r="H151" s="56">
        <v>228.49244458000007</v>
      </c>
      <c r="I151" s="56">
        <f t="shared" si="65"/>
        <v>731.2853267200004</v>
      </c>
      <c r="J151" s="56">
        <f>+E151+I151</f>
        <v>1361.8235816300003</v>
      </c>
      <c r="K151" s="56">
        <v>252.5443760499999</v>
      </c>
      <c r="L151" s="56">
        <v>220.18707378999994</v>
      </c>
      <c r="M151" s="56">
        <v>233.29320894</v>
      </c>
      <c r="N151" s="56">
        <f t="shared" si="66"/>
        <v>706.02465877999987</v>
      </c>
      <c r="O151" s="56">
        <v>241.33224087000031</v>
      </c>
      <c r="P151" s="56">
        <v>173.68421627999996</v>
      </c>
      <c r="Q151" s="56">
        <v>183.02328122000009</v>
      </c>
      <c r="R151" s="56">
        <f t="shared" si="67"/>
        <v>598.03973837000035</v>
      </c>
      <c r="S151" s="56">
        <f t="shared" si="74"/>
        <v>1304.0643971500003</v>
      </c>
      <c r="T151" s="56">
        <f>+J151+S151</f>
        <v>2665.8879787800006</v>
      </c>
      <c r="U151" s="28">
        <f t="shared" si="75"/>
        <v>2665.8879787800001</v>
      </c>
      <c r="V151" s="28">
        <f t="shared" si="76"/>
        <v>0</v>
      </c>
    </row>
    <row r="152" spans="1:37" x14ac:dyDescent="0.3">
      <c r="A152" s="33" t="s">
        <v>229</v>
      </c>
      <c r="B152" s="56"/>
      <c r="C152" s="56"/>
      <c r="D152" s="56"/>
      <c r="E152" s="56"/>
      <c r="F152" s="56"/>
      <c r="G152" s="56"/>
      <c r="H152" s="56"/>
      <c r="I152" s="56"/>
      <c r="J152" s="56"/>
      <c r="K152" s="56"/>
      <c r="L152" s="56"/>
      <c r="M152" s="56"/>
      <c r="N152" s="56"/>
      <c r="O152" s="56"/>
      <c r="P152" s="56"/>
      <c r="Q152" s="56"/>
      <c r="R152" s="56"/>
      <c r="S152" s="56"/>
      <c r="T152" s="56"/>
      <c r="U152" s="28">
        <f t="shared" si="75"/>
        <v>0</v>
      </c>
      <c r="V152" s="28">
        <f t="shared" si="76"/>
        <v>0</v>
      </c>
    </row>
    <row r="153" spans="1:37" x14ac:dyDescent="0.3">
      <c r="A153" s="33" t="s">
        <v>134</v>
      </c>
      <c r="B153" s="30">
        <v>202.24692841000021</v>
      </c>
      <c r="C153" s="30">
        <v>118.79848822</v>
      </c>
      <c r="D153" s="30">
        <v>144.24872006000001</v>
      </c>
      <c r="E153" s="30">
        <f t="shared" si="64"/>
        <v>465.29413669000019</v>
      </c>
      <c r="F153" s="30">
        <v>224.77133688000001</v>
      </c>
      <c r="G153" s="30">
        <v>181.40524315000005</v>
      </c>
      <c r="H153" s="30">
        <v>154.37497291000003</v>
      </c>
      <c r="I153" s="30">
        <f t="shared" si="65"/>
        <v>560.55155294000008</v>
      </c>
      <c r="J153" s="30">
        <f>+E153+I153</f>
        <v>1025.8456896300004</v>
      </c>
      <c r="K153" s="30">
        <v>253.97571295999998</v>
      </c>
      <c r="L153" s="30">
        <v>191.99022029</v>
      </c>
      <c r="M153" s="30">
        <v>196.65775371999996</v>
      </c>
      <c r="N153" s="30">
        <f t="shared" si="66"/>
        <v>642.62368696999988</v>
      </c>
      <c r="O153" s="30">
        <v>196.21170617999957</v>
      </c>
      <c r="P153" s="30">
        <v>157.40901305999995</v>
      </c>
      <c r="Q153" s="30">
        <v>136.16434014000001</v>
      </c>
      <c r="R153" s="30">
        <f t="shared" si="67"/>
        <v>489.78505937999955</v>
      </c>
      <c r="S153" s="30">
        <f t="shared" si="74"/>
        <v>1132.4087463499995</v>
      </c>
      <c r="T153" s="30">
        <f>+J153+S153</f>
        <v>2158.2544359799999</v>
      </c>
      <c r="U153" s="28">
        <f t="shared" si="75"/>
        <v>2158.2544359799999</v>
      </c>
      <c r="V153" s="28">
        <f t="shared" si="76"/>
        <v>0</v>
      </c>
    </row>
    <row r="154" spans="1:37" x14ac:dyDescent="0.3">
      <c r="U154" s="28">
        <f t="shared" si="75"/>
        <v>0</v>
      </c>
      <c r="V154" s="28">
        <f t="shared" si="76"/>
        <v>0</v>
      </c>
    </row>
    <row r="155" spans="1:37" s="37" customFormat="1" x14ac:dyDescent="0.3">
      <c r="A155" s="39" t="s">
        <v>135</v>
      </c>
      <c r="B155" s="40">
        <f>SUM(B156:B162)</f>
        <v>568.49365092000028</v>
      </c>
      <c r="C155" s="40">
        <f t="shared" ref="C155:T155" si="79">SUM(C156:C162)</f>
        <v>324.12341993000001</v>
      </c>
      <c r="D155" s="40">
        <f t="shared" si="79"/>
        <v>441.46574216699997</v>
      </c>
      <c r="E155" s="40">
        <f t="shared" si="79"/>
        <v>1334.0828130170003</v>
      </c>
      <c r="F155" s="40">
        <f t="shared" si="79"/>
        <v>623.98886138000012</v>
      </c>
      <c r="G155" s="40">
        <f t="shared" si="79"/>
        <v>505.73600742999997</v>
      </c>
      <c r="H155" s="40">
        <f t="shared" si="79"/>
        <v>448.33121334000003</v>
      </c>
      <c r="I155" s="40">
        <f t="shared" si="79"/>
        <v>1578.0560821500003</v>
      </c>
      <c r="J155" s="40">
        <f t="shared" si="79"/>
        <v>2912.1388951670006</v>
      </c>
      <c r="K155" s="40">
        <f t="shared" si="79"/>
        <v>623.66133267000009</v>
      </c>
      <c r="L155" s="40">
        <f t="shared" si="79"/>
        <v>405.11859922000002</v>
      </c>
      <c r="M155" s="40">
        <f t="shared" si="79"/>
        <v>486.06878468000008</v>
      </c>
      <c r="N155" s="40">
        <f t="shared" si="79"/>
        <v>1514.8487165700001</v>
      </c>
      <c r="O155" s="40">
        <f t="shared" si="79"/>
        <v>573.51561745000038</v>
      </c>
      <c r="P155" s="40">
        <f t="shared" si="79"/>
        <v>442.77517160000008</v>
      </c>
      <c r="Q155" s="40">
        <f t="shared" si="79"/>
        <v>598.94009192999999</v>
      </c>
      <c r="R155" s="40">
        <f t="shared" si="79"/>
        <v>1615.2308809800004</v>
      </c>
      <c r="S155" s="40">
        <f t="shared" si="79"/>
        <v>3130.0795975500005</v>
      </c>
      <c r="T155" s="40">
        <f t="shared" si="79"/>
        <v>6042.218492717001</v>
      </c>
      <c r="U155" s="28">
        <f t="shared" si="75"/>
        <v>6042.218492717001</v>
      </c>
      <c r="V155" s="28">
        <f t="shared" si="76"/>
        <v>0</v>
      </c>
      <c r="W155" s="27"/>
      <c r="X155" s="27"/>
      <c r="Y155" s="27"/>
      <c r="Z155" s="27"/>
      <c r="AA155" s="27"/>
      <c r="AB155" s="27"/>
      <c r="AC155" s="27"/>
      <c r="AD155" s="27"/>
      <c r="AE155" s="27"/>
      <c r="AF155" s="27"/>
      <c r="AG155" s="27"/>
      <c r="AH155" s="27"/>
      <c r="AI155" s="27"/>
      <c r="AJ155" s="27"/>
      <c r="AK155" s="27"/>
    </row>
    <row r="156" spans="1:37" x14ac:dyDescent="0.3">
      <c r="A156" s="33" t="s">
        <v>230</v>
      </c>
      <c r="B156" s="56">
        <v>48.433890509999983</v>
      </c>
      <c r="C156" s="56">
        <v>45.174357690000001</v>
      </c>
      <c r="D156" s="56">
        <v>43.717576170000001</v>
      </c>
      <c r="E156" s="56">
        <f t="shared" ref="E156:E161" si="80">+B156+C156+D156</f>
        <v>137.32582436999999</v>
      </c>
      <c r="F156" s="56">
        <v>48.309285959999997</v>
      </c>
      <c r="G156" s="56">
        <v>43.152331590000003</v>
      </c>
      <c r="H156" s="56">
        <v>33.523044429999999</v>
      </c>
      <c r="I156" s="56">
        <f t="shared" ref="I156:I161" si="81">+F156+G156+H156</f>
        <v>124.98466198</v>
      </c>
      <c r="J156" s="56">
        <f>+E156+I156</f>
        <v>262.31048635000002</v>
      </c>
      <c r="K156" s="56">
        <v>53.402714419999995</v>
      </c>
      <c r="L156" s="56">
        <v>34.114993810000001</v>
      </c>
      <c r="M156" s="56">
        <v>25.606748740000011</v>
      </c>
      <c r="N156" s="56">
        <f t="shared" ref="N156:N161" si="82">+K156+L156+M156</f>
        <v>113.12445697000001</v>
      </c>
      <c r="O156" s="56">
        <v>38.059427339999992</v>
      </c>
      <c r="P156" s="56">
        <v>21.599304590000003</v>
      </c>
      <c r="Q156" s="56">
        <v>39.262660329999996</v>
      </c>
      <c r="R156" s="56">
        <f t="shared" ref="R156:R161" si="83">+O156+P156+Q156</f>
        <v>98.92139225999999</v>
      </c>
      <c r="S156" s="56">
        <f t="shared" si="74"/>
        <v>212.04584922999999</v>
      </c>
      <c r="T156" s="56">
        <f>+J156+S156</f>
        <v>474.35633558000001</v>
      </c>
      <c r="U156" s="28">
        <f t="shared" si="75"/>
        <v>474.35633558000006</v>
      </c>
      <c r="V156" s="28">
        <f t="shared" si="76"/>
        <v>0</v>
      </c>
    </row>
    <row r="157" spans="1:37" ht="16.5" x14ac:dyDescent="0.3">
      <c r="A157" s="33" t="s">
        <v>231</v>
      </c>
      <c r="B157" s="56"/>
      <c r="C157" s="56"/>
      <c r="D157" s="56"/>
      <c r="E157" s="56"/>
      <c r="F157" s="56"/>
      <c r="G157" s="56"/>
      <c r="H157" s="56"/>
      <c r="I157" s="56"/>
      <c r="J157" s="56"/>
      <c r="K157" s="56"/>
      <c r="L157" s="56"/>
      <c r="M157" s="56"/>
      <c r="N157" s="56"/>
      <c r="O157" s="56"/>
      <c r="P157" s="56"/>
      <c r="Q157" s="56"/>
      <c r="R157" s="56"/>
      <c r="S157" s="56"/>
      <c r="T157" s="56"/>
      <c r="U157" s="28">
        <f t="shared" si="75"/>
        <v>0</v>
      </c>
      <c r="V157" s="28">
        <f t="shared" si="76"/>
        <v>0</v>
      </c>
    </row>
    <row r="158" spans="1:37" x14ac:dyDescent="0.3">
      <c r="A158" s="33" t="s">
        <v>137</v>
      </c>
      <c r="B158" s="30">
        <v>141.85047940999999</v>
      </c>
      <c r="C158" s="30">
        <v>74.531768530000008</v>
      </c>
      <c r="D158" s="30">
        <v>75.434446059999999</v>
      </c>
      <c r="E158" s="30">
        <f t="shared" si="80"/>
        <v>291.81669399999998</v>
      </c>
      <c r="F158" s="30">
        <v>153.73436025999999</v>
      </c>
      <c r="G158" s="30">
        <v>103.00440974</v>
      </c>
      <c r="H158" s="30">
        <v>88.339938200000006</v>
      </c>
      <c r="I158" s="30">
        <f t="shared" si="81"/>
        <v>345.07870819999999</v>
      </c>
      <c r="J158" s="30">
        <f>+E158+I158</f>
        <v>636.89540220000004</v>
      </c>
      <c r="K158" s="30">
        <v>130.60969140000003</v>
      </c>
      <c r="L158" s="30">
        <v>97.540189499999997</v>
      </c>
      <c r="M158" s="30">
        <v>88.580237059999988</v>
      </c>
      <c r="N158" s="30">
        <f t="shared" si="82"/>
        <v>316.73011796000003</v>
      </c>
      <c r="O158" s="30">
        <v>77.347057030000016</v>
      </c>
      <c r="P158" s="30">
        <v>94.310754090000003</v>
      </c>
      <c r="Q158" s="30">
        <v>124.46427345000001</v>
      </c>
      <c r="R158" s="30">
        <f t="shared" si="83"/>
        <v>296.12208457000003</v>
      </c>
      <c r="S158" s="30">
        <f t="shared" si="74"/>
        <v>612.85220253000011</v>
      </c>
      <c r="T158" s="30">
        <f>+J158+S158</f>
        <v>1249.7476047300001</v>
      </c>
      <c r="U158" s="28">
        <f t="shared" si="75"/>
        <v>1249.7476047300001</v>
      </c>
      <c r="V158" s="28">
        <f t="shared" si="76"/>
        <v>0</v>
      </c>
    </row>
    <row r="159" spans="1:37" x14ac:dyDescent="0.3">
      <c r="A159" s="33" t="s">
        <v>232</v>
      </c>
      <c r="B159" s="56">
        <v>363.80652760000027</v>
      </c>
      <c r="C159" s="56">
        <v>182.60143539999996</v>
      </c>
      <c r="D159" s="56">
        <v>297.32964181699998</v>
      </c>
      <c r="E159" s="56">
        <f t="shared" si="80"/>
        <v>843.73760481700015</v>
      </c>
      <c r="F159" s="56">
        <v>377.58655956000018</v>
      </c>
      <c r="G159" s="56">
        <v>325.19952997000001</v>
      </c>
      <c r="H159" s="56">
        <v>301.30325182000001</v>
      </c>
      <c r="I159" s="56">
        <f t="shared" si="81"/>
        <v>1004.0893413500003</v>
      </c>
      <c r="J159" s="56">
        <f>+E159+I159</f>
        <v>1847.8269461670004</v>
      </c>
      <c r="K159" s="56">
        <v>398.54699454999997</v>
      </c>
      <c r="L159" s="56">
        <v>247.65387683000009</v>
      </c>
      <c r="M159" s="56">
        <v>330.70582343000007</v>
      </c>
      <c r="N159" s="56">
        <f t="shared" si="82"/>
        <v>976.90669481000009</v>
      </c>
      <c r="O159" s="56">
        <v>423.6920819100003</v>
      </c>
      <c r="P159" s="56">
        <v>298.25965908000006</v>
      </c>
      <c r="Q159" s="56">
        <v>391.10266836</v>
      </c>
      <c r="R159" s="56">
        <f t="shared" si="83"/>
        <v>1113.0544093500005</v>
      </c>
      <c r="S159" s="56">
        <f t="shared" si="74"/>
        <v>2089.9611041600006</v>
      </c>
      <c r="T159" s="56">
        <f>+J159+S159</f>
        <v>3937.7880503270007</v>
      </c>
      <c r="U159" s="28">
        <f t="shared" si="75"/>
        <v>3937.7880503270007</v>
      </c>
      <c r="V159" s="28">
        <f t="shared" si="76"/>
        <v>0</v>
      </c>
    </row>
    <row r="160" spans="1:37" x14ac:dyDescent="0.3">
      <c r="A160" s="33" t="s">
        <v>233</v>
      </c>
      <c r="B160" s="56"/>
      <c r="C160" s="56"/>
      <c r="D160" s="56"/>
      <c r="E160" s="56"/>
      <c r="F160" s="56"/>
      <c r="G160" s="56"/>
      <c r="H160" s="56"/>
      <c r="I160" s="56"/>
      <c r="J160" s="56"/>
      <c r="K160" s="56"/>
      <c r="L160" s="56"/>
      <c r="M160" s="56"/>
      <c r="N160" s="56"/>
      <c r="O160" s="56"/>
      <c r="P160" s="56"/>
      <c r="Q160" s="56"/>
      <c r="R160" s="56"/>
      <c r="S160" s="56"/>
      <c r="T160" s="56"/>
      <c r="U160" s="28">
        <f t="shared" si="75"/>
        <v>0</v>
      </c>
      <c r="V160" s="28">
        <f t="shared" si="76"/>
        <v>0</v>
      </c>
    </row>
    <row r="161" spans="1:37" x14ac:dyDescent="0.3">
      <c r="A161" s="33" t="s">
        <v>140</v>
      </c>
      <c r="B161" s="30">
        <v>14.402753399999998</v>
      </c>
      <c r="C161" s="30">
        <v>21.815858309999999</v>
      </c>
      <c r="D161" s="30">
        <v>24.98407812</v>
      </c>
      <c r="E161" s="30">
        <f t="shared" si="80"/>
        <v>61.202689829999997</v>
      </c>
      <c r="F161" s="30">
        <v>44.358655599999999</v>
      </c>
      <c r="G161" s="30">
        <v>34.379736129999998</v>
      </c>
      <c r="H161" s="30">
        <v>25.16497889</v>
      </c>
      <c r="I161" s="30">
        <f t="shared" si="81"/>
        <v>103.90337061999999</v>
      </c>
      <c r="J161" s="30">
        <f>+E161+I161</f>
        <v>165.10606044999997</v>
      </c>
      <c r="K161" s="30">
        <v>41.101932300000001</v>
      </c>
      <c r="L161" s="30">
        <v>25.809539079999993</v>
      </c>
      <c r="M161" s="30">
        <v>41.17597545000001</v>
      </c>
      <c r="N161" s="30">
        <f t="shared" si="82"/>
        <v>108.08744683</v>
      </c>
      <c r="O161" s="30">
        <v>34.417051170000001</v>
      </c>
      <c r="P161" s="30">
        <v>28.605453839999999</v>
      </c>
      <c r="Q161" s="30">
        <v>44.110489790000003</v>
      </c>
      <c r="R161" s="30">
        <f t="shared" si="83"/>
        <v>107.13299480000001</v>
      </c>
      <c r="S161" s="30">
        <f t="shared" si="74"/>
        <v>215.22044163000001</v>
      </c>
      <c r="T161" s="30">
        <f>+J161+S161</f>
        <v>380.32650207999995</v>
      </c>
      <c r="U161" s="28">
        <f t="shared" si="75"/>
        <v>380.32650207999995</v>
      </c>
      <c r="V161" s="28">
        <f t="shared" si="76"/>
        <v>0</v>
      </c>
    </row>
    <row r="162" spans="1:37" ht="16.5" x14ac:dyDescent="0.3">
      <c r="A162" s="33" t="s">
        <v>234</v>
      </c>
      <c r="J162" s="41"/>
      <c r="S162" s="41"/>
      <c r="U162" s="28">
        <f t="shared" si="75"/>
        <v>0</v>
      </c>
      <c r="V162" s="28">
        <f t="shared" si="76"/>
        <v>0</v>
      </c>
    </row>
    <row r="163" spans="1:37" x14ac:dyDescent="0.3">
      <c r="U163" s="28">
        <f t="shared" si="75"/>
        <v>0</v>
      </c>
      <c r="V163" s="28">
        <f t="shared" si="76"/>
        <v>0</v>
      </c>
    </row>
    <row r="164" spans="1:37" s="37" customFormat="1" x14ac:dyDescent="0.3">
      <c r="A164" s="37" t="s">
        <v>142</v>
      </c>
      <c r="B164" s="27">
        <f>+B7+B27+B36+B42+B49+B60+B68+B76+B84+B92+B98+B106+B115+B122+B131+B140+B147+B155</f>
        <v>345227.18091383582</v>
      </c>
      <c r="C164" s="27">
        <f t="shared" ref="C164:T164" si="84">+C7+C27+C36+C42+C49+C60+C68+C76+C84+C92+C98+C106+C115+C122+C131+C140+C147+C155</f>
        <v>153197.62875715294</v>
      </c>
      <c r="D164" s="27">
        <f t="shared" si="84"/>
        <v>167682.81190712604</v>
      </c>
      <c r="E164" s="27">
        <f t="shared" si="84"/>
        <v>666107.62157811457</v>
      </c>
      <c r="F164" s="27">
        <f t="shared" si="84"/>
        <v>410997.89747051103</v>
      </c>
      <c r="G164" s="27">
        <f t="shared" si="84"/>
        <v>234520.53336697002</v>
      </c>
      <c r="H164" s="27">
        <f t="shared" si="84"/>
        <v>193192.95215055396</v>
      </c>
      <c r="I164" s="27">
        <f t="shared" si="84"/>
        <v>838711.38298803486</v>
      </c>
      <c r="J164" s="27">
        <f t="shared" si="84"/>
        <v>1504819.00456615</v>
      </c>
      <c r="K164" s="27">
        <f t="shared" si="84"/>
        <v>325683.69553381001</v>
      </c>
      <c r="L164" s="27">
        <f t="shared" si="84"/>
        <v>242242.17898065702</v>
      </c>
      <c r="M164" s="27">
        <f t="shared" si="84"/>
        <v>171775.62824760002</v>
      </c>
      <c r="N164" s="27">
        <f t="shared" si="84"/>
        <v>739701.50276206678</v>
      </c>
      <c r="O164" s="27">
        <f t="shared" si="84"/>
        <v>316049.94165843498</v>
      </c>
      <c r="P164" s="27">
        <f t="shared" si="84"/>
        <v>246296.02852595001</v>
      </c>
      <c r="Q164" s="27">
        <f t="shared" si="84"/>
        <v>198119.60034200002</v>
      </c>
      <c r="R164" s="27">
        <f t="shared" si="84"/>
        <v>760465.57052638498</v>
      </c>
      <c r="S164" s="27">
        <f t="shared" si="84"/>
        <v>1500167.0732884514</v>
      </c>
      <c r="T164" s="27">
        <f t="shared" si="84"/>
        <v>3004986.0778546017</v>
      </c>
      <c r="U164" s="28">
        <f t="shared" si="75"/>
        <v>3004986.0778546017</v>
      </c>
      <c r="V164" s="28">
        <f t="shared" si="76"/>
        <v>0</v>
      </c>
      <c r="W164" s="27"/>
      <c r="X164" s="27"/>
      <c r="Y164" s="27"/>
      <c r="Z164" s="27"/>
      <c r="AA164" s="27"/>
      <c r="AB164" s="27"/>
      <c r="AC164" s="27"/>
      <c r="AD164" s="27"/>
      <c r="AE164" s="27"/>
      <c r="AF164" s="27"/>
      <c r="AG164" s="27"/>
      <c r="AH164" s="27"/>
      <c r="AI164" s="27"/>
      <c r="AJ164" s="27"/>
      <c r="AK164" s="27"/>
    </row>
    <row r="165" spans="1:37" x14ac:dyDescent="0.3">
      <c r="U165" s="28">
        <f t="shared" si="75"/>
        <v>0</v>
      </c>
      <c r="V165" s="28">
        <f t="shared" si="76"/>
        <v>0</v>
      </c>
    </row>
    <row r="166" spans="1:37" s="37" customFormat="1" x14ac:dyDescent="0.3">
      <c r="A166" s="37" t="s">
        <v>143</v>
      </c>
      <c r="B166" s="27">
        <v>9779.3245648600005</v>
      </c>
      <c r="C166" s="27">
        <v>7448.05907914</v>
      </c>
      <c r="D166" s="27">
        <v>9904.4336475</v>
      </c>
      <c r="E166" s="27">
        <f t="shared" ref="E166" si="85">+B166+C166+D166</f>
        <v>27131.817291500003</v>
      </c>
      <c r="F166" s="27">
        <v>10989.617147200001</v>
      </c>
      <c r="G166" s="27">
        <v>9745.3588746700007</v>
      </c>
      <c r="H166" s="27">
        <v>8931.5906458299996</v>
      </c>
      <c r="I166" s="27">
        <f t="shared" ref="I166" si="86">+F166+G166+H166</f>
        <v>29666.566667700004</v>
      </c>
      <c r="J166" s="27">
        <f>+E166+I166</f>
        <v>56798.383959200008</v>
      </c>
      <c r="K166" s="27">
        <v>13141.500840950001</v>
      </c>
      <c r="L166" s="27">
        <v>8397.8709834300007</v>
      </c>
      <c r="M166" s="27">
        <v>11737.641666510001</v>
      </c>
      <c r="N166" s="27">
        <f t="shared" ref="N166" si="87">+K166+L166+M166</f>
        <v>33277.013490890007</v>
      </c>
      <c r="O166" s="27">
        <v>12972.080619310002</v>
      </c>
      <c r="P166" s="27">
        <v>8867.6223985299985</v>
      </c>
      <c r="Q166" s="27">
        <v>6341.3974169400008</v>
      </c>
      <c r="R166" s="27">
        <f t="shared" ref="R166" si="88">+O166+P166+Q166</f>
        <v>28181.100434780004</v>
      </c>
      <c r="S166" s="27">
        <f t="shared" si="74"/>
        <v>61458.113925670012</v>
      </c>
      <c r="T166" s="27">
        <f>+J166+S166</f>
        <v>118256.49788487001</v>
      </c>
      <c r="U166" s="28">
        <f t="shared" si="75"/>
        <v>118256.49788487</v>
      </c>
      <c r="V166" s="28">
        <f t="shared" si="76"/>
        <v>0</v>
      </c>
      <c r="W166" s="27"/>
      <c r="X166" s="27"/>
      <c r="Y166" s="27"/>
      <c r="Z166" s="27"/>
      <c r="AA166" s="27"/>
      <c r="AB166" s="27"/>
      <c r="AC166" s="27"/>
      <c r="AD166" s="27"/>
      <c r="AE166" s="27"/>
      <c r="AF166" s="27"/>
      <c r="AG166" s="27"/>
      <c r="AH166" s="27"/>
      <c r="AI166" s="27"/>
      <c r="AJ166" s="27"/>
      <c r="AK166" s="27"/>
    </row>
    <row r="167" spans="1:37" x14ac:dyDescent="0.3">
      <c r="U167" s="28">
        <f t="shared" si="75"/>
        <v>0</v>
      </c>
      <c r="V167" s="28">
        <f t="shared" si="76"/>
        <v>0</v>
      </c>
    </row>
    <row r="168" spans="1:37" s="37" customFormat="1" x14ac:dyDescent="0.3">
      <c r="A168" s="37" t="s">
        <v>144</v>
      </c>
      <c r="B168" s="27">
        <v>89.000466162993774</v>
      </c>
      <c r="C168" s="27">
        <v>-96.447201643004789</v>
      </c>
      <c r="D168" s="27">
        <v>81.535025913999519</v>
      </c>
      <c r="E168" s="27">
        <f t="shared" ref="E168" si="89">+B168+C168+D168</f>
        <v>74.088290433988504</v>
      </c>
      <c r="F168" s="27">
        <v>-160.26690306100437</v>
      </c>
      <c r="G168" s="27">
        <v>258.70403250000368</v>
      </c>
      <c r="H168" s="27">
        <v>-38.671431359998621</v>
      </c>
      <c r="I168" s="27">
        <f t="shared" ref="I168" si="90">+F168+G168+H168</f>
        <v>59.765698079000686</v>
      </c>
      <c r="J168" s="27">
        <f>+E168+I168</f>
        <v>133.85398851298919</v>
      </c>
      <c r="K168" s="27">
        <v>202.85892965999872</v>
      </c>
      <c r="L168" s="27">
        <v>-30.182152379998914</v>
      </c>
      <c r="M168" s="27">
        <v>12.007361130000307</v>
      </c>
      <c r="N168" s="27">
        <f t="shared" ref="N168" si="91">+K168+L168+M168</f>
        <v>184.68413841000012</v>
      </c>
      <c r="O168" s="27">
        <v>31.475070169989095</v>
      </c>
      <c r="P168" s="27">
        <v>230.52573575999983</v>
      </c>
      <c r="Q168" s="27">
        <v>-320.51654090999943</v>
      </c>
      <c r="R168" s="27">
        <f t="shared" ref="R168" si="92">+O168+P168+Q168</f>
        <v>-58.515734980010507</v>
      </c>
      <c r="S168" s="27">
        <f t="shared" si="74"/>
        <v>126.16840342998961</v>
      </c>
      <c r="T168" s="27">
        <f>+J168+S168</f>
        <v>260.0223919429788</v>
      </c>
      <c r="U168" s="28">
        <f t="shared" si="75"/>
        <v>260.02239194297886</v>
      </c>
      <c r="V168" s="28">
        <f t="shared" si="76"/>
        <v>0</v>
      </c>
      <c r="W168" s="27"/>
      <c r="X168" s="27"/>
      <c r="Y168" s="27"/>
      <c r="Z168" s="27"/>
      <c r="AA168" s="27"/>
      <c r="AB168" s="27"/>
      <c r="AC168" s="27"/>
      <c r="AD168" s="27"/>
      <c r="AE168" s="27"/>
      <c r="AF168" s="27"/>
      <c r="AG168" s="27"/>
      <c r="AH168" s="27"/>
      <c r="AI168" s="27"/>
      <c r="AJ168" s="27"/>
      <c r="AK168" s="27"/>
    </row>
    <row r="169" spans="1:37" x14ac:dyDescent="0.3">
      <c r="U169" s="28">
        <f t="shared" si="75"/>
        <v>0</v>
      </c>
      <c r="V169" s="28">
        <f t="shared" si="76"/>
        <v>0</v>
      </c>
    </row>
    <row r="170" spans="1:37" s="37" customFormat="1" x14ac:dyDescent="0.3">
      <c r="A170" s="37" t="s">
        <v>145</v>
      </c>
      <c r="B170" s="27">
        <f>+B164+B166+B168</f>
        <v>355095.50594485883</v>
      </c>
      <c r="C170" s="27">
        <f t="shared" ref="C170:T170" si="93">+C164+C166+C168</f>
        <v>160549.24063464993</v>
      </c>
      <c r="D170" s="27">
        <f t="shared" si="93"/>
        <v>177668.78058054004</v>
      </c>
      <c r="E170" s="27">
        <f t="shared" si="93"/>
        <v>693313.5271600486</v>
      </c>
      <c r="F170" s="27">
        <f t="shared" si="93"/>
        <v>421827.24771465</v>
      </c>
      <c r="G170" s="27">
        <f t="shared" si="93"/>
        <v>244524.59627414003</v>
      </c>
      <c r="H170" s="27">
        <f t="shared" si="93"/>
        <v>202085.87136502395</v>
      </c>
      <c r="I170" s="27">
        <f t="shared" si="93"/>
        <v>868437.71535381384</v>
      </c>
      <c r="J170" s="27">
        <f t="shared" si="93"/>
        <v>1561751.2425138629</v>
      </c>
      <c r="K170" s="27">
        <f t="shared" si="93"/>
        <v>339028.05530442001</v>
      </c>
      <c r="L170" s="27">
        <f t="shared" si="93"/>
        <v>250609.86781170702</v>
      </c>
      <c r="M170" s="27">
        <f t="shared" si="93"/>
        <v>183525.27727524002</v>
      </c>
      <c r="N170" s="27">
        <f t="shared" si="93"/>
        <v>773163.20039136684</v>
      </c>
      <c r="O170" s="27">
        <f t="shared" si="93"/>
        <v>329053.49734791502</v>
      </c>
      <c r="P170" s="27">
        <f t="shared" si="93"/>
        <v>255394.17666023999</v>
      </c>
      <c r="Q170" s="27">
        <f t="shared" si="93"/>
        <v>204140.48121803001</v>
      </c>
      <c r="R170" s="27">
        <f t="shared" si="93"/>
        <v>788588.15522618499</v>
      </c>
      <c r="S170" s="27">
        <f t="shared" si="93"/>
        <v>1561751.3556175514</v>
      </c>
      <c r="T170" s="27">
        <f t="shared" si="93"/>
        <v>3123502.5981314145</v>
      </c>
      <c r="U170" s="28">
        <f t="shared" si="75"/>
        <v>3123502.5981314154</v>
      </c>
      <c r="V170" s="28">
        <f t="shared" si="76"/>
        <v>0</v>
      </c>
      <c r="W170" s="27"/>
      <c r="X170" s="27"/>
      <c r="Y170" s="27"/>
      <c r="Z170" s="27"/>
      <c r="AA170" s="27"/>
      <c r="AB170" s="27"/>
      <c r="AC170" s="27"/>
      <c r="AD170" s="27"/>
      <c r="AE170" s="27"/>
      <c r="AF170" s="27"/>
      <c r="AG170" s="27"/>
      <c r="AH170" s="27"/>
      <c r="AI170" s="27"/>
      <c r="AJ170" s="27"/>
      <c r="AK170" s="27"/>
    </row>
    <row r="171" spans="1:37" x14ac:dyDescent="0.3">
      <c r="U171" s="28">
        <f t="shared" si="75"/>
        <v>0</v>
      </c>
      <c r="V171" s="28">
        <f t="shared" si="76"/>
        <v>0</v>
      </c>
    </row>
    <row r="172" spans="1:37" s="37" customFormat="1" x14ac:dyDescent="0.3">
      <c r="A172" s="37" t="s">
        <v>146</v>
      </c>
      <c r="B172" s="27">
        <v>0</v>
      </c>
      <c r="C172" s="27">
        <v>-896.44268126999998</v>
      </c>
      <c r="D172" s="27">
        <v>-2008.80401508</v>
      </c>
      <c r="E172" s="27">
        <f t="shared" ref="E172" si="94">+B172+C172+D172</f>
        <v>-2905.2466963500001</v>
      </c>
      <c r="F172" s="27">
        <v>-1250.45316237</v>
      </c>
      <c r="G172" s="27">
        <v>-1870.10883956</v>
      </c>
      <c r="H172" s="27">
        <v>-1561.58125079</v>
      </c>
      <c r="I172" s="27">
        <f t="shared" ref="I172" si="95">+F172+G172+H172</f>
        <v>-4682.1432527199995</v>
      </c>
      <c r="J172" s="27">
        <f>+E172+I172</f>
        <v>-7587.3899490699996</v>
      </c>
      <c r="K172" s="27">
        <v>-3773.9603912100001</v>
      </c>
      <c r="L172" s="27">
        <v>-497.79391232</v>
      </c>
      <c r="M172" s="27">
        <v>-563.87831749999998</v>
      </c>
      <c r="N172" s="27">
        <f t="shared" ref="N172" si="96">+K172+L172+M172</f>
        <v>-4835.6326210300003</v>
      </c>
      <c r="O172" s="27">
        <v>-211.17647965999998</v>
      </c>
      <c r="P172" s="27">
        <v>-1109.41599759</v>
      </c>
      <c r="Q172" s="27">
        <v>69.558451700000006</v>
      </c>
      <c r="R172" s="27">
        <f t="shared" ref="R172" si="97">+O172+P172+Q172</f>
        <v>-1251.03402555</v>
      </c>
      <c r="S172" s="27">
        <f t="shared" si="74"/>
        <v>-6086.6666465800008</v>
      </c>
      <c r="T172" s="27">
        <f>+J172+S172</f>
        <v>-13674.05659565</v>
      </c>
      <c r="U172" s="28">
        <f t="shared" si="75"/>
        <v>-13674.05659565</v>
      </c>
      <c r="V172" s="28">
        <f t="shared" si="76"/>
        <v>0</v>
      </c>
      <c r="W172" s="27"/>
      <c r="X172" s="27"/>
      <c r="Y172" s="27"/>
      <c r="Z172" s="27"/>
      <c r="AA172" s="27"/>
      <c r="AB172" s="27"/>
      <c r="AC172" s="27"/>
      <c r="AD172" s="27"/>
      <c r="AE172" s="27"/>
      <c r="AF172" s="27"/>
      <c r="AG172" s="27"/>
      <c r="AH172" s="27"/>
      <c r="AI172" s="27"/>
      <c r="AJ172" s="27"/>
      <c r="AK172" s="27"/>
    </row>
    <row r="173" spans="1:37" x14ac:dyDescent="0.3">
      <c r="U173" s="28">
        <f t="shared" si="75"/>
        <v>0</v>
      </c>
      <c r="V173" s="28">
        <f t="shared" si="76"/>
        <v>0</v>
      </c>
    </row>
    <row r="174" spans="1:37" s="37" customFormat="1" x14ac:dyDescent="0.3">
      <c r="A174" s="37" t="s">
        <v>147</v>
      </c>
      <c r="B174" s="42">
        <f>+B170+B172</f>
        <v>355095.50594485883</v>
      </c>
      <c r="C174" s="42">
        <f t="shared" ref="C174:T174" si="98">+C170+C172</f>
        <v>159652.79795337992</v>
      </c>
      <c r="D174" s="42">
        <f t="shared" si="98"/>
        <v>175659.97656546003</v>
      </c>
      <c r="E174" s="42">
        <f t="shared" si="98"/>
        <v>690408.28046369855</v>
      </c>
      <c r="F174" s="42">
        <f t="shared" si="98"/>
        <v>420576.79455227999</v>
      </c>
      <c r="G174" s="42">
        <f t="shared" si="98"/>
        <v>242654.48743458002</v>
      </c>
      <c r="H174" s="42">
        <f t="shared" si="98"/>
        <v>200524.29011423394</v>
      </c>
      <c r="I174" s="42">
        <f t="shared" si="98"/>
        <v>863755.57210109383</v>
      </c>
      <c r="J174" s="42">
        <f t="shared" si="98"/>
        <v>1554163.8525647928</v>
      </c>
      <c r="K174" s="42">
        <f t="shared" si="98"/>
        <v>335254.09491321002</v>
      </c>
      <c r="L174" s="42">
        <f t="shared" si="98"/>
        <v>250112.07389938703</v>
      </c>
      <c r="M174" s="42">
        <f t="shared" si="98"/>
        <v>182961.39895774002</v>
      </c>
      <c r="N174" s="42">
        <f t="shared" si="98"/>
        <v>768327.56777033687</v>
      </c>
      <c r="O174" s="42">
        <f t="shared" si="98"/>
        <v>328842.32086825505</v>
      </c>
      <c r="P174" s="42">
        <f t="shared" si="98"/>
        <v>254284.76066264999</v>
      </c>
      <c r="Q174" s="42">
        <f t="shared" si="98"/>
        <v>204210.03966973</v>
      </c>
      <c r="R174" s="42">
        <f t="shared" si="98"/>
        <v>787337.12120063498</v>
      </c>
      <c r="S174" s="42">
        <f t="shared" si="98"/>
        <v>1555664.6889709714</v>
      </c>
      <c r="T174" s="42">
        <f t="shared" si="98"/>
        <v>3109828.5415357645</v>
      </c>
      <c r="U174" s="28">
        <f t="shared" si="75"/>
        <v>3109828.5415357649</v>
      </c>
      <c r="V174" s="28">
        <f t="shared" si="76"/>
        <v>0</v>
      </c>
      <c r="W174" s="27"/>
      <c r="X174" s="27"/>
      <c r="Y174" s="27"/>
      <c r="Z174" s="27"/>
      <c r="AA174" s="27"/>
      <c r="AB174" s="27"/>
      <c r="AC174" s="27"/>
      <c r="AD174" s="27"/>
      <c r="AE174" s="27"/>
      <c r="AF174" s="27"/>
      <c r="AG174" s="27"/>
      <c r="AH174" s="27"/>
      <c r="AI174" s="27"/>
      <c r="AJ174" s="27"/>
      <c r="AK174" s="27"/>
    </row>
    <row r="175" spans="1:37" s="37" customFormat="1" ht="15" thickBot="1" x14ac:dyDescent="0.35">
      <c r="A175" s="43"/>
      <c r="B175" s="44"/>
      <c r="C175" s="44"/>
      <c r="D175" s="44"/>
      <c r="E175" s="44"/>
      <c r="F175" s="44"/>
      <c r="G175" s="44"/>
      <c r="H175" s="44"/>
      <c r="I175" s="44"/>
      <c r="J175" s="44"/>
      <c r="K175" s="44"/>
      <c r="L175" s="44"/>
      <c r="M175" s="44"/>
      <c r="N175" s="44"/>
      <c r="O175" s="44"/>
      <c r="P175" s="44"/>
      <c r="Q175" s="44"/>
      <c r="R175" s="44"/>
      <c r="S175" s="44"/>
      <c r="T175" s="44"/>
      <c r="U175" s="28"/>
      <c r="V175" s="28"/>
      <c r="W175" s="27"/>
      <c r="X175" s="27"/>
      <c r="Y175" s="27"/>
      <c r="Z175" s="27"/>
      <c r="AA175" s="27"/>
      <c r="AB175" s="27"/>
      <c r="AC175" s="27"/>
      <c r="AD175" s="27"/>
      <c r="AE175" s="27"/>
      <c r="AF175" s="27"/>
      <c r="AG175" s="27"/>
      <c r="AH175" s="27"/>
      <c r="AI175" s="27"/>
      <c r="AJ175" s="27"/>
      <c r="AK175" s="27"/>
    </row>
    <row r="176" spans="1:37" x14ac:dyDescent="0.3">
      <c r="A176" s="45"/>
    </row>
    <row r="177" spans="1:36" s="50" customFormat="1" ht="15" customHeight="1" x14ac:dyDescent="0.3">
      <c r="A177" s="46"/>
      <c r="B177" s="47"/>
      <c r="C177" s="47"/>
      <c r="D177" s="47"/>
      <c r="E177" s="47"/>
      <c r="F177" s="47"/>
      <c r="G177" s="47"/>
      <c r="H177" s="47"/>
      <c r="I177" s="47"/>
      <c r="J177" s="47"/>
      <c r="K177" s="48"/>
      <c r="L177" s="48"/>
      <c r="M177" s="48"/>
      <c r="N177" s="48"/>
      <c r="O177" s="48"/>
      <c r="P177" s="48"/>
      <c r="Q177" s="48"/>
      <c r="R177" s="48"/>
      <c r="S177" s="48"/>
      <c r="T177" s="48"/>
      <c r="U177" s="49"/>
      <c r="V177" s="49"/>
      <c r="W177" s="48"/>
      <c r="X177" s="48"/>
      <c r="Y177" s="48"/>
      <c r="Z177" s="48"/>
      <c r="AA177" s="48"/>
      <c r="AB177" s="48"/>
      <c r="AC177" s="48"/>
      <c r="AD177" s="48"/>
      <c r="AE177" s="48"/>
      <c r="AF177" s="48"/>
      <c r="AG177" s="48"/>
      <c r="AH177" s="48"/>
      <c r="AI177" s="48"/>
      <c r="AJ177" s="48"/>
    </row>
    <row r="178" spans="1:36" s="50" customFormat="1" ht="15" customHeight="1" x14ac:dyDescent="0.3">
      <c r="A178" s="46"/>
      <c r="B178" s="51"/>
      <c r="C178" s="51"/>
      <c r="D178" s="51"/>
      <c r="E178" s="51"/>
      <c r="F178" s="51"/>
      <c r="G178" s="51"/>
      <c r="H178" s="51"/>
      <c r="I178" s="51"/>
      <c r="J178" s="51"/>
      <c r="U178" s="52"/>
      <c r="V178" s="52"/>
    </row>
    <row r="179" spans="1:36" x14ac:dyDescent="0.3">
      <c r="A179" s="53"/>
    </row>
    <row r="180" spans="1:36" x14ac:dyDescent="0.3">
      <c r="A180" s="54"/>
    </row>
    <row r="181" spans="1:36" x14ac:dyDescent="0.3">
      <c r="A181" s="54"/>
    </row>
    <row r="182" spans="1:36" x14ac:dyDescent="0.3">
      <c r="A182" s="54"/>
    </row>
    <row r="183" spans="1:36" x14ac:dyDescent="0.3">
      <c r="A183" s="54"/>
    </row>
    <row r="184" spans="1:36" x14ac:dyDescent="0.3">
      <c r="A184" s="54"/>
    </row>
    <row r="185" spans="1:36" x14ac:dyDescent="0.3">
      <c r="A185" s="54"/>
    </row>
    <row r="186" spans="1:36" x14ac:dyDescent="0.3">
      <c r="A186" s="54"/>
    </row>
    <row r="187" spans="1:36" x14ac:dyDescent="0.3">
      <c r="A187" s="54"/>
    </row>
    <row r="188" spans="1:36" x14ac:dyDescent="0.3">
      <c r="A188" s="54"/>
    </row>
    <row r="189" spans="1:36" x14ac:dyDescent="0.3">
      <c r="A189" s="54"/>
    </row>
    <row r="190" spans="1:36" x14ac:dyDescent="0.3">
      <c r="A190" s="54"/>
    </row>
    <row r="191" spans="1:36" x14ac:dyDescent="0.3">
      <c r="A191" s="54"/>
    </row>
    <row r="192" spans="1:36" ht="14.25" customHeight="1" x14ac:dyDescent="0.3">
      <c r="A192" s="54"/>
      <c r="B192" s="54"/>
      <c r="C192" s="54"/>
      <c r="D192" s="54"/>
      <c r="E192" s="54"/>
      <c r="F192" s="54"/>
      <c r="G192" s="54"/>
      <c r="H192" s="54"/>
      <c r="I192" s="54"/>
      <c r="J192" s="54"/>
      <c r="K192" s="54"/>
      <c r="L192" s="54"/>
      <c r="M192" s="54"/>
      <c r="N192" s="54"/>
      <c r="O192" s="54"/>
      <c r="P192" s="54"/>
      <c r="Q192" s="54"/>
      <c r="R192" s="54"/>
      <c r="S192" s="54"/>
      <c r="T192" s="54"/>
    </row>
    <row r="193" spans="1:1" x14ac:dyDescent="0.3">
      <c r="A193" s="54"/>
    </row>
    <row r="194" spans="1:1" x14ac:dyDescent="0.3">
      <c r="A194" s="54"/>
    </row>
    <row r="195" spans="1:1" x14ac:dyDescent="0.3">
      <c r="A195" s="54"/>
    </row>
    <row r="196" spans="1:1" x14ac:dyDescent="0.3">
      <c r="A196" s="54"/>
    </row>
    <row r="197" spans="1:1" x14ac:dyDescent="0.3">
      <c r="A197" s="54"/>
    </row>
    <row r="198" spans="1:1" x14ac:dyDescent="0.3">
      <c r="A198" s="54"/>
    </row>
  </sheetData>
  <mergeCells count="361">
    <mergeCell ref="D11:D12"/>
    <mergeCell ref="E11:E12"/>
    <mergeCell ref="F11:F12"/>
    <mergeCell ref="G11:G12"/>
    <mergeCell ref="T11:T12"/>
    <mergeCell ref="B22:B23"/>
    <mergeCell ref="C22:C23"/>
    <mergeCell ref="D22:D23"/>
    <mergeCell ref="E22:E23"/>
    <mergeCell ref="F22:F23"/>
    <mergeCell ref="G22:G23"/>
    <mergeCell ref="H22:H23"/>
    <mergeCell ref="I22:I23"/>
    <mergeCell ref="J22:J23"/>
    <mergeCell ref="N11:N12"/>
    <mergeCell ref="O11:O12"/>
    <mergeCell ref="P11:P12"/>
    <mergeCell ref="Q11:Q12"/>
    <mergeCell ref="R11:R12"/>
    <mergeCell ref="S11:S12"/>
    <mergeCell ref="H11:H12"/>
    <mergeCell ref="I11:I12"/>
    <mergeCell ref="J11:J12"/>
    <mergeCell ref="K11:K12"/>
    <mergeCell ref="L11:L12"/>
    <mergeCell ref="M11:M12"/>
    <mergeCell ref="B11:B12"/>
    <mergeCell ref="C11:C12"/>
    <mergeCell ref="Q22:Q23"/>
    <mergeCell ref="R22:R23"/>
    <mergeCell ref="S22:S23"/>
    <mergeCell ref="T22:T23"/>
    <mergeCell ref="B29:B30"/>
    <mergeCell ref="C29:C30"/>
    <mergeCell ref="D29:D30"/>
    <mergeCell ref="E29:E30"/>
    <mergeCell ref="F29:F30"/>
    <mergeCell ref="G29:G30"/>
    <mergeCell ref="K22:K23"/>
    <mergeCell ref="L22:L23"/>
    <mergeCell ref="M22:M23"/>
    <mergeCell ref="N22:N23"/>
    <mergeCell ref="O22:O23"/>
    <mergeCell ref="P22:P23"/>
    <mergeCell ref="T29:T30"/>
    <mergeCell ref="B43:B44"/>
    <mergeCell ref="C43:C44"/>
    <mergeCell ref="D43:D44"/>
    <mergeCell ref="E43:E44"/>
    <mergeCell ref="F43:F44"/>
    <mergeCell ref="G43:G44"/>
    <mergeCell ref="H43:H44"/>
    <mergeCell ref="I43:I44"/>
    <mergeCell ref="J43:J44"/>
    <mergeCell ref="N29:N30"/>
    <mergeCell ref="O29:O30"/>
    <mergeCell ref="P29:P30"/>
    <mergeCell ref="Q29:Q30"/>
    <mergeCell ref="R29:R30"/>
    <mergeCell ref="S29:S30"/>
    <mergeCell ref="H29:H30"/>
    <mergeCell ref="I29:I30"/>
    <mergeCell ref="J29:J30"/>
    <mergeCell ref="K29:K30"/>
    <mergeCell ref="L29:L30"/>
    <mergeCell ref="M29:M30"/>
    <mergeCell ref="Q43:Q44"/>
    <mergeCell ref="R43:R44"/>
    <mergeCell ref="S43:S44"/>
    <mergeCell ref="T43:T44"/>
    <mergeCell ref="B72:B73"/>
    <mergeCell ref="C72:C73"/>
    <mergeCell ref="D72:D73"/>
    <mergeCell ref="E72:E73"/>
    <mergeCell ref="F72:F73"/>
    <mergeCell ref="G72:G73"/>
    <mergeCell ref="K43:K44"/>
    <mergeCell ref="L43:L44"/>
    <mergeCell ref="M43:M44"/>
    <mergeCell ref="N43:N44"/>
    <mergeCell ref="O43:O44"/>
    <mergeCell ref="P43:P44"/>
    <mergeCell ref="T72:T73"/>
    <mergeCell ref="B89:B90"/>
    <mergeCell ref="C89:C90"/>
    <mergeCell ref="D89:D90"/>
    <mergeCell ref="E89:E90"/>
    <mergeCell ref="F89:F90"/>
    <mergeCell ref="G89:G90"/>
    <mergeCell ref="H89:H90"/>
    <mergeCell ref="I89:I90"/>
    <mergeCell ref="J89:J90"/>
    <mergeCell ref="N72:N73"/>
    <mergeCell ref="O72:O73"/>
    <mergeCell ref="P72:P73"/>
    <mergeCell ref="Q72:Q73"/>
    <mergeCell ref="R72:R73"/>
    <mergeCell ref="S72:S73"/>
    <mergeCell ref="H72:H73"/>
    <mergeCell ref="I72:I73"/>
    <mergeCell ref="J72:J73"/>
    <mergeCell ref="K72:K73"/>
    <mergeCell ref="L72:L73"/>
    <mergeCell ref="M72:M73"/>
    <mergeCell ref="Q89:Q90"/>
    <mergeCell ref="R89:R90"/>
    <mergeCell ref="S89:S90"/>
    <mergeCell ref="T89:T90"/>
    <mergeCell ref="B93:B94"/>
    <mergeCell ref="C93:C94"/>
    <mergeCell ref="D93:D94"/>
    <mergeCell ref="E93:E94"/>
    <mergeCell ref="F93:F94"/>
    <mergeCell ref="G93:G94"/>
    <mergeCell ref="K89:K90"/>
    <mergeCell ref="L89:L90"/>
    <mergeCell ref="M89:M90"/>
    <mergeCell ref="N89:N90"/>
    <mergeCell ref="O89:O90"/>
    <mergeCell ref="P89:P90"/>
    <mergeCell ref="T93:T94"/>
    <mergeCell ref="B95:B96"/>
    <mergeCell ref="C95:C96"/>
    <mergeCell ref="D95:D96"/>
    <mergeCell ref="E95:E96"/>
    <mergeCell ref="F95:F96"/>
    <mergeCell ref="G95:G96"/>
    <mergeCell ref="H95:H96"/>
    <mergeCell ref="I95:I96"/>
    <mergeCell ref="J95:J96"/>
    <mergeCell ref="N93:N94"/>
    <mergeCell ref="O93:O94"/>
    <mergeCell ref="P93:P94"/>
    <mergeCell ref="Q93:Q94"/>
    <mergeCell ref="R93:R94"/>
    <mergeCell ref="S93:S94"/>
    <mergeCell ref="H93:H94"/>
    <mergeCell ref="I93:I94"/>
    <mergeCell ref="J93:J94"/>
    <mergeCell ref="K93:K94"/>
    <mergeCell ref="L93:L94"/>
    <mergeCell ref="M93:M94"/>
    <mergeCell ref="Q95:Q96"/>
    <mergeCell ref="R95:R96"/>
    <mergeCell ref="S95:S96"/>
    <mergeCell ref="T95:T96"/>
    <mergeCell ref="B100:B102"/>
    <mergeCell ref="C100:C102"/>
    <mergeCell ref="D100:D102"/>
    <mergeCell ref="E100:E102"/>
    <mergeCell ref="F100:F102"/>
    <mergeCell ref="G100:G102"/>
    <mergeCell ref="K95:K96"/>
    <mergeCell ref="L95:L96"/>
    <mergeCell ref="M95:M96"/>
    <mergeCell ref="N95:N96"/>
    <mergeCell ref="O95:O96"/>
    <mergeCell ref="P95:P96"/>
    <mergeCell ref="T100:T102"/>
    <mergeCell ref="B107:B108"/>
    <mergeCell ref="C107:C108"/>
    <mergeCell ref="D107:D108"/>
    <mergeCell ref="E107:E108"/>
    <mergeCell ref="F107:F108"/>
    <mergeCell ref="G107:G108"/>
    <mergeCell ref="H107:H108"/>
    <mergeCell ref="I107:I108"/>
    <mergeCell ref="J107:J108"/>
    <mergeCell ref="N100:N102"/>
    <mergeCell ref="O100:O102"/>
    <mergeCell ref="P100:P102"/>
    <mergeCell ref="Q100:Q102"/>
    <mergeCell ref="R100:R102"/>
    <mergeCell ref="S100:S102"/>
    <mergeCell ref="H100:H102"/>
    <mergeCell ref="I100:I102"/>
    <mergeCell ref="J100:J102"/>
    <mergeCell ref="K100:K102"/>
    <mergeCell ref="L100:L102"/>
    <mergeCell ref="M100:M102"/>
    <mergeCell ref="Q107:Q108"/>
    <mergeCell ref="R107:R108"/>
    <mergeCell ref="S107:S108"/>
    <mergeCell ref="T107:T108"/>
    <mergeCell ref="B124:B125"/>
    <mergeCell ref="C124:C125"/>
    <mergeCell ref="D124:D125"/>
    <mergeCell ref="E124:E125"/>
    <mergeCell ref="F124:F125"/>
    <mergeCell ref="G124:G125"/>
    <mergeCell ref="K107:K108"/>
    <mergeCell ref="L107:L108"/>
    <mergeCell ref="M107:M108"/>
    <mergeCell ref="N107:N108"/>
    <mergeCell ref="O107:O108"/>
    <mergeCell ref="P107:P108"/>
    <mergeCell ref="T124:T125"/>
    <mergeCell ref="B127:B128"/>
    <mergeCell ref="C127:C128"/>
    <mergeCell ref="D127:D128"/>
    <mergeCell ref="E127:E128"/>
    <mergeCell ref="F127:F128"/>
    <mergeCell ref="G127:G128"/>
    <mergeCell ref="H127:H128"/>
    <mergeCell ref="I127:I128"/>
    <mergeCell ref="J127:J128"/>
    <mergeCell ref="N124:N125"/>
    <mergeCell ref="O124:O125"/>
    <mergeCell ref="P124:P125"/>
    <mergeCell ref="Q124:Q125"/>
    <mergeCell ref="R124:R125"/>
    <mergeCell ref="S124:S125"/>
    <mergeCell ref="H124:H125"/>
    <mergeCell ref="I124:I125"/>
    <mergeCell ref="J124:J125"/>
    <mergeCell ref="K124:K125"/>
    <mergeCell ref="L124:L125"/>
    <mergeCell ref="M124:M125"/>
    <mergeCell ref="Q127:Q128"/>
    <mergeCell ref="R127:R128"/>
    <mergeCell ref="S127:S128"/>
    <mergeCell ref="T127:T128"/>
    <mergeCell ref="B132:B133"/>
    <mergeCell ref="C132:C133"/>
    <mergeCell ref="D132:D133"/>
    <mergeCell ref="E132:E133"/>
    <mergeCell ref="F132:F133"/>
    <mergeCell ref="G132:G133"/>
    <mergeCell ref="K127:K128"/>
    <mergeCell ref="L127:L128"/>
    <mergeCell ref="M127:M128"/>
    <mergeCell ref="N127:N128"/>
    <mergeCell ref="O127:O128"/>
    <mergeCell ref="P127:P128"/>
    <mergeCell ref="T132:T133"/>
    <mergeCell ref="B134:B135"/>
    <mergeCell ref="C134:C135"/>
    <mergeCell ref="D134:D135"/>
    <mergeCell ref="E134:E135"/>
    <mergeCell ref="F134:F135"/>
    <mergeCell ref="G134:G135"/>
    <mergeCell ref="H134:H135"/>
    <mergeCell ref="I134:I135"/>
    <mergeCell ref="J134:J135"/>
    <mergeCell ref="N132:N133"/>
    <mergeCell ref="O132:O133"/>
    <mergeCell ref="P132:P133"/>
    <mergeCell ref="Q132:Q133"/>
    <mergeCell ref="R132:R133"/>
    <mergeCell ref="S132:S133"/>
    <mergeCell ref="H132:H133"/>
    <mergeCell ref="I132:I133"/>
    <mergeCell ref="J132:J133"/>
    <mergeCell ref="K132:K133"/>
    <mergeCell ref="L132:L133"/>
    <mergeCell ref="M132:M133"/>
    <mergeCell ref="Q134:Q135"/>
    <mergeCell ref="R134:R135"/>
    <mergeCell ref="S134:S135"/>
    <mergeCell ref="T134:T135"/>
    <mergeCell ref="B144:B145"/>
    <mergeCell ref="C144:C145"/>
    <mergeCell ref="D144:D145"/>
    <mergeCell ref="E144:E145"/>
    <mergeCell ref="F144:F145"/>
    <mergeCell ref="G144:G145"/>
    <mergeCell ref="K134:K135"/>
    <mergeCell ref="L134:L135"/>
    <mergeCell ref="M134:M135"/>
    <mergeCell ref="N134:N135"/>
    <mergeCell ref="O134:O135"/>
    <mergeCell ref="P134:P135"/>
    <mergeCell ref="T144:T145"/>
    <mergeCell ref="B148:B149"/>
    <mergeCell ref="C148:C149"/>
    <mergeCell ref="D148:D149"/>
    <mergeCell ref="E148:E149"/>
    <mergeCell ref="F148:F149"/>
    <mergeCell ref="G148:G149"/>
    <mergeCell ref="H148:H149"/>
    <mergeCell ref="I148:I149"/>
    <mergeCell ref="J148:J149"/>
    <mergeCell ref="N144:N145"/>
    <mergeCell ref="O144:O145"/>
    <mergeCell ref="P144:P145"/>
    <mergeCell ref="Q144:Q145"/>
    <mergeCell ref="R144:R145"/>
    <mergeCell ref="S144:S145"/>
    <mergeCell ref="H144:H145"/>
    <mergeCell ref="I144:I145"/>
    <mergeCell ref="J144:J145"/>
    <mergeCell ref="K144:K145"/>
    <mergeCell ref="L144:L145"/>
    <mergeCell ref="M144:M145"/>
    <mergeCell ref="Q148:Q149"/>
    <mergeCell ref="R148:R149"/>
    <mergeCell ref="S148:S149"/>
    <mergeCell ref="T148:T149"/>
    <mergeCell ref="B151:B152"/>
    <mergeCell ref="C151:C152"/>
    <mergeCell ref="D151:D152"/>
    <mergeCell ref="E151:E152"/>
    <mergeCell ref="F151:F152"/>
    <mergeCell ref="G151:G152"/>
    <mergeCell ref="K148:K149"/>
    <mergeCell ref="L148:L149"/>
    <mergeCell ref="M148:M149"/>
    <mergeCell ref="N148:N149"/>
    <mergeCell ref="O148:O149"/>
    <mergeCell ref="P148:P149"/>
    <mergeCell ref="T151:T152"/>
    <mergeCell ref="B156:B157"/>
    <mergeCell ref="C156:C157"/>
    <mergeCell ref="D156:D157"/>
    <mergeCell ref="E156:E157"/>
    <mergeCell ref="F156:F157"/>
    <mergeCell ref="G156:G157"/>
    <mergeCell ref="H156:H157"/>
    <mergeCell ref="I156:I157"/>
    <mergeCell ref="J156:J157"/>
    <mergeCell ref="N151:N152"/>
    <mergeCell ref="O151:O152"/>
    <mergeCell ref="P151:P152"/>
    <mergeCell ref="Q151:Q152"/>
    <mergeCell ref="R151:R152"/>
    <mergeCell ref="S151:S152"/>
    <mergeCell ref="H151:H152"/>
    <mergeCell ref="I151:I152"/>
    <mergeCell ref="J151:J152"/>
    <mergeCell ref="K151:K152"/>
    <mergeCell ref="L151:L152"/>
    <mergeCell ref="M151:M152"/>
    <mergeCell ref="Q156:Q157"/>
    <mergeCell ref="R156:R157"/>
    <mergeCell ref="S156:S157"/>
    <mergeCell ref="T156:T157"/>
    <mergeCell ref="B159:B160"/>
    <mergeCell ref="C159:C160"/>
    <mergeCell ref="D159:D160"/>
    <mergeCell ref="E159:E160"/>
    <mergeCell ref="F159:F160"/>
    <mergeCell ref="G159:G160"/>
    <mergeCell ref="K156:K157"/>
    <mergeCell ref="L156:L157"/>
    <mergeCell ref="M156:M157"/>
    <mergeCell ref="N156:N157"/>
    <mergeCell ref="O156:O157"/>
    <mergeCell ref="P156:P157"/>
    <mergeCell ref="T159:T160"/>
    <mergeCell ref="N159:N160"/>
    <mergeCell ref="O159:O160"/>
    <mergeCell ref="P159:P160"/>
    <mergeCell ref="Q159:Q160"/>
    <mergeCell ref="R159:R160"/>
    <mergeCell ref="S159:S160"/>
    <mergeCell ref="H159:H160"/>
    <mergeCell ref="I159:I160"/>
    <mergeCell ref="J159:J160"/>
    <mergeCell ref="K159:K160"/>
    <mergeCell ref="L159:L160"/>
    <mergeCell ref="M159:M160"/>
  </mergeCells>
  <printOptions horizontalCentered="1"/>
  <pageMargins left="0" right="0" top="0.75" bottom="0.74" header="0.3" footer="0.3"/>
  <pageSetup paperSize="14" scale="90" orientation="landscape" r:id="rId1"/>
  <headerFooter alignWithMargins="0">
    <oddFooter>&amp;C&amp;8Page &amp;P of &amp;N</oddFooter>
  </headerFooter>
  <rowBreaks count="5" manualBreakCount="5">
    <brk id="41" max="16383" man="1"/>
    <brk id="75" max="16383" man="1"/>
    <brk id="105" max="16383" man="1"/>
    <brk id="139" max="16383" man="1"/>
    <brk id="178" max="16383" man="1"/>
  </rowBreaks>
  <colBreaks count="1" manualBreakCount="1">
    <brk id="10"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2016</vt:lpstr>
      <vt:lpstr>2017</vt:lpstr>
      <vt:lpstr>2018</vt:lpstr>
      <vt:lpstr>2019</vt:lpstr>
      <vt:lpstr>2020</vt:lpstr>
      <vt:lpstr>2021</vt:lpstr>
      <vt:lpstr>2022</vt:lpstr>
      <vt:lpstr>2023</vt:lpstr>
      <vt:lpstr>2024</vt:lpstr>
      <vt:lpstr>2025</vt:lpstr>
      <vt:lpstr>'2025'!Print_Area</vt:lpstr>
      <vt:lpstr>'2016'!Print_Titles</vt:lpstr>
      <vt:lpstr>'2017'!Print_Titles</vt:lpstr>
      <vt:lpstr>'2018'!Print_Titles</vt:lpstr>
      <vt:lpstr>'2019'!Print_Titles</vt:lpstr>
      <vt:lpstr>'2020'!Print_Titles</vt:lpstr>
      <vt:lpstr>'2021'!Print_Titles</vt:lpstr>
      <vt:lpstr>'2022'!Print_Titles</vt:lpstr>
      <vt:lpstr>'2023'!Print_Titles</vt:lpstr>
      <vt:lpstr>'2024'!Print_Titles</vt:lpstr>
      <vt:lpstr>'2025'!Print_Titles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Josephine E. Vargas</dc:creator>
  <cp:lastModifiedBy>Josephine E. Vargas</cp:lastModifiedBy>
  <dcterms:created xsi:type="dcterms:W3CDTF">2025-03-31T00:11:51Z</dcterms:created>
  <dcterms:modified xsi:type="dcterms:W3CDTF">2026-04-30T04:59:31Z</dcterms:modified>
</cp:coreProperties>
</file>