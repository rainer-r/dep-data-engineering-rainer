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F:\SEVEN_1st\PSA_PSGC\"/>
    </mc:Choice>
  </mc:AlternateContent>
  <xr:revisionPtr revIDLastSave="0" documentId="13_ncr:1_{6DD336C9-9ED0-490A-BEB9-E4A2ACA1AFA3}" xr6:coauthVersionLast="47" xr6:coauthVersionMax="47" xr10:uidLastSave="{00000000-0000-0000-0000-000000000000}"/>
  <bookViews>
    <workbookView xWindow="-120" yWindow="-120" windowWidth="29040" windowHeight="15720" xr2:uid="{4CE33A38-9F9E-4447-ABC8-9212CC3C1AC6}"/>
  </bookViews>
  <sheets>
    <sheet name="PSA-PSGC" sheetId="1" r:id="rId1"/>
    <sheet name="Notes" sheetId="2" r:id="rId2"/>
  </sheets>
  <definedNames>
    <definedName name="_xlnm.Print_Area" localSheetId="1">Notes!$A$1:$B$25</definedName>
    <definedName name="_xlnm.Print_Area" localSheetId="0">'PSA-PSGC'!$A$1:$H$176</definedName>
    <definedName name="_xlnm.Print_Titles" localSheetId="0">'PSA-PSGC'!$A:$A,'PSA-PSGC'!$1:$6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3" i="2" l="1"/>
</calcChain>
</file>

<file path=xl/sharedStrings.xml><?xml version="1.0" encoding="utf-8"?>
<sst xmlns="http://schemas.openxmlformats.org/spreadsheetml/2006/main" count="199" uniqueCount="198">
  <si>
    <t>TENTATIVE INTERNAL REVENUE COLLECTIONS BY REGION AND BY PROVINCE *</t>
  </si>
  <si>
    <t>(In Million Pesos)</t>
  </si>
  <si>
    <t>PARTICULARS</t>
  </si>
  <si>
    <t>JANUARY</t>
  </si>
  <si>
    <t>FEBRUARY</t>
  </si>
  <si>
    <t>MARCH</t>
  </si>
  <si>
    <t>1st QUARTER</t>
  </si>
  <si>
    <t>APRIL</t>
  </si>
  <si>
    <t>MAY</t>
  </si>
  <si>
    <t>TOTAL</t>
  </si>
  <si>
    <t>National Capital Region (NCR)</t>
  </si>
  <si>
    <t>City of Caloocan</t>
  </si>
  <si>
    <t>City of Las Piñas</t>
  </si>
  <si>
    <t>City of Makati</t>
  </si>
  <si>
    <t xml:space="preserve">City of Malabon </t>
  </si>
  <si>
    <t>City of Navotas</t>
  </si>
  <si>
    <t>City of Mandaluyong</t>
  </si>
  <si>
    <t>City of Manila</t>
  </si>
  <si>
    <r>
      <t xml:space="preserve">City of Marikina </t>
    </r>
    <r>
      <rPr>
        <vertAlign val="superscript"/>
        <sz val="9"/>
        <color theme="1"/>
        <rFont val="Century Gothic"/>
        <family val="2"/>
      </rPr>
      <t>1/</t>
    </r>
  </si>
  <si>
    <t>City of Muntinlupa</t>
  </si>
  <si>
    <t>City of Parañaque</t>
  </si>
  <si>
    <t>Pasay City</t>
  </si>
  <si>
    <t>City of Pasig</t>
  </si>
  <si>
    <t>Quezon City</t>
  </si>
  <si>
    <t>City of San Juan</t>
  </si>
  <si>
    <t xml:space="preserve">City of Taguig </t>
  </si>
  <si>
    <t>Pateros</t>
  </si>
  <si>
    <t>City of Valenzuela</t>
  </si>
  <si>
    <r>
      <t xml:space="preserve">Large Taxpayers Service </t>
    </r>
    <r>
      <rPr>
        <vertAlign val="superscript"/>
        <sz val="9"/>
        <color theme="1"/>
        <rFont val="Century Gothic"/>
        <family val="2"/>
      </rPr>
      <t>2/</t>
    </r>
  </si>
  <si>
    <t>Cordillera Administrative Region  (CAR)</t>
  </si>
  <si>
    <t>Abra</t>
  </si>
  <si>
    <t xml:space="preserve">Apayao </t>
  </si>
  <si>
    <t>Kalinga</t>
  </si>
  <si>
    <t>Benguet</t>
  </si>
  <si>
    <t>Ifugao</t>
  </si>
  <si>
    <t>Mountain Province</t>
  </si>
  <si>
    <t>City of Baguio</t>
  </si>
  <si>
    <t>Region I  (Ilocos Region)</t>
  </si>
  <si>
    <t>Ilocos Norte</t>
  </si>
  <si>
    <t>Ilocos Sur</t>
  </si>
  <si>
    <t>La Union</t>
  </si>
  <si>
    <t>Pangasinan</t>
  </si>
  <si>
    <t>Region II (Cagayan Valley)</t>
  </si>
  <si>
    <t xml:space="preserve">Batanes </t>
  </si>
  <si>
    <t>Cagayan</t>
  </si>
  <si>
    <t>Isabela</t>
  </si>
  <si>
    <t>Nueva Vizcaya</t>
  </si>
  <si>
    <t>Quirino</t>
  </si>
  <si>
    <t>Region III (Central Luzon)</t>
  </si>
  <si>
    <t>Aurora</t>
  </si>
  <si>
    <t>Bataan</t>
  </si>
  <si>
    <t>Bulacan</t>
  </si>
  <si>
    <t>Nueva Ecija</t>
  </si>
  <si>
    <r>
      <t xml:space="preserve">Pampanga </t>
    </r>
    <r>
      <rPr>
        <vertAlign val="superscript"/>
        <sz val="9"/>
        <color theme="1"/>
        <rFont val="Century Gothic"/>
        <family val="2"/>
      </rPr>
      <t>3/</t>
    </r>
  </si>
  <si>
    <t>Tarlac</t>
  </si>
  <si>
    <r>
      <t xml:space="preserve">Zambales </t>
    </r>
    <r>
      <rPr>
        <vertAlign val="superscript"/>
        <sz val="9"/>
        <color theme="1"/>
        <rFont val="Century Gothic"/>
        <family val="2"/>
      </rPr>
      <t>4/</t>
    </r>
  </si>
  <si>
    <r>
      <t xml:space="preserve">City of Angeles </t>
    </r>
    <r>
      <rPr>
        <vertAlign val="superscript"/>
        <sz val="9"/>
        <color theme="1"/>
        <rFont val="Century Gothic"/>
        <family val="2"/>
      </rPr>
      <t>5/</t>
    </r>
  </si>
  <si>
    <r>
      <t xml:space="preserve">City of Olongapo </t>
    </r>
    <r>
      <rPr>
        <vertAlign val="superscript"/>
        <sz val="9"/>
        <color theme="1"/>
        <rFont val="Century Gothic"/>
        <family val="2"/>
      </rPr>
      <t>6/</t>
    </r>
  </si>
  <si>
    <t>Region IV-A  (CALABARZON)</t>
  </si>
  <si>
    <t>Batangas</t>
  </si>
  <si>
    <t>Cavite</t>
  </si>
  <si>
    <t>Laguna</t>
  </si>
  <si>
    <r>
      <t xml:space="preserve">Quezon </t>
    </r>
    <r>
      <rPr>
        <vertAlign val="superscript"/>
        <sz val="9"/>
        <color theme="1"/>
        <rFont val="Century Gothic"/>
        <family val="2"/>
      </rPr>
      <t>7/</t>
    </r>
  </si>
  <si>
    <r>
      <t xml:space="preserve">Rizal </t>
    </r>
    <r>
      <rPr>
        <vertAlign val="superscript"/>
        <sz val="9"/>
        <color theme="1"/>
        <rFont val="Century Gothic"/>
        <family val="2"/>
      </rPr>
      <t>8/</t>
    </r>
  </si>
  <si>
    <r>
      <t xml:space="preserve">City of Lucena </t>
    </r>
    <r>
      <rPr>
        <vertAlign val="superscript"/>
        <sz val="9"/>
        <color theme="1"/>
        <rFont val="Century Gothic"/>
        <family val="2"/>
      </rPr>
      <t>9/</t>
    </r>
  </si>
  <si>
    <t>MIMAROPA Region</t>
  </si>
  <si>
    <t>Marinduque</t>
  </si>
  <si>
    <t>Occidental Mindoro</t>
  </si>
  <si>
    <t>Oriental Mindoro</t>
  </si>
  <si>
    <t xml:space="preserve">Palawan </t>
  </si>
  <si>
    <t>City of Puerto Princesa</t>
  </si>
  <si>
    <t>Romblon</t>
  </si>
  <si>
    <t>Region V  (Bicol Region)</t>
  </si>
  <si>
    <t>Albay</t>
  </si>
  <si>
    <t>Camarines Norte</t>
  </si>
  <si>
    <t>Camarines Sur</t>
  </si>
  <si>
    <t>Catanduanes</t>
  </si>
  <si>
    <t>Masbate</t>
  </si>
  <si>
    <t>Sorsogon</t>
  </si>
  <si>
    <t>Region VI  (Western Visayas)</t>
  </si>
  <si>
    <t>Aklan</t>
  </si>
  <si>
    <t>Antique</t>
  </si>
  <si>
    <t>Capiz</t>
  </si>
  <si>
    <r>
      <t xml:space="preserve">Iloilo </t>
    </r>
    <r>
      <rPr>
        <vertAlign val="superscript"/>
        <sz val="9"/>
        <color theme="1"/>
        <rFont val="Century Gothic"/>
        <family val="2"/>
      </rPr>
      <t>10/</t>
    </r>
  </si>
  <si>
    <r>
      <t xml:space="preserve">City of Iloilo </t>
    </r>
    <r>
      <rPr>
        <vertAlign val="superscript"/>
        <sz val="9"/>
        <color theme="1"/>
        <rFont val="Century Gothic"/>
        <family val="2"/>
      </rPr>
      <t>11/</t>
    </r>
  </si>
  <si>
    <t xml:space="preserve">Guimaras </t>
  </si>
  <si>
    <t>Negros Island Region (NIR)</t>
  </si>
  <si>
    <t>Negros Occidental</t>
  </si>
  <si>
    <t>City of Bacolod</t>
  </si>
  <si>
    <t xml:space="preserve">Negros Oriental </t>
  </si>
  <si>
    <t>Siquijor</t>
  </si>
  <si>
    <t>Region VII  (Central Visayas)</t>
  </si>
  <si>
    <t>Bohol</t>
  </si>
  <si>
    <t xml:space="preserve">Cebu </t>
  </si>
  <si>
    <t xml:space="preserve">City of Lapu-Lapu </t>
  </si>
  <si>
    <t>City of Mandaue</t>
  </si>
  <si>
    <t>City of Cebu</t>
  </si>
  <si>
    <r>
      <t xml:space="preserve">LTD Cebu </t>
    </r>
    <r>
      <rPr>
        <vertAlign val="superscript"/>
        <sz val="9"/>
        <color theme="1"/>
        <rFont val="Century Gothic"/>
        <family val="2"/>
      </rPr>
      <t>12/</t>
    </r>
  </si>
  <si>
    <t>Region VIII  (Eastern Visayas)</t>
  </si>
  <si>
    <t xml:space="preserve">Biliran </t>
  </si>
  <si>
    <r>
      <t xml:space="preserve">City of Tacloban </t>
    </r>
    <r>
      <rPr>
        <vertAlign val="superscript"/>
        <sz val="9"/>
        <color theme="1"/>
        <rFont val="Century Gothic"/>
        <family val="2"/>
      </rPr>
      <t>13/</t>
    </r>
  </si>
  <si>
    <t>Eastern Samar</t>
  </si>
  <si>
    <r>
      <t xml:space="preserve">Leyte </t>
    </r>
    <r>
      <rPr>
        <vertAlign val="superscript"/>
        <sz val="9"/>
        <color theme="1"/>
        <rFont val="Century Gothic"/>
        <family val="2"/>
      </rPr>
      <t>14/</t>
    </r>
  </si>
  <si>
    <t>Northern Samar</t>
  </si>
  <si>
    <t>Samar</t>
  </si>
  <si>
    <t>Southern Leyte</t>
  </si>
  <si>
    <t>Region IX  (Zamboanga Peninsula)</t>
  </si>
  <si>
    <t>Sulu</t>
  </si>
  <si>
    <t>Zamboanga del Norte</t>
  </si>
  <si>
    <t>Zamboanga del Sur</t>
  </si>
  <si>
    <t>Zamboanga Sibugay</t>
  </si>
  <si>
    <t>City of Zamboanga</t>
  </si>
  <si>
    <t>Region X  (Northern Mindanao)</t>
  </si>
  <si>
    <t>Bukidnon</t>
  </si>
  <si>
    <r>
      <t xml:space="preserve">Misamis Oriental </t>
    </r>
    <r>
      <rPr>
        <vertAlign val="superscript"/>
        <sz val="9"/>
        <color theme="1"/>
        <rFont val="Century Gothic"/>
        <family val="2"/>
      </rPr>
      <t>15/</t>
    </r>
  </si>
  <si>
    <t>Camiguin</t>
  </si>
  <si>
    <r>
      <t xml:space="preserve">City of Cagayan de Oro </t>
    </r>
    <r>
      <rPr>
        <vertAlign val="superscript"/>
        <sz val="9"/>
        <color theme="1"/>
        <rFont val="Century Gothic"/>
        <family val="2"/>
      </rPr>
      <t>16/</t>
    </r>
  </si>
  <si>
    <t>Lanao del Norte</t>
  </si>
  <si>
    <t>City of Iligan</t>
  </si>
  <si>
    <t>Misamis Occidental</t>
  </si>
  <si>
    <t>Region XI (Davao Region)</t>
  </si>
  <si>
    <t>Davao de Oro</t>
  </si>
  <si>
    <t>Davao del Norte</t>
  </si>
  <si>
    <t>Davao del Sur</t>
  </si>
  <si>
    <t>Davao Occidental</t>
  </si>
  <si>
    <t>Davao Oriental</t>
  </si>
  <si>
    <t>City of Davao</t>
  </si>
  <si>
    <r>
      <t xml:space="preserve">LTD Davao </t>
    </r>
    <r>
      <rPr>
        <vertAlign val="superscript"/>
        <sz val="9"/>
        <color theme="1"/>
        <rFont val="Century Gothic"/>
        <family val="2"/>
      </rPr>
      <t>17/</t>
    </r>
  </si>
  <si>
    <t>Region XII (SOCCSKSARGEN)</t>
  </si>
  <si>
    <t>Cotabato</t>
  </si>
  <si>
    <t>South Cotabato</t>
  </si>
  <si>
    <t>Sultan Kudarat</t>
  </si>
  <si>
    <t>City of General Santos</t>
  </si>
  <si>
    <t>Sarangani</t>
  </si>
  <si>
    <t>Region XIII (Caraga)</t>
  </si>
  <si>
    <t>Agusan del Norte</t>
  </si>
  <si>
    <t>City of Butuan</t>
  </si>
  <si>
    <t>Agusan del Sur</t>
  </si>
  <si>
    <t>Dinagat Islands</t>
  </si>
  <si>
    <t>Surigao del Norte</t>
  </si>
  <si>
    <t>Surigao del Sur</t>
  </si>
  <si>
    <t>Bangsamoro Autonomous Region in Muslim Mindanao (BARMM)</t>
  </si>
  <si>
    <t>Basilan</t>
  </si>
  <si>
    <r>
      <t xml:space="preserve">City of Isabela </t>
    </r>
    <r>
      <rPr>
        <vertAlign val="superscript"/>
        <sz val="9"/>
        <color theme="1"/>
        <rFont val="Century Gothic"/>
        <family val="2"/>
      </rPr>
      <t>18/</t>
    </r>
  </si>
  <si>
    <t>Lanao del Sur</t>
  </si>
  <si>
    <t>Maguindanao del Norte</t>
  </si>
  <si>
    <t>Maguindanao del Sur</t>
  </si>
  <si>
    <t>Tawi-tawi</t>
  </si>
  <si>
    <r>
      <t xml:space="preserve">Special Geographic Area </t>
    </r>
    <r>
      <rPr>
        <vertAlign val="superscript"/>
        <sz val="9"/>
        <color theme="1"/>
        <rFont val="Century Gothic"/>
        <family val="2"/>
      </rPr>
      <t>19/</t>
    </r>
  </si>
  <si>
    <t>Total BIR Operations</t>
  </si>
  <si>
    <t>Total Non-BIR Operations</t>
  </si>
  <si>
    <t xml:space="preserve">Others  </t>
  </si>
  <si>
    <t>Total Gross Collection</t>
  </si>
  <si>
    <t>Tax Refund</t>
  </si>
  <si>
    <t>Total Collection - Net of Tax Refund</t>
  </si>
  <si>
    <t>* Regional and Provincial Summary is based on Philippine Statistics Authority - Philippine Standard Geographic Code (PSGC), as of July 31, 2025</t>
  </si>
  <si>
    <t>Notes:</t>
  </si>
  <si>
    <t>1/</t>
  </si>
  <si>
    <t>Includes collections from the municipalities of San Mateo, Antipolo, Rodriguez and Teresa in Rizal</t>
  </si>
  <si>
    <t>2/</t>
  </si>
  <si>
    <t>Consists of the country’s largest corporate clients, which are mostly multinationals and publicly-listed companies under NCR</t>
  </si>
  <si>
    <t>3/</t>
  </si>
  <si>
    <t>Includes collections from CFEZ, City of San Fernando and 16 out of the 19 municipalities in Pampanga (Apalit, Bacolor, Candaba, Floridablanca, Guagua, Lubao, Macabebe, Masantol, Mexico, Minalin, San Luis, San Simon, Sasmuan, Santa Ana, Santa Rita and Sto. Tomas)</t>
  </si>
  <si>
    <t>4/</t>
  </si>
  <si>
    <t>Collections from Subic Bay Freeport Zone only</t>
  </si>
  <si>
    <t>5/</t>
  </si>
  <si>
    <t>Also includes collections from Mabalacat City and 3 municipalities in Pampanga (Arayat, Magalang and Porac)</t>
  </si>
  <si>
    <t>6/</t>
  </si>
  <si>
    <t>Also includes collections from all municipalities in Zambales</t>
  </si>
  <si>
    <t>7/</t>
  </si>
  <si>
    <t>Includes collections from the 22 out of the 39 municipalities in Quezon (Agdangan, Alabat, Atimonan, Buenavista, Calauag, Catanauan, General Luna, Guinayangan, Gumaca, Lopez, Macalelon, Mulanay, Padre Burgos, Perez, Pitogo, Plaridel, Quezon, San Andres, San Francisco, San Narciso, Tagkawayan and Unisan)</t>
  </si>
  <si>
    <t>8/</t>
  </si>
  <si>
    <t xml:space="preserve">Includes collections from the municipalities of Angono, Baras, Binangonan, Cainta, Cardona, Jala-Jala, Morong, Pililla, Tanay and Taytay in Rizal </t>
  </si>
  <si>
    <t>9/</t>
  </si>
  <si>
    <t xml:space="preserve">Also includes collections from 1 city and 17 municipalities in Quezon (City of Tayabas, Burdeos, Candelaria, Dolores, General Nakar, Infanta, Jomalig, Lucban, Mauban, Pagbilao, Panukulan, Patnanungan, Polillo, Real, Sampaloc, San Antonio, Sariaya, Tiaong) </t>
  </si>
  <si>
    <t>10/</t>
  </si>
  <si>
    <t xml:space="preserve">Includes collections from 1 city and 27 municipalities in Iloilo (City of Passi , Ajuy, Anilao, Badiangan, Balasan, Banate, Barotac Nuevo, Barotac Viejo, Batad, Bingawan, Calinog, Carles, Concepcion, Dingle, Dueñas, Dumangas, Estancia, Janiuay, Lambunao, Lemery, Mina, New Lucena, Pototan, San Dionisio, San Enrique, San Rafael, Sara, Zarraga) </t>
  </si>
  <si>
    <t>11/</t>
  </si>
  <si>
    <t>Also includes collections from the 15 municipalities in Iloilo (Alimodian, Cabatuan, Guimbal, Igbaras, Leganes, Leon, Maasin, Miagao, Oton, Pavia, San Joaquin, San Miguel, Santa Barbara, Tigbauan and Tubungan)</t>
  </si>
  <si>
    <t>12/</t>
  </si>
  <si>
    <t>Consists of the largest corporate clients, which are mostly multinationals and publicly-listed companies under the province of Cebu</t>
  </si>
  <si>
    <t>13/</t>
  </si>
  <si>
    <t>Also includes collection from the 24 out of the 40 municipalities in Leyte (Abuyog, Alangalang, Babatngon, Barugo, Burauen, Capoocan, Carigara, Dagami, Dulag, Jaro, Javier, Julita, La Paz, Macarthur, Mahaplag, Mayorga, Palo, Pastrana, San Miguel, Santa Fe, Tabontabon, Tanauan, Tolosa, Tunga, Almeria, Biliran, Cabucgayan, Caibiran, Culaba, Kawayan, Maripipi and Naval)</t>
  </si>
  <si>
    <t>14/</t>
  </si>
  <si>
    <t>Includes collection from the 2 cities and 16 municipalities in Leyte (City of Baybay, Ormoc City  Albuera, Bato, Calubian, Hilongos, Hindang, Inopacan, Isabel, Kananga, Leyte, Matag-Ob Matalom, Merida, Palompon, San Isidro, Tabango and Villaba)</t>
  </si>
  <si>
    <t>15/</t>
  </si>
  <si>
    <t>Includes collection from the City of Gingoog and 11 out of the 23 municipalities in Misamis Oriental (Balingoan, Balingasag, Claveria, Binuangan, Kinoguitan, Lagonglong, Magsaysay, Medina, Salay, Sugbongcogon and Talisayan)</t>
  </si>
  <si>
    <t>16/</t>
  </si>
  <si>
    <t>Also includes collections from the City of El Salvador and 12 municipalities in Misamis Oriental ( Alubijid, Gitagum, Initao, Jasaan, Laguindingan, Libertad, Lugait, Manticao, Naawan Opol, Tagoloan and Villanueva)</t>
  </si>
  <si>
    <t>17/</t>
  </si>
  <si>
    <t>Consists of the largest corporate clients, which are mostly multinationals and publicly-listed companies situated in Region XI (Davao Region)</t>
  </si>
  <si>
    <t>19/</t>
  </si>
  <si>
    <t>Isabela City is administratively under the Zamboanga Peninsula Region; geographically located in the province of Basilan</t>
  </si>
  <si>
    <t>Based on Bangsamoro Autonomy Act Nos. 41 to 48 Series of 2022 dated 15 September 2022</t>
  </si>
  <si>
    <t>For the Period: January to May, 2026</t>
  </si>
  <si>
    <t>Source: Revenue Accounting Division, BIR</t>
  </si>
  <si>
    <t>Date Received: June 15, 2026</t>
  </si>
  <si>
    <t>Totals may not add up due to rounding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</si>
</sst>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entury Gothic"/>
      <family val="2"/>
    </font>
    <font>
      <sz val="11"/>
      <color theme="1"/>
      <name val="Century Gothic"/>
      <family val="2"/>
    </font>
    <font>
      <sz val="11"/>
      <color theme="1"/>
      <name val="Arial"/>
      <family val="2"/>
    </font>
    <font>
      <b/>
      <sz val="9"/>
      <color theme="1"/>
      <name val="Century Gothic"/>
      <family val="2"/>
    </font>
    <font>
      <sz val="9"/>
      <color theme="0"/>
      <name val="Century Gothic"/>
      <family val="2"/>
    </font>
    <font>
      <sz val="9"/>
      <color theme="1"/>
      <name val="Century Gothic"/>
      <family val="2"/>
    </font>
    <font>
      <b/>
      <sz val="9"/>
      <name val="Century Gothic"/>
      <family val="2"/>
    </font>
    <font>
      <b/>
      <sz val="9"/>
      <color theme="0"/>
      <name val="Century Gothic"/>
      <family val="2"/>
    </font>
    <font>
      <vertAlign val="superscript"/>
      <sz val="9"/>
      <color theme="1"/>
      <name val="Century Gothic"/>
      <family val="2"/>
    </font>
    <font>
      <sz val="8"/>
      <name val="Century Gothic"/>
      <family val="2"/>
    </font>
    <font>
      <b/>
      <sz val="8"/>
      <color rgb="FFFF0000"/>
      <name val="Century Gothic"/>
      <family val="2"/>
    </font>
    <font>
      <b/>
      <sz val="9"/>
      <color rgb="FFFF0000"/>
      <name val="Century Gothic"/>
      <family val="2"/>
    </font>
    <font>
      <b/>
      <sz val="8"/>
      <name val="Century Gothic"/>
      <family val="2"/>
    </font>
    <font>
      <sz val="8"/>
      <color theme="1"/>
      <name val="Century Gothic"/>
      <family val="2"/>
    </font>
    <font>
      <sz val="9"/>
      <name val="Century Gothic"/>
      <family val="2"/>
    </font>
  </fonts>
  <fills count="3">
    <fill>
      <patternFill patternType="none"/>
    </fill>
    <fill>
      <patternFill patternType="gray125"/>
    </fill>
    <fill>
      <patternFill patternType="solid">
        <fgColor rgb="FF7030A0"/>
        <bgColor indexed="64"/>
      </patternFill>
    </fill>
  </fills>
  <borders count="3">
    <border>
      <left/>
      <right/>
      <top/>
      <bottom/>
      <diagonal/>
    </border>
    <border>
      <left style="medium">
        <color auto="1"/>
      </left>
      <right style="medium">
        <color auto="1"/>
      </right>
      <top style="medium">
        <color auto="1"/>
      </top>
      <bottom style="medium">
        <color auto="1"/>
      </bottom>
      <diagonal/>
    </border>
    <border>
      <left/>
      <right/>
      <top/>
      <bottom style="medium">
        <color auto="1"/>
      </bottom>
      <diagonal/>
    </border>
  </borders>
  <cellStyleXfs count="4">
    <xf numFmtId="0" fontId="0" fillId="0" borderId="0"/>
    <xf numFmtId="43" fontId="1" fillId="0" borderId="0" applyFont="0" applyFill="0" applyBorder="0" applyAlignment="0" applyProtection="0"/>
    <xf numFmtId="0" fontId="2" fillId="0" borderId="0"/>
    <xf numFmtId="43" fontId="2" fillId="0" borderId="0" applyFont="0" applyFill="0" applyBorder="0" applyAlignment="0" applyProtection="0"/>
  </cellStyleXfs>
  <cellXfs count="39">
    <xf numFmtId="0" fontId="0" fillId="0" borderId="0" xfId="0"/>
    <xf numFmtId="0" fontId="3" fillId="0" borderId="0" xfId="2" applyFont="1"/>
    <xf numFmtId="43" fontId="3" fillId="0" borderId="0" xfId="1" applyFont="1"/>
    <xf numFmtId="43" fontId="4" fillId="0" borderId="0" xfId="1" applyFont="1"/>
    <xf numFmtId="43" fontId="3" fillId="0" borderId="0" xfId="1" applyFont="1" applyAlignment="1">
      <alignment horizontal="center"/>
    </xf>
    <xf numFmtId="43" fontId="5" fillId="0" borderId="0" xfId="1" applyFont="1"/>
    <xf numFmtId="0" fontId="5" fillId="0" borderId="0" xfId="2" applyFont="1"/>
    <xf numFmtId="0" fontId="6" fillId="0" borderId="0" xfId="2" applyFont="1"/>
    <xf numFmtId="0" fontId="3" fillId="0" borderId="0" xfId="0" applyFont="1" applyAlignment="1">
      <alignment horizontal="center"/>
    </xf>
    <xf numFmtId="0" fontId="5" fillId="0" borderId="0" xfId="0" applyFont="1"/>
    <xf numFmtId="0" fontId="7" fillId="2" borderId="1" xfId="0" applyFont="1" applyFill="1" applyBorder="1" applyAlignment="1">
      <alignment horizontal="center"/>
    </xf>
    <xf numFmtId="43" fontId="7" fillId="2" borderId="1" xfId="1" applyFont="1" applyFill="1" applyBorder="1" applyAlignment="1">
      <alignment horizontal="center"/>
    </xf>
    <xf numFmtId="43" fontId="4" fillId="0" borderId="0" xfId="1" applyFont="1" applyAlignment="1">
      <alignment horizontal="center"/>
    </xf>
    <xf numFmtId="0" fontId="3" fillId="0" borderId="0" xfId="0" applyFont="1"/>
    <xf numFmtId="0" fontId="5" fillId="0" borderId="0" xfId="2" applyFont="1" applyAlignment="1">
      <alignment horizontal="left"/>
    </xf>
    <xf numFmtId="0" fontId="3" fillId="0" borderId="0" xfId="0" applyFont="1" applyAlignment="1">
      <alignment wrapText="1"/>
    </xf>
    <xf numFmtId="43" fontId="3" fillId="0" borderId="0" xfId="1" applyFont="1" applyAlignment="1">
      <alignment vertical="top"/>
    </xf>
    <xf numFmtId="43" fontId="3" fillId="0" borderId="0" xfId="1" applyFont="1" applyBorder="1"/>
    <xf numFmtId="0" fontId="3" fillId="0" borderId="2" xfId="0" applyFont="1" applyBorder="1"/>
    <xf numFmtId="43" fontId="3" fillId="0" borderId="2" xfId="1" applyFont="1" applyBorder="1"/>
    <xf numFmtId="0" fontId="6" fillId="0" borderId="0" xfId="2" applyFont="1" applyAlignment="1">
      <alignment vertical="top"/>
    </xf>
    <xf numFmtId="0" fontId="9" fillId="0" borderId="0" xfId="2" applyFont="1"/>
    <xf numFmtId="43" fontId="10" fillId="0" borderId="0" xfId="3" applyFont="1"/>
    <xf numFmtId="43" fontId="11" fillId="0" borderId="0" xfId="3" applyFont="1"/>
    <xf numFmtId="43" fontId="4" fillId="0" borderId="0" xfId="3" applyFont="1"/>
    <xf numFmtId="0" fontId="11" fillId="0" borderId="0" xfId="2" applyFont="1"/>
    <xf numFmtId="0" fontId="10" fillId="0" borderId="0" xfId="2" applyFont="1"/>
    <xf numFmtId="0" fontId="4" fillId="0" borderId="0" xfId="2" applyFont="1"/>
    <xf numFmtId="0" fontId="12" fillId="0" borderId="0" xfId="2" applyFont="1"/>
    <xf numFmtId="0" fontId="13" fillId="0" borderId="0" xfId="0" applyFont="1"/>
    <xf numFmtId="0" fontId="0" fillId="0" borderId="0" xfId="0" applyAlignment="1">
      <alignment vertical="top"/>
    </xf>
    <xf numFmtId="0" fontId="14" fillId="0" borderId="0" xfId="2" applyFont="1" applyAlignment="1">
      <alignment vertical="top"/>
    </xf>
    <xf numFmtId="0" fontId="5" fillId="0" borderId="0" xfId="0" applyFont="1" applyAlignment="1">
      <alignment vertical="top"/>
    </xf>
    <xf numFmtId="0" fontId="5" fillId="0" borderId="0" xfId="0" applyFont="1" applyAlignment="1">
      <alignment horizontal="right" vertical="top"/>
    </xf>
    <xf numFmtId="0" fontId="5" fillId="0" borderId="0" xfId="0" applyFont="1" applyAlignment="1">
      <alignment vertical="top" wrapText="1"/>
    </xf>
    <xf numFmtId="0" fontId="5" fillId="0" borderId="0" xfId="0" applyFont="1" applyAlignment="1">
      <alignment horizontal="justify" vertical="top" wrapText="1"/>
    </xf>
    <xf numFmtId="43" fontId="5" fillId="0" borderId="0" xfId="1" applyFont="1" applyAlignment="1">
      <alignment horizontal="center" vertical="center"/>
    </xf>
    <xf numFmtId="0" fontId="0" fillId="0" borderId="0" xfId="0" applyAlignment="1">
      <alignment horizontal="center" vertical="center"/>
    </xf>
    <xf numFmtId="0" fontId="11" fillId="0" borderId="0" xfId="2" applyFont="1" applyAlignment="1">
      <alignment vertical="top"/>
    </xf>
  </cellXfs>
  <cellStyles count="4">
    <cellStyle name="Comma" xfId="1" builtinId="3"/>
    <cellStyle name="Comma 2" xfId="3" xr:uid="{9C0722E2-F867-49B4-9468-455CEBD1F82D}"/>
    <cellStyle name="Normal" xfId="0" builtinId="0"/>
    <cellStyle name="Normal 2" xfId="2" xr:uid="{CA0FB2F7-88C7-4F60-BDEE-8ACC7E4A12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F47D-BF10-462F-8946-60877280F47C}">
  <dimension ref="A1:Y198"/>
  <sheetViews>
    <sheetView showGridLines="0" tabSelected="1" zoomScaleNormal="100" workbookViewId="0">
      <pane xSplit="1" ySplit="6" topLeftCell="B160" activePane="bottomRight" state="frozen"/>
      <selection activeCell="D100" sqref="D100:D102"/>
      <selection pane="topRight" activeCell="D100" sqref="D100:D102"/>
      <selection pane="bottomLeft" activeCell="D100" sqref="D100:D102"/>
      <selection pane="bottomRight" activeCell="A176" sqref="A176"/>
    </sheetView>
  </sheetViews>
  <sheetFormatPr defaultRowHeight="14.25" x14ac:dyDescent="0.3"/>
  <cols>
    <col min="1" max="1" width="48.625" style="9" bestFit="1" customWidth="1"/>
    <col min="2" max="4" width="10.625" style="5" customWidth="1"/>
    <col min="5" max="5" width="11.625" style="5" customWidth="1"/>
    <col min="6" max="7" width="10.625" style="5" customWidth="1"/>
    <col min="8" max="8" width="11.625" style="5" customWidth="1"/>
    <col min="9" max="9" width="11.125" style="3" bestFit="1" customWidth="1"/>
    <col min="10" max="10" width="9" style="3"/>
    <col min="11" max="25" width="9" style="5"/>
    <col min="26" max="16384" width="9" style="9"/>
  </cols>
  <sheetData>
    <row r="1" spans="1:25" s="6" customFormat="1" x14ac:dyDescent="0.3">
      <c r="A1" s="1" t="s">
        <v>0</v>
      </c>
      <c r="B1" s="2"/>
      <c r="C1" s="2"/>
      <c r="D1" s="2"/>
      <c r="E1" s="2"/>
      <c r="F1" s="2"/>
      <c r="G1" s="2"/>
      <c r="H1" s="2"/>
      <c r="I1" s="3"/>
      <c r="J1" s="3"/>
      <c r="K1" s="4"/>
      <c r="L1" s="4"/>
      <c r="M1" s="5"/>
      <c r="N1" s="5"/>
      <c r="O1" s="5"/>
      <c r="P1" s="5"/>
      <c r="Q1" s="5"/>
      <c r="R1" s="5"/>
      <c r="S1" s="5"/>
      <c r="T1" s="5"/>
      <c r="U1" s="5"/>
      <c r="V1" s="5"/>
      <c r="W1" s="5"/>
      <c r="X1" s="5"/>
      <c r="Y1" s="5"/>
    </row>
    <row r="2" spans="1:25" s="6" customFormat="1" x14ac:dyDescent="0.3">
      <c r="A2" s="7" t="s">
        <v>194</v>
      </c>
      <c r="B2" s="2"/>
      <c r="C2" s="2"/>
      <c r="D2" s="2"/>
      <c r="E2" s="2"/>
      <c r="F2" s="2"/>
      <c r="G2" s="2"/>
      <c r="H2" s="2"/>
      <c r="I2" s="3"/>
      <c r="J2" s="3"/>
      <c r="K2" s="4"/>
      <c r="L2" s="4"/>
      <c r="M2" s="5"/>
      <c r="N2" s="5"/>
      <c r="O2" s="5"/>
      <c r="P2" s="5"/>
      <c r="Q2" s="5"/>
      <c r="R2" s="5"/>
      <c r="S2" s="5"/>
      <c r="T2" s="5"/>
      <c r="U2" s="5"/>
      <c r="V2" s="5"/>
      <c r="W2" s="5"/>
      <c r="X2" s="5"/>
      <c r="Y2" s="5"/>
    </row>
    <row r="3" spans="1:25" s="6" customFormat="1" x14ac:dyDescent="0.3">
      <c r="A3" s="1" t="s">
        <v>1</v>
      </c>
      <c r="B3" s="2"/>
      <c r="C3" s="2"/>
      <c r="D3" s="2"/>
      <c r="E3" s="2"/>
      <c r="F3" s="2"/>
      <c r="G3" s="2"/>
      <c r="H3" s="2"/>
      <c r="I3" s="3"/>
      <c r="J3" s="3"/>
      <c r="K3" s="4"/>
      <c r="L3" s="4"/>
      <c r="M3" s="5"/>
      <c r="N3" s="5"/>
      <c r="O3" s="5"/>
      <c r="P3" s="5"/>
      <c r="Q3" s="5"/>
      <c r="R3" s="5"/>
      <c r="S3" s="5"/>
      <c r="T3" s="5"/>
      <c r="U3" s="5"/>
      <c r="V3" s="5"/>
      <c r="W3" s="5"/>
      <c r="X3" s="5"/>
      <c r="Y3" s="5"/>
    </row>
    <row r="4" spans="1:25" ht="15" thickBot="1" x14ac:dyDescent="0.35">
      <c r="A4" s="8"/>
      <c r="B4" s="4"/>
      <c r="C4" s="4"/>
      <c r="D4" s="4"/>
      <c r="E4" s="4"/>
      <c r="F4" s="4"/>
      <c r="G4" s="4"/>
      <c r="H4" s="4"/>
    </row>
    <row r="5" spans="1:25" s="8" customFormat="1" ht="15" thickBot="1" x14ac:dyDescent="0.35">
      <c r="A5" s="10" t="s">
        <v>2</v>
      </c>
      <c r="B5" s="11" t="s">
        <v>3</v>
      </c>
      <c r="C5" s="11" t="s">
        <v>4</v>
      </c>
      <c r="D5" s="11" t="s">
        <v>5</v>
      </c>
      <c r="E5" s="11" t="s">
        <v>6</v>
      </c>
      <c r="F5" s="11" t="s">
        <v>7</v>
      </c>
      <c r="G5" s="11" t="s">
        <v>8</v>
      </c>
      <c r="H5" s="11" t="s">
        <v>9</v>
      </c>
      <c r="I5" s="12"/>
      <c r="J5" s="12"/>
      <c r="K5" s="4"/>
      <c r="L5" s="4"/>
      <c r="M5" s="4"/>
      <c r="N5" s="4"/>
      <c r="O5" s="4"/>
      <c r="P5" s="4"/>
      <c r="Q5" s="4"/>
      <c r="R5" s="4"/>
      <c r="S5" s="4"/>
      <c r="T5" s="4"/>
      <c r="U5" s="4"/>
      <c r="V5" s="4"/>
      <c r="W5" s="4"/>
      <c r="X5" s="4"/>
      <c r="Y5" s="4"/>
    </row>
    <row r="7" spans="1:25" s="13" customFormat="1" x14ac:dyDescent="0.3">
      <c r="A7" s="13" t="s">
        <v>10</v>
      </c>
      <c r="B7" s="2">
        <v>284100.57237196981</v>
      </c>
      <c r="C7" s="2">
        <v>135028.52753849002</v>
      </c>
      <c r="D7" s="2">
        <v>148787.05160398001</v>
      </c>
      <c r="E7" s="2">
        <v>567916.15151443984</v>
      </c>
      <c r="F7" s="2">
        <v>341539.64575078996</v>
      </c>
      <c r="G7" s="2">
        <v>222341.89919529494</v>
      </c>
      <c r="H7" s="2">
        <v>1131797.6964605248</v>
      </c>
      <c r="I7" s="3">
        <v>1131797.6964605246</v>
      </c>
      <c r="J7" s="3">
        <v>0</v>
      </c>
      <c r="K7" s="2"/>
      <c r="L7" s="2"/>
      <c r="M7" s="2"/>
      <c r="N7" s="2"/>
      <c r="O7" s="2"/>
      <c r="P7" s="2"/>
      <c r="Q7" s="2"/>
      <c r="R7" s="2"/>
      <c r="S7" s="2"/>
      <c r="T7" s="2"/>
      <c r="U7" s="2"/>
      <c r="V7" s="2"/>
      <c r="W7" s="2"/>
      <c r="X7" s="2"/>
      <c r="Y7" s="2"/>
    </row>
    <row r="8" spans="1:25" x14ac:dyDescent="0.3">
      <c r="A8" s="9" t="s">
        <v>11</v>
      </c>
      <c r="B8" s="5">
        <v>1210.1753700299994</v>
      </c>
      <c r="C8" s="5">
        <v>449.13828581000013</v>
      </c>
      <c r="D8" s="5">
        <v>514.67373899999996</v>
      </c>
      <c r="E8" s="5">
        <v>2173.9873948399995</v>
      </c>
      <c r="F8" s="5">
        <v>1224.2464137099996</v>
      </c>
      <c r="G8" s="5">
        <v>576.07109044999947</v>
      </c>
      <c r="H8" s="5">
        <v>3974.3048989999988</v>
      </c>
      <c r="I8" s="3">
        <v>3974.3048989999988</v>
      </c>
      <c r="J8" s="3">
        <v>0</v>
      </c>
    </row>
    <row r="9" spans="1:25" x14ac:dyDescent="0.3">
      <c r="A9" s="9" t="s">
        <v>12</v>
      </c>
      <c r="B9" s="5">
        <v>952.11507269000128</v>
      </c>
      <c r="C9" s="5">
        <v>308.51906345000043</v>
      </c>
      <c r="D9" s="5">
        <v>374.72880974999998</v>
      </c>
      <c r="E9" s="5">
        <v>1635.3629458900018</v>
      </c>
      <c r="F9" s="5">
        <v>1006.450184540001</v>
      </c>
      <c r="G9" s="5">
        <v>605.78403298000035</v>
      </c>
      <c r="H9" s="5">
        <v>3247.5971634100033</v>
      </c>
      <c r="I9" s="3">
        <v>3247.5971634100033</v>
      </c>
      <c r="J9" s="3">
        <v>0</v>
      </c>
    </row>
    <row r="10" spans="1:25" x14ac:dyDescent="0.3">
      <c r="A10" s="9" t="s">
        <v>13</v>
      </c>
      <c r="B10" s="5">
        <v>17458.567851159991</v>
      </c>
      <c r="C10" s="5">
        <v>8825.1343166100123</v>
      </c>
      <c r="D10" s="5">
        <v>9373.7689850999923</v>
      </c>
      <c r="E10" s="5">
        <v>35657.471152869999</v>
      </c>
      <c r="F10" s="5">
        <v>20863.480544490034</v>
      </c>
      <c r="G10" s="5">
        <v>12093.176042004994</v>
      </c>
      <c r="H10" s="5">
        <v>68614.127739365023</v>
      </c>
      <c r="I10" s="3">
        <v>68614.127739365023</v>
      </c>
      <c r="J10" s="3">
        <v>0</v>
      </c>
    </row>
    <row r="11" spans="1:25" x14ac:dyDescent="0.3">
      <c r="A11" s="9" t="s">
        <v>14</v>
      </c>
      <c r="B11" s="36">
        <v>792.33962269999995</v>
      </c>
      <c r="C11" s="36">
        <v>162.28453496999981</v>
      </c>
      <c r="D11" s="36">
        <v>317.03854053000009</v>
      </c>
      <c r="E11" s="36">
        <v>1271.6626981999998</v>
      </c>
      <c r="F11" s="36">
        <v>1047.0535365499998</v>
      </c>
      <c r="G11" s="36">
        <v>367.78155766999981</v>
      </c>
      <c r="H11" s="36">
        <v>2686.4977924199993</v>
      </c>
      <c r="I11" s="3">
        <v>2686.4977924199998</v>
      </c>
      <c r="J11" s="3">
        <v>0</v>
      </c>
    </row>
    <row r="12" spans="1:25" x14ac:dyDescent="0.3">
      <c r="A12" s="9" t="s">
        <v>15</v>
      </c>
      <c r="B12" s="36"/>
      <c r="C12" s="36"/>
      <c r="D12" s="36"/>
      <c r="E12" s="36"/>
      <c r="F12" s="36"/>
      <c r="G12" s="36"/>
      <c r="H12" s="36">
        <v>0</v>
      </c>
      <c r="I12" s="3">
        <v>0</v>
      </c>
      <c r="J12" s="3">
        <v>0</v>
      </c>
    </row>
    <row r="13" spans="1:25" x14ac:dyDescent="0.3">
      <c r="A13" s="9" t="s">
        <v>16</v>
      </c>
      <c r="B13" s="5">
        <v>5370.9109670599792</v>
      </c>
      <c r="C13" s="5">
        <v>1946.4929253299999</v>
      </c>
      <c r="D13" s="5">
        <v>1971.5757235300036</v>
      </c>
      <c r="E13" s="5">
        <v>9288.9796159199832</v>
      </c>
      <c r="F13" s="5">
        <v>6902.056458809996</v>
      </c>
      <c r="G13" s="5">
        <v>3072.9459656700033</v>
      </c>
      <c r="H13" s="5">
        <v>19263.982040399984</v>
      </c>
      <c r="I13" s="3">
        <v>19263.98204039998</v>
      </c>
      <c r="J13" s="3">
        <v>0</v>
      </c>
    </row>
    <row r="14" spans="1:25" x14ac:dyDescent="0.3">
      <c r="A14" s="9" t="s">
        <v>17</v>
      </c>
      <c r="B14" s="5">
        <v>7342.5431044999905</v>
      </c>
      <c r="C14" s="5">
        <v>2883.911988059996</v>
      </c>
      <c r="D14" s="5">
        <v>4032.2905721599946</v>
      </c>
      <c r="E14" s="5">
        <v>14258.745664719982</v>
      </c>
      <c r="F14" s="5">
        <v>8302.1617041500049</v>
      </c>
      <c r="G14" s="5">
        <v>5469.4173846000031</v>
      </c>
      <c r="H14" s="5">
        <v>28030.324753469991</v>
      </c>
      <c r="I14" s="3">
        <v>28030.324753469991</v>
      </c>
      <c r="J14" s="3">
        <v>0</v>
      </c>
    </row>
    <row r="15" spans="1:25" ht="16.5" x14ac:dyDescent="0.3">
      <c r="A15" s="9" t="s">
        <v>18</v>
      </c>
      <c r="B15" s="5">
        <v>1700.7458667000001</v>
      </c>
      <c r="C15" s="5">
        <v>741.12797333999981</v>
      </c>
      <c r="D15" s="5">
        <v>725.94235532999994</v>
      </c>
      <c r="E15" s="5">
        <v>3167.8161953699996</v>
      </c>
      <c r="F15" s="5">
        <v>2022.2849849700001</v>
      </c>
      <c r="G15" s="5">
        <v>1479.4693503900005</v>
      </c>
      <c r="H15" s="5">
        <v>6669.5705307299995</v>
      </c>
      <c r="I15" s="3">
        <v>6669.5705307300004</v>
      </c>
      <c r="J15" s="3">
        <v>0</v>
      </c>
    </row>
    <row r="16" spans="1:25" x14ac:dyDescent="0.3">
      <c r="A16" s="9" t="s">
        <v>19</v>
      </c>
      <c r="B16" s="5">
        <v>2494.6440724799927</v>
      </c>
      <c r="C16" s="5">
        <v>1025.1454486899975</v>
      </c>
      <c r="D16" s="5">
        <v>1159.4476631300004</v>
      </c>
      <c r="E16" s="5">
        <v>4679.237184299991</v>
      </c>
      <c r="F16" s="5">
        <v>2516.4735695400004</v>
      </c>
      <c r="G16" s="5">
        <v>1525.4876616399984</v>
      </c>
      <c r="H16" s="5">
        <v>8721.1984154799902</v>
      </c>
      <c r="I16" s="3">
        <v>8721.1984154799902</v>
      </c>
      <c r="J16" s="3">
        <v>0</v>
      </c>
    </row>
    <row r="17" spans="1:25" x14ac:dyDescent="0.3">
      <c r="A17" s="9" t="s">
        <v>20</v>
      </c>
      <c r="B17" s="5">
        <v>2930.7074639999951</v>
      </c>
      <c r="C17" s="5">
        <v>966.85082214999818</v>
      </c>
      <c r="D17" s="5">
        <v>1200.4309581099981</v>
      </c>
      <c r="E17" s="5">
        <v>5097.9892442599912</v>
      </c>
      <c r="F17" s="5">
        <v>3447.4134698899884</v>
      </c>
      <c r="G17" s="5">
        <v>2298.5665615799994</v>
      </c>
      <c r="H17" s="5">
        <v>10843.969275729978</v>
      </c>
      <c r="I17" s="3">
        <v>10843.969275729978</v>
      </c>
      <c r="J17" s="3">
        <v>0</v>
      </c>
    </row>
    <row r="18" spans="1:25" x14ac:dyDescent="0.3">
      <c r="A18" s="9" t="s">
        <v>21</v>
      </c>
      <c r="B18" s="5">
        <v>3379.4697865100043</v>
      </c>
      <c r="C18" s="5">
        <v>4598.4246724300028</v>
      </c>
      <c r="D18" s="5">
        <v>3406.0371895200005</v>
      </c>
      <c r="E18" s="5">
        <v>11383.931648460008</v>
      </c>
      <c r="F18" s="5">
        <v>5447.1524892200096</v>
      </c>
      <c r="G18" s="5">
        <v>3525.4011804399952</v>
      </c>
      <c r="H18" s="5">
        <v>20356.485318120012</v>
      </c>
      <c r="I18" s="3">
        <v>20356.485318120012</v>
      </c>
      <c r="J18" s="3">
        <v>0</v>
      </c>
    </row>
    <row r="19" spans="1:25" x14ac:dyDescent="0.3">
      <c r="A19" s="9" t="s">
        <v>22</v>
      </c>
      <c r="B19" s="5">
        <v>8638.4595701300223</v>
      </c>
      <c r="C19" s="5">
        <v>3293.065983899995</v>
      </c>
      <c r="D19" s="5">
        <v>3801.3394219200154</v>
      </c>
      <c r="E19" s="5">
        <v>15732.864975950033</v>
      </c>
      <c r="F19" s="5">
        <v>9935.1075198899471</v>
      </c>
      <c r="G19" s="5">
        <v>5871.857016929991</v>
      </c>
      <c r="H19" s="5">
        <v>31539.829512769971</v>
      </c>
      <c r="I19" s="3">
        <v>31539.829512769975</v>
      </c>
      <c r="J19" s="3">
        <v>0</v>
      </c>
    </row>
    <row r="20" spans="1:25" x14ac:dyDescent="0.3">
      <c r="A20" s="9" t="s">
        <v>23</v>
      </c>
      <c r="B20" s="5">
        <v>16627.876968980003</v>
      </c>
      <c r="C20" s="5">
        <v>6515.1531954699976</v>
      </c>
      <c r="D20" s="5">
        <v>7292.9235364299993</v>
      </c>
      <c r="E20" s="5">
        <v>30435.95370088</v>
      </c>
      <c r="F20" s="5">
        <v>18675.328175380007</v>
      </c>
      <c r="G20" s="5">
        <v>9029.2435032899957</v>
      </c>
      <c r="H20" s="5">
        <v>58140.525379550003</v>
      </c>
      <c r="I20" s="3">
        <v>58140.525379550003</v>
      </c>
      <c r="J20" s="3">
        <v>0</v>
      </c>
    </row>
    <row r="21" spans="1:25" x14ac:dyDescent="0.3">
      <c r="A21" s="9" t="s">
        <v>24</v>
      </c>
      <c r="B21" s="5">
        <v>1217.7088262400027</v>
      </c>
      <c r="C21" s="5">
        <v>539.60016692999898</v>
      </c>
      <c r="D21" s="5">
        <v>753.48454455999831</v>
      </c>
      <c r="E21" s="5">
        <v>2510.79353773</v>
      </c>
      <c r="F21" s="5">
        <v>2121.162385229999</v>
      </c>
      <c r="G21" s="5">
        <v>630.27200233000065</v>
      </c>
      <c r="H21" s="5">
        <v>5262.2279252899998</v>
      </c>
      <c r="I21" s="3">
        <v>5262.2279252899998</v>
      </c>
      <c r="J21" s="3">
        <v>0</v>
      </c>
    </row>
    <row r="22" spans="1:25" x14ac:dyDescent="0.3">
      <c r="A22" s="9" t="s">
        <v>25</v>
      </c>
      <c r="B22" s="36">
        <v>13153.747928209934</v>
      </c>
      <c r="C22" s="36">
        <v>6821.0341276100025</v>
      </c>
      <c r="D22" s="36">
        <v>6380.1274748900096</v>
      </c>
      <c r="E22" s="36">
        <v>26354.909530709949</v>
      </c>
      <c r="F22" s="36">
        <v>16137.634998890046</v>
      </c>
      <c r="G22" s="36">
        <v>10556.33812522</v>
      </c>
      <c r="H22" s="36">
        <v>53048.882654819994</v>
      </c>
      <c r="I22" s="3">
        <v>53048.882654819994</v>
      </c>
      <c r="J22" s="3">
        <v>0</v>
      </c>
    </row>
    <row r="23" spans="1:25" x14ac:dyDescent="0.3">
      <c r="A23" s="9" t="s">
        <v>26</v>
      </c>
      <c r="B23" s="36"/>
      <c r="C23" s="36"/>
      <c r="D23" s="36"/>
      <c r="E23" s="36"/>
      <c r="F23" s="36"/>
      <c r="G23" s="36"/>
      <c r="H23" s="37"/>
      <c r="I23" s="3">
        <v>0</v>
      </c>
      <c r="J23" s="3">
        <v>0</v>
      </c>
    </row>
    <row r="24" spans="1:25" x14ac:dyDescent="0.3">
      <c r="A24" s="9" t="s">
        <v>27</v>
      </c>
      <c r="B24" s="5">
        <v>918.32117871000048</v>
      </c>
      <c r="C24" s="5">
        <v>303.18551511000004</v>
      </c>
      <c r="D24" s="5">
        <v>425.48534882999979</v>
      </c>
      <c r="E24" s="5">
        <v>1646.9920426500003</v>
      </c>
      <c r="F24" s="5">
        <v>1194.4097674600036</v>
      </c>
      <c r="G24" s="5">
        <v>580.93218548000152</v>
      </c>
      <c r="H24" s="5">
        <v>3422.3339955900055</v>
      </c>
      <c r="I24" s="3">
        <v>3422.3339955900051</v>
      </c>
      <c r="J24" s="3">
        <v>0</v>
      </c>
    </row>
    <row r="25" spans="1:25" ht="16.5" x14ac:dyDescent="0.3">
      <c r="A25" s="9" t="s">
        <v>28</v>
      </c>
      <c r="B25" s="5">
        <v>199912.23872186992</v>
      </c>
      <c r="C25" s="5">
        <v>95649.458518629996</v>
      </c>
      <c r="D25" s="5">
        <v>107057.75674119001</v>
      </c>
      <c r="E25" s="5">
        <v>402619.45398168988</v>
      </c>
      <c r="F25" s="5">
        <v>240697.22954806994</v>
      </c>
      <c r="G25" s="5">
        <v>164659.15553461996</v>
      </c>
      <c r="H25" s="5">
        <v>807975.8390643798</v>
      </c>
      <c r="I25" s="3">
        <v>807975.83906437969</v>
      </c>
      <c r="J25" s="3">
        <v>0</v>
      </c>
    </row>
    <row r="26" spans="1:25" x14ac:dyDescent="0.3">
      <c r="I26" s="3">
        <v>0</v>
      </c>
      <c r="J26" s="3">
        <v>0</v>
      </c>
    </row>
    <row r="27" spans="1:25" s="13" customFormat="1" x14ac:dyDescent="0.3">
      <c r="A27" s="13" t="s">
        <v>29</v>
      </c>
      <c r="B27" s="2">
        <v>1017.7743947399989</v>
      </c>
      <c r="C27" s="2">
        <v>609.79474001999984</v>
      </c>
      <c r="D27" s="2">
        <v>706.8463138599999</v>
      </c>
      <c r="E27" s="2">
        <v>2334.4154486199986</v>
      </c>
      <c r="F27" s="2">
        <v>1128.5526761599983</v>
      </c>
      <c r="G27" s="2">
        <v>792.71541678999915</v>
      </c>
      <c r="H27" s="2">
        <v>4255.6835415699961</v>
      </c>
      <c r="I27" s="3">
        <v>4255.6835415699961</v>
      </c>
      <c r="J27" s="3">
        <v>0</v>
      </c>
      <c r="K27" s="2"/>
      <c r="L27" s="2"/>
      <c r="M27" s="2"/>
      <c r="N27" s="2"/>
      <c r="O27" s="2"/>
      <c r="P27" s="2"/>
      <c r="Q27" s="2"/>
      <c r="R27" s="2"/>
      <c r="S27" s="2"/>
      <c r="T27" s="2"/>
      <c r="U27" s="2"/>
      <c r="V27" s="2"/>
      <c r="W27" s="2"/>
      <c r="X27" s="2"/>
      <c r="Y27" s="2"/>
    </row>
    <row r="28" spans="1:25" x14ac:dyDescent="0.3">
      <c r="A28" s="9" t="s">
        <v>30</v>
      </c>
      <c r="B28" s="5">
        <v>58.250124989999712</v>
      </c>
      <c r="C28" s="5">
        <v>33.007534630000002</v>
      </c>
      <c r="D28" s="5">
        <v>83.240083550000008</v>
      </c>
      <c r="E28" s="5">
        <v>174.49774316999972</v>
      </c>
      <c r="F28" s="5">
        <v>92.023689549999744</v>
      </c>
      <c r="G28" s="5">
        <v>71.015020429999993</v>
      </c>
      <c r="H28" s="5">
        <v>337.53645314999949</v>
      </c>
      <c r="I28" s="3">
        <v>337.53645314999943</v>
      </c>
      <c r="J28" s="3">
        <v>0</v>
      </c>
    </row>
    <row r="29" spans="1:25" x14ac:dyDescent="0.3">
      <c r="A29" s="9" t="s">
        <v>31</v>
      </c>
      <c r="B29" s="36">
        <v>137.18305945</v>
      </c>
      <c r="C29" s="36">
        <v>107.86028169999999</v>
      </c>
      <c r="D29" s="36">
        <v>94.048953099999991</v>
      </c>
      <c r="E29" s="36">
        <v>339.09229425000001</v>
      </c>
      <c r="F29" s="36">
        <v>156.2246673199999</v>
      </c>
      <c r="G29" s="36">
        <v>97.923441429999983</v>
      </c>
      <c r="H29" s="36">
        <v>593.2404029999999</v>
      </c>
      <c r="I29" s="3">
        <v>593.2404029999999</v>
      </c>
      <c r="J29" s="3">
        <v>0</v>
      </c>
    </row>
    <row r="30" spans="1:25" x14ac:dyDescent="0.3">
      <c r="A30" s="9" t="s">
        <v>32</v>
      </c>
      <c r="B30" s="36"/>
      <c r="C30" s="36"/>
      <c r="D30" s="36"/>
      <c r="E30" s="36"/>
      <c r="F30" s="36"/>
      <c r="G30" s="36"/>
      <c r="H30" s="36"/>
      <c r="I30" s="3">
        <v>0</v>
      </c>
      <c r="J30" s="3">
        <v>0</v>
      </c>
    </row>
    <row r="31" spans="1:25" x14ac:dyDescent="0.3">
      <c r="A31" s="9" t="s">
        <v>33</v>
      </c>
      <c r="B31" s="5">
        <v>157.0989621600001</v>
      </c>
      <c r="C31" s="5">
        <v>111.22213257000001</v>
      </c>
      <c r="D31" s="5">
        <v>135.37818475999995</v>
      </c>
      <c r="E31" s="5">
        <v>403.69927949000009</v>
      </c>
      <c r="F31" s="5">
        <v>186.68667861000017</v>
      </c>
      <c r="G31" s="5">
        <v>126.61609136000007</v>
      </c>
      <c r="H31" s="5">
        <v>717.00204946000031</v>
      </c>
      <c r="I31" s="3">
        <v>717.00204946000031</v>
      </c>
      <c r="J31" s="3">
        <v>0</v>
      </c>
    </row>
    <row r="32" spans="1:25" x14ac:dyDescent="0.3">
      <c r="A32" s="9" t="s">
        <v>34</v>
      </c>
      <c r="B32" s="5">
        <v>41.363754959999987</v>
      </c>
      <c r="C32" s="5">
        <v>38.265896039999994</v>
      </c>
      <c r="D32" s="5">
        <v>35.399613610000024</v>
      </c>
      <c r="E32" s="5">
        <v>115.02926461000001</v>
      </c>
      <c r="F32" s="5">
        <v>57.401909930000024</v>
      </c>
      <c r="G32" s="5">
        <v>49.370352050000022</v>
      </c>
      <c r="H32" s="5">
        <v>221.80152659000007</v>
      </c>
      <c r="I32" s="3">
        <v>221.80152659000004</v>
      </c>
      <c r="J32" s="3">
        <v>0</v>
      </c>
    </row>
    <row r="33" spans="1:25" x14ac:dyDescent="0.3">
      <c r="A33" s="9" t="s">
        <v>35</v>
      </c>
      <c r="B33" s="5">
        <v>69.878107319999984</v>
      </c>
      <c r="C33" s="5">
        <v>40.47699613999999</v>
      </c>
      <c r="D33" s="5">
        <v>37.914199860000004</v>
      </c>
      <c r="E33" s="5">
        <v>148.26930331999998</v>
      </c>
      <c r="F33" s="5">
        <v>59.69553246000001</v>
      </c>
      <c r="G33" s="5">
        <v>55.005184869999979</v>
      </c>
      <c r="H33" s="5">
        <v>262.97002064999998</v>
      </c>
      <c r="I33" s="3">
        <v>262.97002064999998</v>
      </c>
      <c r="J33" s="3">
        <v>0</v>
      </c>
    </row>
    <row r="34" spans="1:25" x14ac:dyDescent="0.3">
      <c r="A34" s="9" t="s">
        <v>36</v>
      </c>
      <c r="B34" s="5">
        <v>554.00038585999914</v>
      </c>
      <c r="C34" s="5">
        <v>278.96189893999986</v>
      </c>
      <c r="D34" s="5">
        <v>320.86527897999991</v>
      </c>
      <c r="E34" s="5">
        <v>1153.8275637799989</v>
      </c>
      <c r="F34" s="5">
        <v>576.52019828999846</v>
      </c>
      <c r="G34" s="5">
        <v>392.78532664999921</v>
      </c>
      <c r="H34" s="5">
        <v>2123.1330887199965</v>
      </c>
      <c r="I34" s="3">
        <v>2123.1330887199965</v>
      </c>
      <c r="J34" s="3">
        <v>0</v>
      </c>
    </row>
    <row r="35" spans="1:25" x14ac:dyDescent="0.3">
      <c r="I35" s="3">
        <v>0</v>
      </c>
      <c r="J35" s="3">
        <v>0</v>
      </c>
    </row>
    <row r="36" spans="1:25" s="13" customFormat="1" x14ac:dyDescent="0.3">
      <c r="A36" s="13" t="s">
        <v>37</v>
      </c>
      <c r="B36" s="2">
        <v>2330.1285006090002</v>
      </c>
      <c r="C36" s="2">
        <v>1547.3493629800003</v>
      </c>
      <c r="D36" s="2">
        <v>1599.7606926000003</v>
      </c>
      <c r="E36" s="2">
        <v>5477.2385561890005</v>
      </c>
      <c r="F36" s="2">
        <v>2628.8630867599995</v>
      </c>
      <c r="G36" s="2">
        <v>1888.9908591899998</v>
      </c>
      <c r="H36" s="2">
        <v>9995.0925021389994</v>
      </c>
      <c r="I36" s="3">
        <v>9995.0925021389994</v>
      </c>
      <c r="J36" s="3">
        <v>0</v>
      </c>
      <c r="K36" s="2"/>
      <c r="L36" s="2"/>
      <c r="M36" s="2"/>
      <c r="N36" s="2"/>
      <c r="O36" s="2"/>
      <c r="P36" s="2"/>
      <c r="Q36" s="2"/>
      <c r="R36" s="2"/>
      <c r="S36" s="2"/>
      <c r="T36" s="2"/>
      <c r="U36" s="2"/>
      <c r="V36" s="2"/>
      <c r="W36" s="2"/>
      <c r="X36" s="2"/>
      <c r="Y36" s="2"/>
    </row>
    <row r="37" spans="1:25" x14ac:dyDescent="0.3">
      <c r="A37" s="9" t="s">
        <v>38</v>
      </c>
      <c r="B37" s="5">
        <v>333.87699580400005</v>
      </c>
      <c r="C37" s="5">
        <v>179.52341949000032</v>
      </c>
      <c r="D37" s="5">
        <v>229.03654002000027</v>
      </c>
      <c r="E37" s="5">
        <v>742.43695531400067</v>
      </c>
      <c r="F37" s="5">
        <v>337.50453663000013</v>
      </c>
      <c r="G37" s="5">
        <v>287.71824454000006</v>
      </c>
      <c r="H37" s="5">
        <v>1367.6597364840009</v>
      </c>
      <c r="I37" s="3">
        <v>1367.6597364840009</v>
      </c>
      <c r="J37" s="3">
        <v>0</v>
      </c>
    </row>
    <row r="38" spans="1:25" x14ac:dyDescent="0.3">
      <c r="A38" s="9" t="s">
        <v>39</v>
      </c>
      <c r="B38" s="5">
        <v>390.65737437399997</v>
      </c>
      <c r="C38" s="5">
        <v>235.63575146999989</v>
      </c>
      <c r="D38" s="5">
        <v>206.25098127999999</v>
      </c>
      <c r="E38" s="5">
        <v>832.54410712399988</v>
      </c>
      <c r="F38" s="5">
        <v>371.34419950999995</v>
      </c>
      <c r="G38" s="5">
        <v>233.15278931999998</v>
      </c>
      <c r="H38" s="5">
        <v>1437.041095954</v>
      </c>
      <c r="I38" s="3">
        <v>1437.041095954</v>
      </c>
      <c r="J38" s="3">
        <v>0</v>
      </c>
    </row>
    <row r="39" spans="1:25" x14ac:dyDescent="0.3">
      <c r="A39" s="9" t="s">
        <v>40</v>
      </c>
      <c r="B39" s="5">
        <v>477.14510504100002</v>
      </c>
      <c r="C39" s="5">
        <v>352.98172106999999</v>
      </c>
      <c r="D39" s="5">
        <v>327.3579037099999</v>
      </c>
      <c r="E39" s="5">
        <v>1157.484729821</v>
      </c>
      <c r="F39" s="5">
        <v>518.87517531000083</v>
      </c>
      <c r="G39" s="5">
        <v>382.28828429000015</v>
      </c>
      <c r="H39" s="5">
        <v>2058.648189421001</v>
      </c>
      <c r="I39" s="3">
        <v>2058.648189421001</v>
      </c>
      <c r="J39" s="3">
        <v>0</v>
      </c>
    </row>
    <row r="40" spans="1:25" x14ac:dyDescent="0.3">
      <c r="A40" s="9" t="s">
        <v>41</v>
      </c>
      <c r="B40" s="5">
        <v>1128.4490253900003</v>
      </c>
      <c r="C40" s="5">
        <v>779.20847094999999</v>
      </c>
      <c r="D40" s="5">
        <v>837.11526759000003</v>
      </c>
      <c r="E40" s="5">
        <v>2744.7727639300001</v>
      </c>
      <c r="F40" s="5">
        <v>1401.139175309999</v>
      </c>
      <c r="G40" s="5">
        <v>985.83154103999959</v>
      </c>
      <c r="H40" s="5">
        <v>5131.7434802799989</v>
      </c>
      <c r="I40" s="3">
        <v>5131.743480279998</v>
      </c>
      <c r="J40" s="3">
        <v>0</v>
      </c>
    </row>
    <row r="41" spans="1:25" x14ac:dyDescent="0.3">
      <c r="I41" s="3">
        <v>0</v>
      </c>
      <c r="J41" s="3">
        <v>0</v>
      </c>
    </row>
    <row r="42" spans="1:25" s="13" customFormat="1" x14ac:dyDescent="0.3">
      <c r="A42" s="13" t="s">
        <v>42</v>
      </c>
      <c r="B42" s="2">
        <v>1492.4222061899964</v>
      </c>
      <c r="C42" s="2">
        <v>1069.4879028399996</v>
      </c>
      <c r="D42" s="2">
        <v>1180.9817533299995</v>
      </c>
      <c r="E42" s="2">
        <v>3742.8918623599957</v>
      </c>
      <c r="F42" s="2">
        <v>1655.2776353799995</v>
      </c>
      <c r="G42" s="2">
        <v>1259.2919187200007</v>
      </c>
      <c r="H42" s="2">
        <v>6657.4614164599961</v>
      </c>
      <c r="I42" s="3">
        <v>6657.4614164599952</v>
      </c>
      <c r="J42" s="3">
        <v>0</v>
      </c>
      <c r="K42" s="2"/>
      <c r="L42" s="2"/>
      <c r="M42" s="2"/>
      <c r="N42" s="2"/>
      <c r="O42" s="2"/>
      <c r="P42" s="2"/>
      <c r="Q42" s="2"/>
      <c r="R42" s="2"/>
      <c r="S42" s="2"/>
      <c r="T42" s="2"/>
      <c r="U42" s="2"/>
      <c r="V42" s="2"/>
      <c r="W42" s="2"/>
      <c r="X42" s="2"/>
      <c r="Y42" s="2"/>
    </row>
    <row r="43" spans="1:25" x14ac:dyDescent="0.3">
      <c r="A43" s="9" t="s">
        <v>43</v>
      </c>
      <c r="B43" s="36">
        <v>585.44391002999771</v>
      </c>
      <c r="C43" s="36">
        <v>440.25501748999977</v>
      </c>
      <c r="D43" s="36">
        <v>467.70673066000006</v>
      </c>
      <c r="E43" s="36">
        <v>1493.4056581799978</v>
      </c>
      <c r="F43" s="36">
        <v>608.23841023000045</v>
      </c>
      <c r="G43" s="36">
        <v>485.57971211000023</v>
      </c>
      <c r="H43" s="36">
        <v>2587.2237805199984</v>
      </c>
      <c r="I43" s="3">
        <v>2587.2237805199984</v>
      </c>
      <c r="J43" s="3">
        <v>0</v>
      </c>
    </row>
    <row r="44" spans="1:25" x14ac:dyDescent="0.3">
      <c r="A44" s="9" t="s">
        <v>44</v>
      </c>
      <c r="B44" s="36"/>
      <c r="C44" s="36"/>
      <c r="D44" s="36"/>
      <c r="E44" s="36"/>
      <c r="F44" s="36"/>
      <c r="G44" s="36"/>
      <c r="H44" s="36"/>
      <c r="I44" s="3">
        <v>0</v>
      </c>
      <c r="J44" s="3">
        <v>0</v>
      </c>
    </row>
    <row r="45" spans="1:25" x14ac:dyDescent="0.3">
      <c r="A45" s="9" t="s">
        <v>45</v>
      </c>
      <c r="B45" s="5">
        <v>642.51750257999845</v>
      </c>
      <c r="C45" s="5">
        <v>461.82417452999999</v>
      </c>
      <c r="D45" s="5">
        <v>494.13669746999943</v>
      </c>
      <c r="E45" s="5">
        <v>1598.478374579998</v>
      </c>
      <c r="F45" s="5">
        <v>775.45269634999863</v>
      </c>
      <c r="G45" s="5">
        <v>565.52434396000046</v>
      </c>
      <c r="H45" s="5">
        <v>2939.455414889997</v>
      </c>
      <c r="I45" s="3">
        <v>2939.455414889997</v>
      </c>
      <c r="J45" s="3">
        <v>0</v>
      </c>
    </row>
    <row r="46" spans="1:25" x14ac:dyDescent="0.3">
      <c r="A46" s="9" t="s">
        <v>46</v>
      </c>
      <c r="B46" s="5">
        <v>188.56109845000006</v>
      </c>
      <c r="C46" s="5">
        <v>133.41407425999998</v>
      </c>
      <c r="D46" s="5">
        <v>169.43265923000004</v>
      </c>
      <c r="E46" s="5">
        <v>491.40783194000005</v>
      </c>
      <c r="F46" s="5">
        <v>205.29148791000026</v>
      </c>
      <c r="G46" s="5">
        <v>155.55364371000005</v>
      </c>
      <c r="H46" s="5">
        <v>852.25296356000035</v>
      </c>
      <c r="I46" s="3">
        <v>852.25296356000035</v>
      </c>
      <c r="J46" s="3">
        <v>0</v>
      </c>
    </row>
    <row r="47" spans="1:25" x14ac:dyDescent="0.3">
      <c r="A47" s="9" t="s">
        <v>47</v>
      </c>
      <c r="B47" s="5">
        <v>75.899695129999969</v>
      </c>
      <c r="C47" s="5">
        <v>33.994636560000004</v>
      </c>
      <c r="D47" s="5">
        <v>49.705665969999998</v>
      </c>
      <c r="E47" s="5">
        <v>159.59999765999999</v>
      </c>
      <c r="F47" s="5">
        <v>66.295040890000024</v>
      </c>
      <c r="G47" s="5">
        <v>52.634218940000039</v>
      </c>
      <c r="H47" s="5">
        <v>278.52925749000008</v>
      </c>
      <c r="I47" s="3">
        <v>278.52925749000008</v>
      </c>
      <c r="J47" s="3">
        <v>0</v>
      </c>
    </row>
    <row r="48" spans="1:25" x14ac:dyDescent="0.3">
      <c r="I48" s="3">
        <v>0</v>
      </c>
      <c r="J48" s="3">
        <v>0</v>
      </c>
    </row>
    <row r="49" spans="1:25" s="13" customFormat="1" x14ac:dyDescent="0.3">
      <c r="A49" s="13" t="s">
        <v>48</v>
      </c>
      <c r="B49" s="2">
        <v>9379.2336210100002</v>
      </c>
      <c r="C49" s="2">
        <v>4797.8361450199991</v>
      </c>
      <c r="D49" s="2">
        <v>6100.9505223399956</v>
      </c>
      <c r="E49" s="2">
        <v>20278.020288369997</v>
      </c>
      <c r="F49" s="2">
        <v>11530.56405773</v>
      </c>
      <c r="G49" s="2">
        <v>8594.0947471799955</v>
      </c>
      <c r="H49" s="2">
        <v>40402.67909328</v>
      </c>
      <c r="I49" s="3">
        <v>40402.679093279992</v>
      </c>
      <c r="J49" s="3">
        <v>0</v>
      </c>
      <c r="K49" s="2"/>
      <c r="L49" s="2"/>
      <c r="M49" s="2"/>
      <c r="N49" s="2"/>
      <c r="O49" s="2"/>
      <c r="P49" s="2"/>
      <c r="Q49" s="2"/>
      <c r="R49" s="2"/>
      <c r="S49" s="2"/>
      <c r="T49" s="2"/>
      <c r="U49" s="2"/>
      <c r="V49" s="2"/>
      <c r="W49" s="2"/>
      <c r="X49" s="2"/>
      <c r="Y49" s="2"/>
    </row>
    <row r="50" spans="1:25" x14ac:dyDescent="0.3">
      <c r="A50" s="9" t="s">
        <v>49</v>
      </c>
      <c r="B50" s="5">
        <v>113.58244856999995</v>
      </c>
      <c r="C50" s="5">
        <v>29.526369070000005</v>
      </c>
      <c r="D50" s="5">
        <v>43.971773569999996</v>
      </c>
      <c r="E50" s="5">
        <v>187.08059120999997</v>
      </c>
      <c r="F50" s="5">
        <v>95.837161770000023</v>
      </c>
      <c r="G50" s="5">
        <v>56.628188299999984</v>
      </c>
      <c r="H50" s="5">
        <v>339.54594127999997</v>
      </c>
      <c r="I50" s="3">
        <v>339.54594127999997</v>
      </c>
      <c r="J50" s="3">
        <v>0</v>
      </c>
    </row>
    <row r="51" spans="1:25" x14ac:dyDescent="0.3">
      <c r="A51" s="9" t="s">
        <v>50</v>
      </c>
      <c r="B51" s="5">
        <v>690.53705366999839</v>
      </c>
      <c r="C51" s="5">
        <v>357.3206170700002</v>
      </c>
      <c r="D51" s="5">
        <v>371.46076379999965</v>
      </c>
      <c r="E51" s="5">
        <v>1419.3184345399982</v>
      </c>
      <c r="F51" s="5">
        <v>703.88457146999906</v>
      </c>
      <c r="G51" s="5">
        <v>479.97488087999977</v>
      </c>
      <c r="H51" s="5">
        <v>2603.1778868899969</v>
      </c>
      <c r="I51" s="3">
        <v>2603.1778868899974</v>
      </c>
      <c r="J51" s="3">
        <v>0</v>
      </c>
    </row>
    <row r="52" spans="1:25" x14ac:dyDescent="0.3">
      <c r="A52" s="9" t="s">
        <v>51</v>
      </c>
      <c r="B52" s="5">
        <v>2423.612427039996</v>
      </c>
      <c r="C52" s="5">
        <v>1040.6976795</v>
      </c>
      <c r="D52" s="5">
        <v>1296.7841036199984</v>
      </c>
      <c r="E52" s="5">
        <v>4761.094210159994</v>
      </c>
      <c r="F52" s="5">
        <v>2981.7192798000001</v>
      </c>
      <c r="G52" s="5">
        <v>1675.0592891799979</v>
      </c>
      <c r="H52" s="5">
        <v>9417.8727791399924</v>
      </c>
      <c r="I52" s="3">
        <v>9417.8727791399906</v>
      </c>
      <c r="J52" s="3">
        <v>0</v>
      </c>
    </row>
    <row r="53" spans="1:25" x14ac:dyDescent="0.3">
      <c r="A53" s="9" t="s">
        <v>52</v>
      </c>
      <c r="B53" s="5">
        <v>923.75127774999908</v>
      </c>
      <c r="C53" s="5">
        <v>569.81397128999993</v>
      </c>
      <c r="D53" s="5">
        <v>566.83390612000017</v>
      </c>
      <c r="E53" s="5">
        <v>2060.3991551599993</v>
      </c>
      <c r="F53" s="5">
        <v>996.86235885000212</v>
      </c>
      <c r="G53" s="5">
        <v>647.55727780999996</v>
      </c>
      <c r="H53" s="5">
        <v>3704.8187918200015</v>
      </c>
      <c r="I53" s="3">
        <v>3704.8187918200015</v>
      </c>
      <c r="J53" s="3">
        <v>0</v>
      </c>
    </row>
    <row r="54" spans="1:25" ht="16.5" x14ac:dyDescent="0.3">
      <c r="A54" s="9" t="s">
        <v>53</v>
      </c>
      <c r="B54" s="5">
        <v>2321.2335630500074</v>
      </c>
      <c r="C54" s="5">
        <v>1293.5658339599991</v>
      </c>
      <c r="D54" s="5">
        <v>1318.3126956099982</v>
      </c>
      <c r="E54" s="5">
        <v>4933.1120926200047</v>
      </c>
      <c r="F54" s="5">
        <v>2615.154529650003</v>
      </c>
      <c r="G54" s="5">
        <v>2000.3917660900006</v>
      </c>
      <c r="H54" s="5">
        <v>9548.6583883600069</v>
      </c>
      <c r="I54" s="3">
        <v>9548.6583883600088</v>
      </c>
      <c r="J54" s="3">
        <v>0</v>
      </c>
    </row>
    <row r="55" spans="1:25" x14ac:dyDescent="0.3">
      <c r="A55" s="9" t="s">
        <v>54</v>
      </c>
      <c r="B55" s="5">
        <v>704.3520418199995</v>
      </c>
      <c r="C55" s="5">
        <v>463.1155903299998</v>
      </c>
      <c r="D55" s="5">
        <v>480.40823264000005</v>
      </c>
      <c r="E55" s="5">
        <v>1647.8758647899992</v>
      </c>
      <c r="F55" s="5">
        <v>769.74113465999937</v>
      </c>
      <c r="G55" s="5">
        <v>558.65597187999992</v>
      </c>
      <c r="H55" s="5">
        <v>2976.2729713299987</v>
      </c>
      <c r="I55" s="3">
        <v>2976.2729713299987</v>
      </c>
      <c r="J55" s="3">
        <v>0</v>
      </c>
    </row>
    <row r="56" spans="1:25" ht="16.5" x14ac:dyDescent="0.3">
      <c r="A56" s="9" t="s">
        <v>55</v>
      </c>
      <c r="B56" s="5">
        <v>383.67315714</v>
      </c>
      <c r="C56" s="5">
        <v>181.94668612999993</v>
      </c>
      <c r="D56" s="5">
        <v>219.2058357199997</v>
      </c>
      <c r="E56" s="5">
        <v>784.82567898999969</v>
      </c>
      <c r="F56" s="5">
        <v>629.43421716000012</v>
      </c>
      <c r="G56" s="5">
        <v>474.17768369000004</v>
      </c>
      <c r="H56" s="5">
        <v>1888.4375798399999</v>
      </c>
      <c r="I56" s="3">
        <v>1888.4375798399999</v>
      </c>
      <c r="J56" s="3">
        <v>0</v>
      </c>
    </row>
    <row r="57" spans="1:25" ht="16.5" x14ac:dyDescent="0.3">
      <c r="A57" s="9" t="s">
        <v>56</v>
      </c>
      <c r="B57" s="5">
        <v>1497.2384338900006</v>
      </c>
      <c r="C57" s="5">
        <v>641.76258780000012</v>
      </c>
      <c r="D57" s="5">
        <v>1467.2491813299991</v>
      </c>
      <c r="E57" s="5">
        <v>3606.2502030200003</v>
      </c>
      <c r="F57" s="5">
        <v>2307.132289049996</v>
      </c>
      <c r="G57" s="5">
        <v>2403.6960172999984</v>
      </c>
      <c r="H57" s="5">
        <v>8317.078509369996</v>
      </c>
      <c r="I57" s="3">
        <v>8317.0785093699942</v>
      </c>
      <c r="J57" s="3">
        <v>0</v>
      </c>
    </row>
    <row r="58" spans="1:25" ht="16.5" x14ac:dyDescent="0.3">
      <c r="A58" s="9" t="s">
        <v>57</v>
      </c>
      <c r="B58" s="5">
        <v>321.25321807999927</v>
      </c>
      <c r="C58" s="5">
        <v>220.08680986999994</v>
      </c>
      <c r="D58" s="5">
        <v>336.72402992999997</v>
      </c>
      <c r="E58" s="5">
        <v>878.06405787999915</v>
      </c>
      <c r="F58" s="5">
        <v>430.79851532000112</v>
      </c>
      <c r="G58" s="5">
        <v>297.95367205000002</v>
      </c>
      <c r="H58" s="5">
        <v>1606.8162452500003</v>
      </c>
      <c r="I58" s="3">
        <v>1606.8162452500003</v>
      </c>
      <c r="J58" s="3">
        <v>0</v>
      </c>
    </row>
    <row r="59" spans="1:25" x14ac:dyDescent="0.3">
      <c r="I59" s="3">
        <v>0</v>
      </c>
      <c r="J59" s="3">
        <v>0</v>
      </c>
    </row>
    <row r="60" spans="1:25" s="13" customFormat="1" x14ac:dyDescent="0.3">
      <c r="A60" s="13" t="s">
        <v>58</v>
      </c>
      <c r="B60" s="2">
        <v>13868.670464710018</v>
      </c>
      <c r="C60" s="2">
        <v>6629.2184439199955</v>
      </c>
      <c r="D60" s="2">
        <v>8133.7891679600007</v>
      </c>
      <c r="E60" s="2">
        <v>28631.678076590015</v>
      </c>
      <c r="F60" s="2">
        <v>16063.904702599995</v>
      </c>
      <c r="G60" s="2">
        <v>10105.46222911</v>
      </c>
      <c r="H60" s="2">
        <v>54801.045008300018</v>
      </c>
      <c r="I60" s="3">
        <v>54801.045008300011</v>
      </c>
      <c r="J60" s="3">
        <v>0</v>
      </c>
      <c r="K60" s="2"/>
      <c r="L60" s="2"/>
      <c r="M60" s="2"/>
      <c r="N60" s="2"/>
      <c r="O60" s="2"/>
      <c r="P60" s="2"/>
      <c r="Q60" s="2"/>
      <c r="R60" s="2"/>
      <c r="S60" s="2"/>
      <c r="T60" s="2"/>
      <c r="U60" s="2"/>
      <c r="V60" s="2"/>
      <c r="W60" s="2"/>
      <c r="X60" s="2"/>
      <c r="Y60" s="2"/>
    </row>
    <row r="61" spans="1:25" x14ac:dyDescent="0.3">
      <c r="A61" s="9" t="s">
        <v>59</v>
      </c>
      <c r="B61" s="5">
        <v>2520.9161789799964</v>
      </c>
      <c r="C61" s="5">
        <v>1466.4462280300013</v>
      </c>
      <c r="D61" s="5">
        <v>1656.3760718900016</v>
      </c>
      <c r="E61" s="5">
        <v>5643.7384788999989</v>
      </c>
      <c r="F61" s="5">
        <v>3092.2587588900051</v>
      </c>
      <c r="G61" s="5">
        <v>2054.3749766399997</v>
      </c>
      <c r="H61" s="5">
        <v>10790.372214430005</v>
      </c>
      <c r="I61" s="3">
        <v>10790.372214430005</v>
      </c>
      <c r="J61" s="3">
        <v>0</v>
      </c>
    </row>
    <row r="62" spans="1:25" x14ac:dyDescent="0.3">
      <c r="A62" s="9" t="s">
        <v>60</v>
      </c>
      <c r="B62" s="5">
        <v>4040.7972140800161</v>
      </c>
      <c r="C62" s="5">
        <v>1905.363476199997</v>
      </c>
      <c r="D62" s="5">
        <v>2300.8253311799999</v>
      </c>
      <c r="E62" s="5">
        <v>8246.9860214600121</v>
      </c>
      <c r="F62" s="5">
        <v>4470.1022999999805</v>
      </c>
      <c r="G62" s="5">
        <v>2701.9203066300015</v>
      </c>
      <c r="H62" s="5">
        <v>15419.008628089994</v>
      </c>
      <c r="I62" s="3">
        <v>15419.008628089994</v>
      </c>
      <c r="J62" s="3">
        <v>0</v>
      </c>
    </row>
    <row r="63" spans="1:25" x14ac:dyDescent="0.3">
      <c r="A63" s="9" t="s">
        <v>61</v>
      </c>
      <c r="B63" s="5">
        <v>4941.8972027399996</v>
      </c>
      <c r="C63" s="5">
        <v>2197.0249924099976</v>
      </c>
      <c r="D63" s="5">
        <v>3005.7896766299996</v>
      </c>
      <c r="E63" s="5">
        <v>10144.711871779997</v>
      </c>
      <c r="F63" s="5">
        <v>6011.2019612300082</v>
      </c>
      <c r="G63" s="5">
        <v>3788.9043137699978</v>
      </c>
      <c r="H63" s="5">
        <v>19944.818146780002</v>
      </c>
      <c r="I63" s="3">
        <v>19944.818146780002</v>
      </c>
      <c r="J63" s="3">
        <v>0</v>
      </c>
    </row>
    <row r="64" spans="1:25" ht="16.5" x14ac:dyDescent="0.3">
      <c r="A64" s="9" t="s">
        <v>62</v>
      </c>
      <c r="B64" s="5">
        <v>191.86106287999979</v>
      </c>
      <c r="C64" s="5">
        <v>106.44325393000015</v>
      </c>
      <c r="D64" s="5">
        <v>81.54762309000003</v>
      </c>
      <c r="E64" s="5">
        <v>379.85193989999993</v>
      </c>
      <c r="F64" s="5">
        <v>145.18261598000026</v>
      </c>
      <c r="G64" s="5">
        <v>91.224860020000008</v>
      </c>
      <c r="H64" s="5">
        <v>616.25941590000025</v>
      </c>
      <c r="I64" s="3">
        <v>616.25941590000025</v>
      </c>
      <c r="J64" s="3">
        <v>0</v>
      </c>
    </row>
    <row r="65" spans="1:25" ht="16.5" x14ac:dyDescent="0.3">
      <c r="A65" s="9" t="s">
        <v>63</v>
      </c>
      <c r="B65" s="5">
        <v>1281.1510132000064</v>
      </c>
      <c r="C65" s="5">
        <v>547.08972530999972</v>
      </c>
      <c r="D65" s="5">
        <v>559.18428000999916</v>
      </c>
      <c r="E65" s="5">
        <v>2387.4250185200053</v>
      </c>
      <c r="F65" s="5">
        <v>1520.5625746600058</v>
      </c>
      <c r="G65" s="5">
        <v>893.53908382000134</v>
      </c>
      <c r="H65" s="5">
        <v>4801.5266770000126</v>
      </c>
      <c r="I65" s="3">
        <v>4801.5266770000126</v>
      </c>
      <c r="J65" s="3">
        <v>0</v>
      </c>
    </row>
    <row r="66" spans="1:25" ht="16.5" x14ac:dyDescent="0.3">
      <c r="A66" s="9" t="s">
        <v>64</v>
      </c>
      <c r="B66" s="5">
        <v>892.0477928300013</v>
      </c>
      <c r="C66" s="5">
        <v>406.85076804000005</v>
      </c>
      <c r="D66" s="5">
        <v>530.06618515999946</v>
      </c>
      <c r="E66" s="5">
        <v>1828.9647460300007</v>
      </c>
      <c r="F66" s="5">
        <v>824.59649183999738</v>
      </c>
      <c r="G66" s="5">
        <v>575.49868823000054</v>
      </c>
      <c r="H66" s="5">
        <v>3229.0599260999988</v>
      </c>
      <c r="I66" s="3">
        <v>3229.0599260999984</v>
      </c>
      <c r="J66" s="3">
        <v>0</v>
      </c>
    </row>
    <row r="67" spans="1:25" x14ac:dyDescent="0.3">
      <c r="I67" s="3">
        <v>0</v>
      </c>
      <c r="J67" s="3">
        <v>0</v>
      </c>
    </row>
    <row r="68" spans="1:25" s="13" customFormat="1" x14ac:dyDescent="0.3">
      <c r="A68" s="13" t="s">
        <v>65</v>
      </c>
      <c r="B68" s="2">
        <v>1330.5427614000012</v>
      </c>
      <c r="C68" s="2">
        <v>667.55381847000001</v>
      </c>
      <c r="D68" s="2">
        <v>737.41543199000023</v>
      </c>
      <c r="E68" s="2">
        <v>2735.5120118600016</v>
      </c>
      <c r="F68" s="2">
        <v>1367.7927470199993</v>
      </c>
      <c r="G68" s="2">
        <v>768.44712929000048</v>
      </c>
      <c r="H68" s="2">
        <v>4871.7518881700007</v>
      </c>
      <c r="I68" s="3">
        <v>4871.7518881700016</v>
      </c>
      <c r="J68" s="3">
        <v>0</v>
      </c>
      <c r="K68" s="2"/>
      <c r="L68" s="2"/>
      <c r="M68" s="2"/>
      <c r="N68" s="2"/>
      <c r="O68" s="2"/>
      <c r="P68" s="2"/>
      <c r="Q68" s="2"/>
      <c r="R68" s="2"/>
      <c r="S68" s="2"/>
      <c r="T68" s="2"/>
      <c r="U68" s="2"/>
      <c r="V68" s="2"/>
      <c r="W68" s="2"/>
      <c r="X68" s="2"/>
      <c r="Y68" s="2"/>
    </row>
    <row r="69" spans="1:25" x14ac:dyDescent="0.3">
      <c r="A69" s="9" t="s">
        <v>66</v>
      </c>
      <c r="B69" s="5">
        <v>71.347389129999968</v>
      </c>
      <c r="C69" s="5">
        <v>24.13553211</v>
      </c>
      <c r="D69" s="5">
        <v>35.659125380000013</v>
      </c>
      <c r="E69" s="5">
        <v>131.14204661999997</v>
      </c>
      <c r="F69" s="5">
        <v>53.895738339999987</v>
      </c>
      <c r="G69" s="5">
        <v>38.165548730000012</v>
      </c>
      <c r="H69" s="5">
        <v>223.20333368999997</v>
      </c>
      <c r="I69" s="3">
        <v>223.20333368999997</v>
      </c>
      <c r="J69" s="3">
        <v>0</v>
      </c>
    </row>
    <row r="70" spans="1:25" x14ac:dyDescent="0.3">
      <c r="A70" s="9" t="s">
        <v>67</v>
      </c>
      <c r="B70" s="5">
        <v>139.53383717000006</v>
      </c>
      <c r="C70" s="5">
        <v>72.88048723</v>
      </c>
      <c r="D70" s="5">
        <v>74.194414620000003</v>
      </c>
      <c r="E70" s="5">
        <v>286.60873902000003</v>
      </c>
      <c r="F70" s="5">
        <v>133.0445023799995</v>
      </c>
      <c r="G70" s="5">
        <v>80.821713980000013</v>
      </c>
      <c r="H70" s="5">
        <v>500.47495537999953</v>
      </c>
      <c r="I70" s="3">
        <v>500.47495537999953</v>
      </c>
      <c r="J70" s="3">
        <v>0</v>
      </c>
    </row>
    <row r="71" spans="1:25" x14ac:dyDescent="0.3">
      <c r="A71" s="9" t="s">
        <v>68</v>
      </c>
      <c r="B71" s="5">
        <v>367.32705632000034</v>
      </c>
      <c r="C71" s="5">
        <v>204.78315718000013</v>
      </c>
      <c r="D71" s="5">
        <v>207.39739047999996</v>
      </c>
      <c r="E71" s="5">
        <v>779.50760398000034</v>
      </c>
      <c r="F71" s="5">
        <v>349.4617726699995</v>
      </c>
      <c r="G71" s="5">
        <v>226.48267557000003</v>
      </c>
      <c r="H71" s="5">
        <v>1355.4520522199998</v>
      </c>
      <c r="I71" s="3">
        <v>1355.45205222</v>
      </c>
      <c r="J71" s="3">
        <v>0</v>
      </c>
    </row>
    <row r="72" spans="1:25" x14ac:dyDescent="0.3">
      <c r="A72" s="9" t="s">
        <v>69</v>
      </c>
      <c r="B72" s="36">
        <v>660.84354275000078</v>
      </c>
      <c r="C72" s="36">
        <v>323.45757210999994</v>
      </c>
      <c r="D72" s="36">
        <v>344.64124192000031</v>
      </c>
      <c r="E72" s="36">
        <v>1328.9423567800011</v>
      </c>
      <c r="F72" s="36">
        <v>748.63163725000027</v>
      </c>
      <c r="G72" s="36">
        <v>373.59073405000044</v>
      </c>
      <c r="H72" s="36">
        <v>2451.1647280800016</v>
      </c>
      <c r="I72" s="3">
        <v>2451.1647280800016</v>
      </c>
      <c r="J72" s="3">
        <v>0</v>
      </c>
    </row>
    <row r="73" spans="1:25" x14ac:dyDescent="0.3">
      <c r="A73" s="9" t="s">
        <v>70</v>
      </c>
      <c r="B73" s="36"/>
      <c r="C73" s="36"/>
      <c r="D73" s="36"/>
      <c r="E73" s="36"/>
      <c r="F73" s="36"/>
      <c r="G73" s="36"/>
      <c r="H73" s="36"/>
      <c r="I73" s="3">
        <v>0</v>
      </c>
      <c r="J73" s="3">
        <v>0</v>
      </c>
    </row>
    <row r="74" spans="1:25" x14ac:dyDescent="0.3">
      <c r="A74" s="9" t="s">
        <v>71</v>
      </c>
      <c r="B74" s="5">
        <v>91.490936030000015</v>
      </c>
      <c r="C74" s="5">
        <v>42.297069839999992</v>
      </c>
      <c r="D74" s="5">
        <v>75.523259589999981</v>
      </c>
      <c r="E74" s="5">
        <v>209.31126545999999</v>
      </c>
      <c r="F74" s="5">
        <v>82.759096379999974</v>
      </c>
      <c r="G74" s="5">
        <v>49.386456959999983</v>
      </c>
      <c r="H74" s="5">
        <v>341.45681879999995</v>
      </c>
      <c r="I74" s="3">
        <v>341.45681879999995</v>
      </c>
      <c r="J74" s="3">
        <v>0</v>
      </c>
    </row>
    <row r="75" spans="1:25" x14ac:dyDescent="0.3">
      <c r="I75" s="3">
        <v>0</v>
      </c>
      <c r="J75" s="3">
        <v>0</v>
      </c>
    </row>
    <row r="76" spans="1:25" s="13" customFormat="1" x14ac:dyDescent="0.3">
      <c r="A76" s="13" t="s">
        <v>72</v>
      </c>
      <c r="B76" s="2">
        <v>2239.4767295300007</v>
      </c>
      <c r="C76" s="2">
        <v>1297.5879582600003</v>
      </c>
      <c r="D76" s="2">
        <v>1294.7815229900002</v>
      </c>
      <c r="E76" s="2">
        <v>4831.8462107800005</v>
      </c>
      <c r="F76" s="2">
        <v>2123.9722651199995</v>
      </c>
      <c r="G76" s="2">
        <v>1521.7889106899997</v>
      </c>
      <c r="H76" s="2">
        <v>8477.6073865899998</v>
      </c>
      <c r="I76" s="3">
        <v>8477.6073865899998</v>
      </c>
      <c r="J76" s="3">
        <v>0</v>
      </c>
      <c r="K76" s="2"/>
      <c r="L76" s="2"/>
      <c r="M76" s="2"/>
      <c r="N76" s="2"/>
      <c r="O76" s="2"/>
      <c r="P76" s="2"/>
      <c r="Q76" s="2"/>
      <c r="R76" s="2"/>
      <c r="S76" s="2"/>
      <c r="T76" s="2"/>
      <c r="U76" s="2"/>
      <c r="V76" s="2"/>
      <c r="W76" s="2"/>
      <c r="X76" s="2"/>
      <c r="Y76" s="2"/>
    </row>
    <row r="77" spans="1:25" x14ac:dyDescent="0.3">
      <c r="A77" s="9" t="s">
        <v>73</v>
      </c>
      <c r="B77" s="5">
        <v>665.55720645000054</v>
      </c>
      <c r="C77" s="5">
        <v>523.70322064000015</v>
      </c>
      <c r="D77" s="5">
        <v>450.3342920799999</v>
      </c>
      <c r="E77" s="5">
        <v>1639.5947191700004</v>
      </c>
      <c r="F77" s="5">
        <v>718.54257226000209</v>
      </c>
      <c r="G77" s="5">
        <v>463.21503116000008</v>
      </c>
      <c r="H77" s="5">
        <v>2821.3523225900026</v>
      </c>
      <c r="I77" s="3">
        <v>2821.3523225900026</v>
      </c>
      <c r="J77" s="3">
        <v>0</v>
      </c>
    </row>
    <row r="78" spans="1:25" x14ac:dyDescent="0.3">
      <c r="A78" s="9" t="s">
        <v>74</v>
      </c>
      <c r="B78" s="5">
        <v>181.03765265000024</v>
      </c>
      <c r="C78" s="5">
        <v>101.04321590000002</v>
      </c>
      <c r="D78" s="5">
        <v>125.76129216000008</v>
      </c>
      <c r="E78" s="5">
        <v>407.84216071000037</v>
      </c>
      <c r="F78" s="5">
        <v>166.79530257000022</v>
      </c>
      <c r="G78" s="5">
        <v>120.25054533999999</v>
      </c>
      <c r="H78" s="5">
        <v>694.88800862000062</v>
      </c>
      <c r="I78" s="3">
        <v>694.88800862000062</v>
      </c>
      <c r="J78" s="3">
        <v>0</v>
      </c>
    </row>
    <row r="79" spans="1:25" x14ac:dyDescent="0.3">
      <c r="A79" s="9" t="s">
        <v>75</v>
      </c>
      <c r="B79" s="5">
        <v>851.32985163999979</v>
      </c>
      <c r="C79" s="5">
        <v>371.51881488000021</v>
      </c>
      <c r="D79" s="5">
        <v>413.52598272000012</v>
      </c>
      <c r="E79" s="5">
        <v>1636.3746492400001</v>
      </c>
      <c r="F79" s="5">
        <v>726.79287510999745</v>
      </c>
      <c r="G79" s="5">
        <v>572.24016098999959</v>
      </c>
      <c r="H79" s="5">
        <v>2935.407685339997</v>
      </c>
      <c r="I79" s="3">
        <v>2935.4076853399974</v>
      </c>
      <c r="J79" s="3">
        <v>0</v>
      </c>
    </row>
    <row r="80" spans="1:25" x14ac:dyDescent="0.3">
      <c r="A80" s="9" t="s">
        <v>76</v>
      </c>
      <c r="B80" s="5">
        <v>129.51520966999993</v>
      </c>
      <c r="C80" s="5">
        <v>57.565214539999943</v>
      </c>
      <c r="D80" s="5">
        <v>60.836999989999967</v>
      </c>
      <c r="E80" s="5">
        <v>247.91742419999986</v>
      </c>
      <c r="F80" s="5">
        <v>163.04883176000004</v>
      </c>
      <c r="G80" s="5">
        <v>102.35232414000008</v>
      </c>
      <c r="H80" s="5">
        <v>513.31858009999996</v>
      </c>
      <c r="I80" s="3">
        <v>513.31858009999996</v>
      </c>
      <c r="J80" s="3">
        <v>0</v>
      </c>
    </row>
    <row r="81" spans="1:25" x14ac:dyDescent="0.3">
      <c r="A81" s="9" t="s">
        <v>77</v>
      </c>
      <c r="B81" s="5">
        <v>179.22897128000002</v>
      </c>
      <c r="C81" s="5">
        <v>130.54320712999996</v>
      </c>
      <c r="D81" s="5">
        <v>115.29244592000003</v>
      </c>
      <c r="E81" s="5">
        <v>425.06462433000002</v>
      </c>
      <c r="F81" s="5">
        <v>151.98786387999982</v>
      </c>
      <c r="G81" s="5">
        <v>121.93757622</v>
      </c>
      <c r="H81" s="5">
        <v>698.99006442999985</v>
      </c>
      <c r="I81" s="3">
        <v>698.99006442999985</v>
      </c>
      <c r="J81" s="3">
        <v>0</v>
      </c>
    </row>
    <row r="82" spans="1:25" x14ac:dyDescent="0.3">
      <c r="A82" s="9" t="s">
        <v>78</v>
      </c>
      <c r="B82" s="5">
        <v>232.80783784000016</v>
      </c>
      <c r="C82" s="5">
        <v>113.21428516999998</v>
      </c>
      <c r="D82" s="5">
        <v>129.03051012000006</v>
      </c>
      <c r="E82" s="5">
        <v>475.05263313000023</v>
      </c>
      <c r="F82" s="5">
        <v>196.80481954000007</v>
      </c>
      <c r="G82" s="5">
        <v>141.79327284000004</v>
      </c>
      <c r="H82" s="5">
        <v>813.65072551000037</v>
      </c>
      <c r="I82" s="3">
        <v>813.65072551000026</v>
      </c>
      <c r="J82" s="3">
        <v>0</v>
      </c>
    </row>
    <row r="83" spans="1:25" x14ac:dyDescent="0.3">
      <c r="I83" s="3">
        <v>0</v>
      </c>
      <c r="J83" s="3">
        <v>0</v>
      </c>
    </row>
    <row r="84" spans="1:25" s="13" customFormat="1" x14ac:dyDescent="0.3">
      <c r="A84" s="13" t="s">
        <v>79</v>
      </c>
      <c r="B84" s="2">
        <v>2223.1015905199988</v>
      </c>
      <c r="C84" s="2">
        <v>1263.6660528099997</v>
      </c>
      <c r="D84" s="2">
        <v>1372.4032893199997</v>
      </c>
      <c r="E84" s="2">
        <v>4859.1709326499977</v>
      </c>
      <c r="F84" s="2">
        <v>2519.8361982200004</v>
      </c>
      <c r="G84" s="2">
        <v>1520.3810549000004</v>
      </c>
      <c r="H84" s="2">
        <v>8899.3881857699998</v>
      </c>
      <c r="I84" s="3">
        <v>8899.3881857699998</v>
      </c>
      <c r="J84" s="3">
        <v>0</v>
      </c>
      <c r="K84" s="2"/>
      <c r="L84" s="2"/>
      <c r="M84" s="2"/>
      <c r="N84" s="2"/>
      <c r="O84" s="2"/>
      <c r="P84" s="2"/>
      <c r="Q84" s="2"/>
      <c r="R84" s="2"/>
      <c r="S84" s="2"/>
      <c r="T84" s="2"/>
      <c r="U84" s="2"/>
      <c r="V84" s="2"/>
      <c r="W84" s="2"/>
      <c r="X84" s="2"/>
      <c r="Y84" s="2"/>
    </row>
    <row r="85" spans="1:25" x14ac:dyDescent="0.3">
      <c r="A85" s="9" t="s">
        <v>80</v>
      </c>
      <c r="B85" s="5">
        <v>360.03001169000123</v>
      </c>
      <c r="C85" s="5">
        <v>186.74434359999992</v>
      </c>
      <c r="D85" s="5">
        <v>194.93651544999969</v>
      </c>
      <c r="E85" s="5">
        <v>741.71087074000081</v>
      </c>
      <c r="F85" s="5">
        <v>439.70364004000135</v>
      </c>
      <c r="G85" s="5">
        <v>216.42568957999998</v>
      </c>
      <c r="H85" s="5">
        <v>1397.8402003600022</v>
      </c>
      <c r="I85" s="3">
        <v>1397.8402003600022</v>
      </c>
      <c r="J85" s="3">
        <v>0</v>
      </c>
    </row>
    <row r="86" spans="1:25" x14ac:dyDescent="0.3">
      <c r="A86" s="9" t="s">
        <v>81</v>
      </c>
      <c r="B86" s="5">
        <v>126.62939552999985</v>
      </c>
      <c r="C86" s="5">
        <v>95.510282510000053</v>
      </c>
      <c r="D86" s="5">
        <v>77.708030319999978</v>
      </c>
      <c r="E86" s="5">
        <v>299.8477083599999</v>
      </c>
      <c r="F86" s="5">
        <v>120.92429182999983</v>
      </c>
      <c r="G86" s="5">
        <v>94.820308610000012</v>
      </c>
      <c r="H86" s="5">
        <v>515.59230879999973</v>
      </c>
      <c r="I86" s="3">
        <v>515.59230879999973</v>
      </c>
      <c r="J86" s="3">
        <v>0</v>
      </c>
    </row>
    <row r="87" spans="1:25" x14ac:dyDescent="0.3">
      <c r="A87" s="9" t="s">
        <v>82</v>
      </c>
      <c r="B87" s="5">
        <v>216.79481694999998</v>
      </c>
      <c r="C87" s="5">
        <v>140.12474213000004</v>
      </c>
      <c r="D87" s="5">
        <v>158.13667021000012</v>
      </c>
      <c r="E87" s="5">
        <v>515.05622929000015</v>
      </c>
      <c r="F87" s="5">
        <v>218.59088077999985</v>
      </c>
      <c r="G87" s="5">
        <v>175.40221239999997</v>
      </c>
      <c r="H87" s="5">
        <v>909.04932246999999</v>
      </c>
      <c r="I87" s="3">
        <v>909.04932246999999</v>
      </c>
      <c r="J87" s="3">
        <v>0</v>
      </c>
    </row>
    <row r="88" spans="1:25" ht="16.5" x14ac:dyDescent="0.3">
      <c r="A88" s="9" t="s">
        <v>83</v>
      </c>
      <c r="B88" s="5">
        <v>191.72953367</v>
      </c>
      <c r="C88" s="5">
        <v>112.51506763000002</v>
      </c>
      <c r="D88" s="5">
        <v>165.66957165000002</v>
      </c>
      <c r="E88" s="5">
        <v>469.91417295000002</v>
      </c>
      <c r="F88" s="5">
        <v>230.90756136000041</v>
      </c>
      <c r="G88" s="5">
        <v>157.71309423999998</v>
      </c>
      <c r="H88" s="5">
        <v>858.53482855000038</v>
      </c>
      <c r="I88" s="3">
        <v>858.53482855000038</v>
      </c>
      <c r="J88" s="3">
        <v>0</v>
      </c>
    </row>
    <row r="89" spans="1:25" ht="16.5" x14ac:dyDescent="0.3">
      <c r="A89" s="9" t="s">
        <v>84</v>
      </c>
      <c r="B89" s="36">
        <v>1327.9178326799977</v>
      </c>
      <c r="C89" s="36">
        <v>728.77161693999949</v>
      </c>
      <c r="D89" s="36">
        <v>775.95250168999985</v>
      </c>
      <c r="E89" s="36">
        <v>2832.6419513099968</v>
      </c>
      <c r="F89" s="36">
        <v>1509.7098242099992</v>
      </c>
      <c r="G89" s="36">
        <v>876.01975007000044</v>
      </c>
      <c r="H89" s="36">
        <v>5218.371525589997</v>
      </c>
      <c r="I89" s="3">
        <v>5218.3715255899961</v>
      </c>
      <c r="J89" s="3">
        <v>0</v>
      </c>
    </row>
    <row r="90" spans="1:25" x14ac:dyDescent="0.3">
      <c r="A90" s="9" t="s">
        <v>85</v>
      </c>
      <c r="B90" s="36"/>
      <c r="C90" s="36"/>
      <c r="D90" s="36"/>
      <c r="E90" s="36"/>
      <c r="F90" s="36"/>
      <c r="G90" s="36"/>
      <c r="H90" s="36"/>
      <c r="I90" s="3">
        <v>0</v>
      </c>
      <c r="J90" s="3">
        <v>0</v>
      </c>
    </row>
    <row r="91" spans="1:25" x14ac:dyDescent="0.3">
      <c r="I91" s="3">
        <v>0</v>
      </c>
      <c r="J91" s="3">
        <v>0</v>
      </c>
    </row>
    <row r="92" spans="1:25" s="13" customFormat="1" x14ac:dyDescent="0.3">
      <c r="A92" s="13" t="s">
        <v>86</v>
      </c>
      <c r="B92" s="2">
        <v>1996.0686668599965</v>
      </c>
      <c r="C92" s="2">
        <v>1021.8464623800003</v>
      </c>
      <c r="D92" s="2">
        <v>1243.6284290300002</v>
      </c>
      <c r="E92" s="2">
        <v>4261.5435582699974</v>
      </c>
      <c r="F92" s="2">
        <v>2202.7253246500013</v>
      </c>
      <c r="G92" s="2">
        <v>1305.0757946599997</v>
      </c>
      <c r="H92" s="2">
        <v>7769.3446775799985</v>
      </c>
      <c r="I92" s="3">
        <v>7769.3446775799976</v>
      </c>
      <c r="J92" s="3">
        <v>0</v>
      </c>
      <c r="K92" s="2"/>
      <c r="L92" s="2"/>
      <c r="M92" s="2"/>
      <c r="N92" s="2"/>
      <c r="O92" s="2"/>
      <c r="P92" s="2"/>
      <c r="Q92" s="2"/>
      <c r="R92" s="2"/>
      <c r="S92" s="2"/>
      <c r="T92" s="2"/>
      <c r="U92" s="2"/>
      <c r="V92" s="2"/>
      <c r="W92" s="2"/>
      <c r="X92" s="2"/>
      <c r="Y92" s="2"/>
    </row>
    <row r="93" spans="1:25" x14ac:dyDescent="0.3">
      <c r="A93" s="9" t="s">
        <v>87</v>
      </c>
      <c r="B93" s="36">
        <v>1507.4719882299971</v>
      </c>
      <c r="C93" s="36">
        <v>699.94993225000007</v>
      </c>
      <c r="D93" s="36">
        <v>901.61728247999986</v>
      </c>
      <c r="E93" s="36">
        <v>3109.0392029599971</v>
      </c>
      <c r="F93" s="36">
        <v>1657.557085150002</v>
      </c>
      <c r="G93" s="36">
        <v>905.10715477999952</v>
      </c>
      <c r="H93" s="36">
        <v>5671.7034428899988</v>
      </c>
      <c r="I93" s="3">
        <v>5671.7034428899979</v>
      </c>
      <c r="J93" s="3">
        <v>0</v>
      </c>
    </row>
    <row r="94" spans="1:25" x14ac:dyDescent="0.3">
      <c r="A94" s="9" t="s">
        <v>88</v>
      </c>
      <c r="B94" s="36"/>
      <c r="C94" s="36"/>
      <c r="D94" s="36"/>
      <c r="E94" s="36"/>
      <c r="F94" s="36"/>
      <c r="G94" s="36"/>
      <c r="H94" s="36"/>
      <c r="I94" s="3">
        <v>0</v>
      </c>
      <c r="J94" s="3">
        <v>0</v>
      </c>
    </row>
    <row r="95" spans="1:25" x14ac:dyDescent="0.3">
      <c r="A95" s="9" t="s">
        <v>89</v>
      </c>
      <c r="B95" s="36">
        <v>488.59667862999936</v>
      </c>
      <c r="C95" s="36">
        <v>321.8965301300002</v>
      </c>
      <c r="D95" s="36">
        <v>342.01114655000032</v>
      </c>
      <c r="E95" s="36">
        <v>1152.5043553099999</v>
      </c>
      <c r="F95" s="36">
        <v>545.16823949999912</v>
      </c>
      <c r="G95" s="36">
        <v>399.96863988000013</v>
      </c>
      <c r="H95" s="36">
        <v>2097.6412346899992</v>
      </c>
      <c r="I95" s="3">
        <v>2097.6412346899992</v>
      </c>
      <c r="J95" s="3">
        <v>0</v>
      </c>
    </row>
    <row r="96" spans="1:25" x14ac:dyDescent="0.3">
      <c r="A96" s="9" t="s">
        <v>90</v>
      </c>
      <c r="B96" s="36"/>
      <c r="C96" s="36"/>
      <c r="D96" s="36"/>
      <c r="E96" s="36"/>
      <c r="F96" s="36"/>
      <c r="G96" s="36"/>
      <c r="H96" s="36"/>
      <c r="I96" s="3">
        <v>0</v>
      </c>
      <c r="J96" s="3">
        <v>0</v>
      </c>
    </row>
    <row r="97" spans="1:25" x14ac:dyDescent="0.3">
      <c r="I97" s="3">
        <v>0</v>
      </c>
      <c r="J97" s="3">
        <v>0</v>
      </c>
    </row>
    <row r="98" spans="1:25" s="13" customFormat="1" x14ac:dyDescent="0.3">
      <c r="A98" s="13" t="s">
        <v>91</v>
      </c>
      <c r="B98" s="2">
        <v>11941.78741254001</v>
      </c>
      <c r="C98" s="2">
        <v>5488.4919910999997</v>
      </c>
      <c r="D98" s="2">
        <v>6623.3049577699985</v>
      </c>
      <c r="E98" s="2">
        <v>24053.584361410009</v>
      </c>
      <c r="F98" s="2">
        <v>13442.886617429998</v>
      </c>
      <c r="G98" s="2">
        <v>9255.2811125499938</v>
      </c>
      <c r="H98" s="2">
        <v>46751.752091390001</v>
      </c>
      <c r="I98" s="3">
        <v>46751.752091390001</v>
      </c>
      <c r="J98" s="3">
        <v>0</v>
      </c>
      <c r="K98" s="2"/>
      <c r="L98" s="2"/>
      <c r="M98" s="2"/>
      <c r="N98" s="2"/>
      <c r="O98" s="2"/>
      <c r="P98" s="2"/>
      <c r="Q98" s="2"/>
      <c r="R98" s="2"/>
      <c r="S98" s="2"/>
      <c r="T98" s="2"/>
      <c r="U98" s="2"/>
      <c r="V98" s="2"/>
      <c r="W98" s="2"/>
      <c r="X98" s="2"/>
      <c r="Y98" s="2"/>
    </row>
    <row r="99" spans="1:25" x14ac:dyDescent="0.3">
      <c r="A99" s="9" t="s">
        <v>92</v>
      </c>
      <c r="B99" s="5">
        <v>511.31010735000007</v>
      </c>
      <c r="C99" s="5">
        <v>288.99409894000019</v>
      </c>
      <c r="D99" s="5">
        <v>361.63238164000006</v>
      </c>
      <c r="E99" s="5">
        <v>1161.9365879300003</v>
      </c>
      <c r="F99" s="5">
        <v>670.00806005000049</v>
      </c>
      <c r="G99" s="5">
        <v>389.42255520999987</v>
      </c>
      <c r="H99" s="5">
        <v>2221.3672031900005</v>
      </c>
      <c r="I99" s="3">
        <v>2221.3672031900005</v>
      </c>
      <c r="J99" s="3">
        <v>0</v>
      </c>
    </row>
    <row r="100" spans="1:25" x14ac:dyDescent="0.3">
      <c r="A100" s="9" t="s">
        <v>93</v>
      </c>
      <c r="B100" s="36">
        <v>2419.7743940100058</v>
      </c>
      <c r="C100" s="36">
        <v>1240.4000761400011</v>
      </c>
      <c r="D100" s="36">
        <v>1321.4898467499977</v>
      </c>
      <c r="E100" s="36">
        <v>4981.6643169000045</v>
      </c>
      <c r="F100" s="36">
        <v>3275.418843870003</v>
      </c>
      <c r="G100" s="36">
        <v>1839.9262735399975</v>
      </c>
      <c r="H100" s="36">
        <v>10097.009434310006</v>
      </c>
      <c r="I100" s="3">
        <v>10097.009434310005</v>
      </c>
      <c r="J100" s="3">
        <v>0</v>
      </c>
    </row>
    <row r="101" spans="1:25" x14ac:dyDescent="0.3">
      <c r="A101" s="9" t="s">
        <v>94</v>
      </c>
      <c r="B101" s="36"/>
      <c r="C101" s="36"/>
      <c r="D101" s="36"/>
      <c r="E101" s="36"/>
      <c r="F101" s="36"/>
      <c r="G101" s="36"/>
      <c r="H101" s="36"/>
      <c r="I101" s="3">
        <v>0</v>
      </c>
      <c r="J101" s="3">
        <v>0</v>
      </c>
    </row>
    <row r="102" spans="1:25" x14ac:dyDescent="0.3">
      <c r="A102" s="9" t="s">
        <v>95</v>
      </c>
      <c r="B102" s="36"/>
      <c r="C102" s="36"/>
      <c r="D102" s="36"/>
      <c r="E102" s="36"/>
      <c r="F102" s="36"/>
      <c r="G102" s="36"/>
      <c r="H102" s="36"/>
      <c r="I102" s="3">
        <v>0</v>
      </c>
      <c r="J102" s="3">
        <v>0</v>
      </c>
    </row>
    <row r="103" spans="1:25" x14ac:dyDescent="0.3">
      <c r="A103" s="9" t="s">
        <v>96</v>
      </c>
      <c r="B103" s="5">
        <v>2917.8113838600038</v>
      </c>
      <c r="C103" s="5">
        <v>1453.8267209299984</v>
      </c>
      <c r="D103" s="5">
        <v>1620.7058971799997</v>
      </c>
      <c r="E103" s="5">
        <v>5992.344001970002</v>
      </c>
      <c r="F103" s="5">
        <v>3323.942982049999</v>
      </c>
      <c r="G103" s="5">
        <v>1952.7050776399985</v>
      </c>
      <c r="H103" s="5">
        <v>11268.992061659999</v>
      </c>
      <c r="I103" s="3">
        <v>11268.992061659999</v>
      </c>
      <c r="J103" s="3">
        <v>0</v>
      </c>
    </row>
    <row r="104" spans="1:25" ht="16.5" x14ac:dyDescent="0.3">
      <c r="A104" s="14" t="s">
        <v>97</v>
      </c>
      <c r="B104" s="5">
        <v>6092.89152732</v>
      </c>
      <c r="C104" s="5">
        <v>2505.2710950900005</v>
      </c>
      <c r="D104" s="5">
        <v>3319.4768322000014</v>
      </c>
      <c r="E104" s="5">
        <v>11917.639454610002</v>
      </c>
      <c r="F104" s="5">
        <v>6173.5167314599967</v>
      </c>
      <c r="G104" s="5">
        <v>5073.2272061599979</v>
      </c>
      <c r="H104" s="5">
        <v>23164.383392229996</v>
      </c>
      <c r="I104" s="3">
        <v>23164.383392229996</v>
      </c>
      <c r="J104" s="3">
        <v>0</v>
      </c>
    </row>
    <row r="105" spans="1:25" x14ac:dyDescent="0.3">
      <c r="I105" s="3">
        <v>0</v>
      </c>
      <c r="J105" s="3">
        <v>0</v>
      </c>
    </row>
    <row r="106" spans="1:25" s="13" customFormat="1" x14ac:dyDescent="0.3">
      <c r="A106" s="13" t="s">
        <v>98</v>
      </c>
      <c r="B106" s="2">
        <v>1474.710833690001</v>
      </c>
      <c r="C106" s="2">
        <v>1094.4759539800002</v>
      </c>
      <c r="D106" s="2">
        <v>1156.5432472699999</v>
      </c>
      <c r="E106" s="2">
        <v>3725.7300349400011</v>
      </c>
      <c r="F106" s="2">
        <v>1504.9215601299991</v>
      </c>
      <c r="G106" s="2">
        <v>1170.5192513099998</v>
      </c>
      <c r="H106" s="2">
        <v>6401.1708463799996</v>
      </c>
      <c r="I106" s="3">
        <v>6401.1708463800005</v>
      </c>
      <c r="J106" s="3">
        <v>0</v>
      </c>
      <c r="K106" s="2"/>
      <c r="L106" s="2"/>
      <c r="M106" s="2"/>
      <c r="N106" s="2"/>
      <c r="O106" s="2"/>
      <c r="P106" s="2"/>
      <c r="Q106" s="2"/>
      <c r="R106" s="2"/>
      <c r="S106" s="2"/>
      <c r="T106" s="2"/>
      <c r="U106" s="2"/>
      <c r="V106" s="2"/>
      <c r="W106" s="2"/>
      <c r="X106" s="2"/>
      <c r="Y106" s="2"/>
    </row>
    <row r="107" spans="1:25" x14ac:dyDescent="0.3">
      <c r="A107" s="9" t="s">
        <v>99</v>
      </c>
      <c r="B107" s="36">
        <v>604.30590585000039</v>
      </c>
      <c r="C107" s="36">
        <v>463.99539353000017</v>
      </c>
      <c r="D107" s="36">
        <v>473.21548862000003</v>
      </c>
      <c r="E107" s="36">
        <v>1541.5167880000006</v>
      </c>
      <c r="F107" s="36">
        <v>516.05045708999955</v>
      </c>
      <c r="G107" s="36">
        <v>500.29836705000002</v>
      </c>
      <c r="H107" s="36">
        <v>2557.8656121399999</v>
      </c>
      <c r="I107" s="3">
        <v>2557.8656121399999</v>
      </c>
      <c r="J107" s="3">
        <v>0</v>
      </c>
    </row>
    <row r="108" spans="1:25" ht="16.5" x14ac:dyDescent="0.3">
      <c r="A108" s="9" t="s">
        <v>100</v>
      </c>
      <c r="B108" s="36"/>
      <c r="C108" s="36"/>
      <c r="D108" s="36"/>
      <c r="E108" s="36"/>
      <c r="F108" s="36"/>
      <c r="G108" s="36"/>
      <c r="H108" s="36"/>
      <c r="I108" s="3">
        <v>0</v>
      </c>
      <c r="J108" s="3">
        <v>0</v>
      </c>
    </row>
    <row r="109" spans="1:25" ht="14.25" customHeight="1" x14ac:dyDescent="0.3">
      <c r="A109" s="9" t="s">
        <v>101</v>
      </c>
      <c r="B109" s="5">
        <v>111.44419390000016</v>
      </c>
      <c r="C109" s="5">
        <v>87.939625189999987</v>
      </c>
      <c r="D109" s="5">
        <v>122.42518871999999</v>
      </c>
      <c r="E109" s="5">
        <v>321.80900781000014</v>
      </c>
      <c r="F109" s="5">
        <v>157.20967877999979</v>
      </c>
      <c r="G109" s="5">
        <v>111.13478073999998</v>
      </c>
      <c r="H109" s="5">
        <v>590.1534673299999</v>
      </c>
      <c r="I109" s="3">
        <v>590.1534673299999</v>
      </c>
      <c r="J109" s="3">
        <v>0</v>
      </c>
    </row>
    <row r="110" spans="1:25" ht="16.5" customHeight="1" x14ac:dyDescent="0.3">
      <c r="A110" s="9" t="s">
        <v>102</v>
      </c>
      <c r="B110" s="5">
        <v>301.84918827000013</v>
      </c>
      <c r="C110" s="5">
        <v>249.30011231000006</v>
      </c>
      <c r="D110" s="5">
        <v>257.81196801999999</v>
      </c>
      <c r="E110" s="5">
        <v>808.96126860000015</v>
      </c>
      <c r="F110" s="5">
        <v>360.64280083999967</v>
      </c>
      <c r="G110" s="5">
        <v>242.92088147999976</v>
      </c>
      <c r="H110" s="5">
        <v>1412.5249509199996</v>
      </c>
      <c r="I110" s="3">
        <v>1412.5249509199996</v>
      </c>
      <c r="J110" s="3">
        <v>0</v>
      </c>
    </row>
    <row r="111" spans="1:25" x14ac:dyDescent="0.3">
      <c r="A111" s="9" t="s">
        <v>103</v>
      </c>
      <c r="B111" s="5">
        <v>149.14210809999997</v>
      </c>
      <c r="C111" s="5">
        <v>109.70056735000003</v>
      </c>
      <c r="D111" s="5">
        <v>94.028650550000009</v>
      </c>
      <c r="E111" s="5">
        <v>352.87132600000001</v>
      </c>
      <c r="F111" s="5">
        <v>147.85554407999993</v>
      </c>
      <c r="G111" s="5">
        <v>105.30791010000004</v>
      </c>
      <c r="H111" s="5">
        <v>606.03478017999998</v>
      </c>
      <c r="I111" s="3">
        <v>606.03478017999998</v>
      </c>
      <c r="J111" s="3">
        <v>0</v>
      </c>
    </row>
    <row r="112" spans="1:25" x14ac:dyDescent="0.3">
      <c r="A112" s="9" t="s">
        <v>104</v>
      </c>
      <c r="B112" s="5">
        <v>188.22757957000016</v>
      </c>
      <c r="C112" s="5">
        <v>105.56466596000001</v>
      </c>
      <c r="D112" s="5">
        <v>128.76909125000003</v>
      </c>
      <c r="E112" s="5">
        <v>422.5613367800002</v>
      </c>
      <c r="F112" s="5">
        <v>201.12599622000027</v>
      </c>
      <c r="G112" s="5">
        <v>115.71903531</v>
      </c>
      <c r="H112" s="5">
        <v>739.40636831000052</v>
      </c>
      <c r="I112" s="3">
        <v>739.40636831000052</v>
      </c>
      <c r="J112" s="3">
        <v>0</v>
      </c>
    </row>
    <row r="113" spans="1:25" x14ac:dyDescent="0.3">
      <c r="A113" s="9" t="s">
        <v>105</v>
      </c>
      <c r="B113" s="5">
        <v>119.74185800000008</v>
      </c>
      <c r="C113" s="5">
        <v>77.975589639999981</v>
      </c>
      <c r="D113" s="5">
        <v>80.292860109999978</v>
      </c>
      <c r="E113" s="5">
        <v>278.01030775000004</v>
      </c>
      <c r="F113" s="5">
        <v>122.03708312000001</v>
      </c>
      <c r="G113" s="5">
        <v>95.138276629999993</v>
      </c>
      <c r="H113" s="5">
        <v>495.18566750000002</v>
      </c>
      <c r="I113" s="3">
        <v>495.18566750000008</v>
      </c>
      <c r="J113" s="3">
        <v>0</v>
      </c>
    </row>
    <row r="114" spans="1:25" x14ac:dyDescent="0.3">
      <c r="I114" s="3">
        <v>0</v>
      </c>
      <c r="J114" s="3">
        <v>0</v>
      </c>
    </row>
    <row r="115" spans="1:25" s="13" customFormat="1" x14ac:dyDescent="0.3">
      <c r="A115" s="13" t="s">
        <v>106</v>
      </c>
      <c r="B115" s="2">
        <v>1295.7818279000005</v>
      </c>
      <c r="C115" s="2">
        <v>703.2903623499999</v>
      </c>
      <c r="D115" s="2">
        <v>855.60916302999976</v>
      </c>
      <c r="E115" s="2">
        <v>2854.6813532799997</v>
      </c>
      <c r="F115" s="2">
        <v>1293.0961342300004</v>
      </c>
      <c r="G115" s="2">
        <v>816.6651127199998</v>
      </c>
      <c r="H115" s="2">
        <v>4964.4426002300006</v>
      </c>
      <c r="I115" s="3">
        <v>4964.4426002300006</v>
      </c>
      <c r="J115" s="3">
        <v>0</v>
      </c>
      <c r="K115" s="2"/>
      <c r="L115" s="2"/>
      <c r="M115" s="2"/>
      <c r="N115" s="2"/>
      <c r="O115" s="2"/>
      <c r="P115" s="2"/>
      <c r="Q115" s="2"/>
      <c r="R115" s="2"/>
      <c r="S115" s="2"/>
      <c r="T115" s="2"/>
      <c r="U115" s="2"/>
      <c r="V115" s="2"/>
      <c r="W115" s="2"/>
      <c r="X115" s="2"/>
      <c r="Y115" s="2"/>
    </row>
    <row r="116" spans="1:25" x14ac:dyDescent="0.3">
      <c r="A116" s="9" t="s">
        <v>107</v>
      </c>
      <c r="B116" s="5">
        <v>44.665124870000007</v>
      </c>
      <c r="C116" s="5">
        <v>34.413868709999996</v>
      </c>
      <c r="D116" s="5">
        <v>32.656951789999994</v>
      </c>
      <c r="E116" s="5">
        <v>111.73594537</v>
      </c>
      <c r="F116" s="5">
        <v>41.022668070000023</v>
      </c>
      <c r="G116" s="5">
        <v>24.65701936000001</v>
      </c>
      <c r="H116" s="5">
        <v>177.41563280000003</v>
      </c>
      <c r="I116" s="3">
        <v>177.41563280000005</v>
      </c>
      <c r="J116" s="3">
        <v>0</v>
      </c>
    </row>
    <row r="117" spans="1:25" x14ac:dyDescent="0.3">
      <c r="A117" s="9" t="s">
        <v>108</v>
      </c>
      <c r="B117" s="5">
        <v>313.98990865000042</v>
      </c>
      <c r="C117" s="5">
        <v>205.93459248999994</v>
      </c>
      <c r="D117" s="5">
        <v>197.26923509999997</v>
      </c>
      <c r="E117" s="5">
        <v>717.19373624000025</v>
      </c>
      <c r="F117" s="5">
        <v>386.16598469999991</v>
      </c>
      <c r="G117" s="5">
        <v>257.07825698000011</v>
      </c>
      <c r="H117" s="5">
        <v>1360.4379779200003</v>
      </c>
      <c r="I117" s="3">
        <v>1360.4379779200003</v>
      </c>
      <c r="J117" s="3">
        <v>0</v>
      </c>
    </row>
    <row r="118" spans="1:25" x14ac:dyDescent="0.3">
      <c r="A118" s="9" t="s">
        <v>109</v>
      </c>
      <c r="B118" s="5">
        <v>274.74236223000014</v>
      </c>
      <c r="C118" s="5">
        <v>153.53606284999995</v>
      </c>
      <c r="D118" s="5">
        <v>178.32900600999997</v>
      </c>
      <c r="E118" s="5">
        <v>606.60743109000009</v>
      </c>
      <c r="F118" s="5">
        <v>270.97839203999996</v>
      </c>
      <c r="G118" s="5">
        <v>138.81939955999985</v>
      </c>
      <c r="H118" s="5">
        <v>1016.4052226899998</v>
      </c>
      <c r="I118" s="3">
        <v>1016.40522269</v>
      </c>
      <c r="J118" s="3">
        <v>0</v>
      </c>
    </row>
    <row r="119" spans="1:25" x14ac:dyDescent="0.3">
      <c r="A119" s="9" t="s">
        <v>110</v>
      </c>
      <c r="B119" s="5">
        <v>114.19766772999984</v>
      </c>
      <c r="C119" s="5">
        <v>56.465731519999999</v>
      </c>
      <c r="D119" s="5">
        <v>96.673387150000011</v>
      </c>
      <c r="E119" s="5">
        <v>267.33678639999982</v>
      </c>
      <c r="F119" s="5">
        <v>88.917490020000017</v>
      </c>
      <c r="G119" s="5">
        <v>77.192391270000044</v>
      </c>
      <c r="H119" s="5">
        <v>433.44666768999991</v>
      </c>
      <c r="I119" s="3">
        <v>433.44666768999986</v>
      </c>
      <c r="J119" s="3">
        <v>0</v>
      </c>
    </row>
    <row r="120" spans="1:25" x14ac:dyDescent="0.3">
      <c r="A120" s="9" t="s">
        <v>111</v>
      </c>
      <c r="B120" s="5">
        <v>548.18676442000015</v>
      </c>
      <c r="C120" s="5">
        <v>252.94010677999998</v>
      </c>
      <c r="D120" s="5">
        <v>350.68058297999988</v>
      </c>
      <c r="E120" s="5">
        <v>1151.8074541799999</v>
      </c>
      <c r="F120" s="5">
        <v>506.01159940000048</v>
      </c>
      <c r="G120" s="5">
        <v>318.91804554999976</v>
      </c>
      <c r="H120" s="5">
        <v>1976.7370991300002</v>
      </c>
      <c r="I120" s="3">
        <v>1976.7370991300002</v>
      </c>
      <c r="J120" s="3">
        <v>0</v>
      </c>
    </row>
    <row r="121" spans="1:25" x14ac:dyDescent="0.3">
      <c r="I121" s="3">
        <v>0</v>
      </c>
      <c r="J121" s="3">
        <v>0</v>
      </c>
    </row>
    <row r="122" spans="1:25" s="13" customFormat="1" x14ac:dyDescent="0.3">
      <c r="A122" s="13" t="s">
        <v>112</v>
      </c>
      <c r="B122" s="2">
        <v>2156.1428488599986</v>
      </c>
      <c r="C122" s="2">
        <v>1228.5402520700002</v>
      </c>
      <c r="D122" s="2">
        <v>1607.1952083000001</v>
      </c>
      <c r="E122" s="2">
        <v>4991.8783092299982</v>
      </c>
      <c r="F122" s="2">
        <v>2183.5490315999982</v>
      </c>
      <c r="G122" s="2">
        <v>1477.0734484999989</v>
      </c>
      <c r="H122" s="2">
        <v>8652.5007893299971</v>
      </c>
      <c r="I122" s="3">
        <v>8652.5007893299953</v>
      </c>
      <c r="J122" s="3">
        <v>0</v>
      </c>
      <c r="K122" s="2"/>
      <c r="L122" s="2"/>
      <c r="M122" s="2"/>
      <c r="N122" s="2"/>
      <c r="O122" s="2"/>
      <c r="P122" s="2"/>
      <c r="Q122" s="2"/>
      <c r="R122" s="2"/>
      <c r="S122" s="2"/>
      <c r="T122" s="2"/>
      <c r="U122" s="2"/>
      <c r="V122" s="2"/>
      <c r="W122" s="2"/>
      <c r="X122" s="2"/>
      <c r="Y122" s="2"/>
    </row>
    <row r="123" spans="1:25" x14ac:dyDescent="0.3">
      <c r="A123" s="9" t="s">
        <v>113</v>
      </c>
      <c r="B123" s="5">
        <v>398.40859832000041</v>
      </c>
      <c r="C123" s="5">
        <v>196.72866848999999</v>
      </c>
      <c r="D123" s="5">
        <v>283.12121786000017</v>
      </c>
      <c r="E123" s="5">
        <v>878.2584846700006</v>
      </c>
      <c r="F123" s="5">
        <v>463.58706284999806</v>
      </c>
      <c r="G123" s="5">
        <v>281.75897166000004</v>
      </c>
      <c r="H123" s="5">
        <v>1623.6045191799988</v>
      </c>
      <c r="I123" s="3">
        <v>1623.6045191799988</v>
      </c>
      <c r="J123" s="3">
        <v>0</v>
      </c>
    </row>
    <row r="124" spans="1:25" ht="16.5" x14ac:dyDescent="0.3">
      <c r="A124" s="9" t="s">
        <v>114</v>
      </c>
      <c r="B124" s="36">
        <v>101.98694741000003</v>
      </c>
      <c r="C124" s="36">
        <v>88.832798269999998</v>
      </c>
      <c r="D124" s="36">
        <v>80.887748799999997</v>
      </c>
      <c r="E124" s="36">
        <v>271.70749448000004</v>
      </c>
      <c r="F124" s="36">
        <v>122.18528372999998</v>
      </c>
      <c r="G124" s="36">
        <v>104.17099117999994</v>
      </c>
      <c r="H124" s="36">
        <v>498.06376938999995</v>
      </c>
      <c r="I124" s="3">
        <v>498.06376938999995</v>
      </c>
      <c r="J124" s="3">
        <v>0</v>
      </c>
    </row>
    <row r="125" spans="1:25" x14ac:dyDescent="0.3">
      <c r="A125" s="9" t="s">
        <v>115</v>
      </c>
      <c r="B125" s="36"/>
      <c r="C125" s="36"/>
      <c r="D125" s="36"/>
      <c r="E125" s="36"/>
      <c r="F125" s="36"/>
      <c r="G125" s="36"/>
      <c r="H125" s="36"/>
      <c r="I125" s="3">
        <v>0</v>
      </c>
      <c r="J125" s="3">
        <v>0</v>
      </c>
    </row>
    <row r="126" spans="1:25" ht="16.5" x14ac:dyDescent="0.3">
      <c r="A126" s="9" t="s">
        <v>116</v>
      </c>
      <c r="B126" s="5">
        <v>1091.1361925499984</v>
      </c>
      <c r="C126" s="5">
        <v>645.94961767000007</v>
      </c>
      <c r="D126" s="5">
        <v>903.26461532999997</v>
      </c>
      <c r="E126" s="5">
        <v>2640.3504255499984</v>
      </c>
      <c r="F126" s="5">
        <v>1071.1578443500005</v>
      </c>
      <c r="G126" s="5">
        <v>743.02708728999903</v>
      </c>
      <c r="H126" s="5">
        <v>4454.5353571899977</v>
      </c>
      <c r="I126" s="3">
        <v>4454.5353571899977</v>
      </c>
      <c r="J126" s="3">
        <v>0</v>
      </c>
    </row>
    <row r="127" spans="1:25" x14ac:dyDescent="0.3">
      <c r="A127" s="9" t="s">
        <v>117</v>
      </c>
      <c r="B127" s="36">
        <v>310.61619580999974</v>
      </c>
      <c r="C127" s="36">
        <v>160.02926265000016</v>
      </c>
      <c r="D127" s="36">
        <v>166.87009354999992</v>
      </c>
      <c r="E127" s="36">
        <v>637.51555200999974</v>
      </c>
      <c r="F127" s="36">
        <v>294.22400981999994</v>
      </c>
      <c r="G127" s="36">
        <v>191.39677302999991</v>
      </c>
      <c r="H127" s="36">
        <v>1123.1363348599996</v>
      </c>
      <c r="I127" s="3">
        <v>1123.1363348599996</v>
      </c>
      <c r="J127" s="3">
        <v>0</v>
      </c>
    </row>
    <row r="128" spans="1:25" x14ac:dyDescent="0.3">
      <c r="A128" s="9" t="s">
        <v>118</v>
      </c>
      <c r="B128" s="36"/>
      <c r="C128" s="36"/>
      <c r="D128" s="36"/>
      <c r="E128" s="36"/>
      <c r="F128" s="36"/>
      <c r="G128" s="36"/>
      <c r="H128" s="36"/>
      <c r="I128" s="3">
        <v>0</v>
      </c>
      <c r="J128" s="3">
        <v>0</v>
      </c>
    </row>
    <row r="129" spans="1:25" x14ac:dyDescent="0.3">
      <c r="A129" s="9" t="s">
        <v>119</v>
      </c>
      <c r="B129" s="5">
        <v>253.99491476999981</v>
      </c>
      <c r="C129" s="5">
        <v>136.99990499000003</v>
      </c>
      <c r="D129" s="5">
        <v>173.05153275999999</v>
      </c>
      <c r="E129" s="5">
        <v>564.0463525199998</v>
      </c>
      <c r="F129" s="5">
        <v>232.39483084999983</v>
      </c>
      <c r="G129" s="5">
        <v>156.71962533999996</v>
      </c>
      <c r="H129" s="5">
        <v>953.16080870999963</v>
      </c>
      <c r="I129" s="3">
        <v>953.16080870999963</v>
      </c>
      <c r="J129" s="3">
        <v>0</v>
      </c>
    </row>
    <row r="130" spans="1:25" x14ac:dyDescent="0.3">
      <c r="I130" s="3">
        <v>0</v>
      </c>
      <c r="J130" s="3">
        <v>0</v>
      </c>
    </row>
    <row r="131" spans="1:25" s="13" customFormat="1" x14ac:dyDescent="0.3">
      <c r="A131" s="13" t="s">
        <v>120</v>
      </c>
      <c r="B131" s="2">
        <v>6248.2436301259986</v>
      </c>
      <c r="C131" s="2">
        <v>3429.4605369200008</v>
      </c>
      <c r="D131" s="2">
        <v>3391.0303702699985</v>
      </c>
      <c r="E131" s="2">
        <v>13068.734537315997</v>
      </c>
      <c r="F131" s="2">
        <v>7773.3574793999887</v>
      </c>
      <c r="G131" s="2">
        <v>4967.1616569400012</v>
      </c>
      <c r="H131" s="2">
        <v>25809.253673655985</v>
      </c>
      <c r="I131" s="3">
        <v>25809.253673655985</v>
      </c>
      <c r="J131" s="3">
        <v>0</v>
      </c>
      <c r="K131" s="2"/>
      <c r="L131" s="2"/>
      <c r="M131" s="2"/>
      <c r="N131" s="2"/>
      <c r="O131" s="2"/>
      <c r="P131" s="2"/>
      <c r="Q131" s="2"/>
      <c r="R131" s="2"/>
      <c r="S131" s="2"/>
      <c r="T131" s="2"/>
      <c r="U131" s="2"/>
      <c r="V131" s="2"/>
      <c r="W131" s="2"/>
      <c r="X131" s="2"/>
      <c r="Y131" s="2"/>
    </row>
    <row r="132" spans="1:25" x14ac:dyDescent="0.3">
      <c r="A132" s="9" t="s">
        <v>121</v>
      </c>
      <c r="B132" s="36">
        <v>579.68236132599691</v>
      </c>
      <c r="C132" s="36">
        <v>323.36887814999972</v>
      </c>
      <c r="D132" s="36">
        <v>385.45799250999909</v>
      </c>
      <c r="E132" s="36">
        <v>1288.5092319859957</v>
      </c>
      <c r="F132" s="36">
        <v>528.19821817000104</v>
      </c>
      <c r="G132" s="36">
        <v>483.61542297000005</v>
      </c>
      <c r="H132" s="36">
        <v>2300.3228731259969</v>
      </c>
      <c r="I132" s="3">
        <v>2300.3228731259969</v>
      </c>
      <c r="J132" s="3">
        <v>0</v>
      </c>
    </row>
    <row r="133" spans="1:25" x14ac:dyDescent="0.3">
      <c r="A133" s="9" t="s">
        <v>122</v>
      </c>
      <c r="B133" s="36"/>
      <c r="C133" s="36"/>
      <c r="D133" s="36"/>
      <c r="E133" s="36"/>
      <c r="F133" s="36"/>
      <c r="G133" s="36"/>
      <c r="H133" s="36"/>
      <c r="I133" s="3">
        <v>0</v>
      </c>
      <c r="J133" s="3">
        <v>0</v>
      </c>
    </row>
    <row r="134" spans="1:25" x14ac:dyDescent="0.3">
      <c r="A134" s="9" t="s">
        <v>123</v>
      </c>
      <c r="B134" s="36">
        <v>235.0620369600002</v>
      </c>
      <c r="C134" s="36">
        <v>123.88979300000001</v>
      </c>
      <c r="D134" s="36">
        <v>209.73245230999996</v>
      </c>
      <c r="E134" s="36">
        <v>568.68428227000015</v>
      </c>
      <c r="F134" s="36">
        <v>253.77835926999961</v>
      </c>
      <c r="G134" s="36">
        <v>170.33637716000021</v>
      </c>
      <c r="H134" s="36">
        <v>992.79901870000003</v>
      </c>
      <c r="I134" s="3">
        <v>992.79901870000003</v>
      </c>
      <c r="J134" s="3">
        <v>0</v>
      </c>
    </row>
    <row r="135" spans="1:25" x14ac:dyDescent="0.3">
      <c r="A135" s="9" t="s">
        <v>124</v>
      </c>
      <c r="B135" s="36"/>
      <c r="C135" s="36"/>
      <c r="D135" s="36"/>
      <c r="E135" s="36"/>
      <c r="F135" s="36"/>
      <c r="G135" s="36"/>
      <c r="H135" s="36"/>
      <c r="I135" s="3">
        <v>0</v>
      </c>
      <c r="J135" s="3">
        <v>0</v>
      </c>
    </row>
    <row r="136" spans="1:25" x14ac:dyDescent="0.3">
      <c r="A136" s="9" t="s">
        <v>125</v>
      </c>
      <c r="B136" s="5">
        <v>102.94997256000001</v>
      </c>
      <c r="C136" s="5">
        <v>98.906866879999953</v>
      </c>
      <c r="D136" s="5">
        <v>103.83185859999995</v>
      </c>
      <c r="E136" s="5">
        <v>305.68869803999991</v>
      </c>
      <c r="F136" s="5">
        <v>159.63008497999996</v>
      </c>
      <c r="G136" s="5">
        <v>88.755727800000017</v>
      </c>
      <c r="H136" s="5">
        <v>554.07451081999989</v>
      </c>
      <c r="I136" s="3">
        <v>554.07451081999989</v>
      </c>
      <c r="J136" s="3">
        <v>0</v>
      </c>
    </row>
    <row r="137" spans="1:25" x14ac:dyDescent="0.3">
      <c r="A137" s="9" t="s">
        <v>126</v>
      </c>
      <c r="B137" s="5">
        <v>1869.4689921200006</v>
      </c>
      <c r="C137" s="5">
        <v>919.80024394000031</v>
      </c>
      <c r="D137" s="5">
        <v>1104.3208795199989</v>
      </c>
      <c r="E137" s="5">
        <v>3893.5901155799997</v>
      </c>
      <c r="F137" s="5">
        <v>2219.0752000699908</v>
      </c>
      <c r="G137" s="5">
        <v>1413.2925601800002</v>
      </c>
      <c r="H137" s="5">
        <v>7525.9578758299904</v>
      </c>
      <c r="I137" s="3">
        <v>7525.9578758299904</v>
      </c>
      <c r="J137" s="3">
        <v>0</v>
      </c>
    </row>
    <row r="138" spans="1:25" ht="16.5" x14ac:dyDescent="0.3">
      <c r="A138" s="9" t="s">
        <v>127</v>
      </c>
      <c r="B138" s="5">
        <v>3461.0802671600004</v>
      </c>
      <c r="C138" s="5">
        <v>1963.4947549500005</v>
      </c>
      <c r="D138" s="5">
        <v>1587.6871873300006</v>
      </c>
      <c r="E138" s="5">
        <v>7012.2622094400012</v>
      </c>
      <c r="F138" s="5">
        <v>4612.6756169099972</v>
      </c>
      <c r="G138" s="5">
        <v>2811.1615688300003</v>
      </c>
      <c r="H138" s="5">
        <v>14436.099395179999</v>
      </c>
      <c r="I138" s="3">
        <v>14436.099395179999</v>
      </c>
      <c r="J138" s="3">
        <v>0</v>
      </c>
    </row>
    <row r="139" spans="1:25" x14ac:dyDescent="0.3">
      <c r="I139" s="3">
        <v>0</v>
      </c>
      <c r="J139" s="3">
        <v>0</v>
      </c>
    </row>
    <row r="140" spans="1:25" s="13" customFormat="1" x14ac:dyDescent="0.3">
      <c r="A140" s="13" t="s">
        <v>128</v>
      </c>
      <c r="B140" s="2">
        <v>1418.1145321899999</v>
      </c>
      <c r="C140" s="2">
        <v>774.86035287000016</v>
      </c>
      <c r="D140" s="2">
        <v>923.93418181999994</v>
      </c>
      <c r="E140" s="2">
        <v>3116.9090668800004</v>
      </c>
      <c r="F140" s="2">
        <v>1590.1513368100009</v>
      </c>
      <c r="G140" s="2">
        <v>1089.2585287199997</v>
      </c>
      <c r="H140" s="2">
        <v>5796.3189324100003</v>
      </c>
      <c r="I140" s="3">
        <v>5796.3189324100003</v>
      </c>
      <c r="J140" s="3">
        <v>0</v>
      </c>
      <c r="K140" s="2"/>
      <c r="L140" s="2"/>
      <c r="M140" s="2"/>
      <c r="N140" s="2"/>
      <c r="O140" s="2"/>
      <c r="P140" s="2"/>
      <c r="Q140" s="2"/>
      <c r="R140" s="2"/>
      <c r="S140" s="2"/>
      <c r="T140" s="2"/>
      <c r="U140" s="2"/>
      <c r="V140" s="2"/>
      <c r="W140" s="2"/>
      <c r="X140" s="2"/>
      <c r="Y140" s="2"/>
    </row>
    <row r="141" spans="1:25" x14ac:dyDescent="0.3">
      <c r="A141" s="9" t="s">
        <v>129</v>
      </c>
      <c r="B141" s="5">
        <v>261.12548488000033</v>
      </c>
      <c r="C141" s="5">
        <v>168.77267499000027</v>
      </c>
      <c r="D141" s="5">
        <v>187.20718561000012</v>
      </c>
      <c r="E141" s="5">
        <v>617.10534548000078</v>
      </c>
      <c r="F141" s="5">
        <v>295.53506131999984</v>
      </c>
      <c r="G141" s="5">
        <v>211.04993398999986</v>
      </c>
      <c r="H141" s="5">
        <v>1123.6903407900004</v>
      </c>
      <c r="I141" s="3">
        <v>1123.6903407900004</v>
      </c>
      <c r="J141" s="3">
        <v>0</v>
      </c>
    </row>
    <row r="142" spans="1:25" x14ac:dyDescent="0.3">
      <c r="A142" s="9" t="s">
        <v>130</v>
      </c>
      <c r="B142" s="5">
        <v>428.33988979999924</v>
      </c>
      <c r="C142" s="5">
        <v>226.28030876999998</v>
      </c>
      <c r="D142" s="5">
        <v>289.74642532000007</v>
      </c>
      <c r="E142" s="5">
        <v>944.36662388999935</v>
      </c>
      <c r="F142" s="5">
        <v>363.19368387000043</v>
      </c>
      <c r="G142" s="5">
        <v>304.92768151999985</v>
      </c>
      <c r="H142" s="5">
        <v>1612.4879892799995</v>
      </c>
      <c r="I142" s="3">
        <v>1612.4879892799997</v>
      </c>
      <c r="J142" s="3">
        <v>0</v>
      </c>
    </row>
    <row r="143" spans="1:25" x14ac:dyDescent="0.3">
      <c r="A143" s="9" t="s">
        <v>131</v>
      </c>
      <c r="B143" s="5">
        <v>136.02485726000015</v>
      </c>
      <c r="C143" s="5">
        <v>112.97106407</v>
      </c>
      <c r="D143" s="5">
        <v>128.92986739999998</v>
      </c>
      <c r="E143" s="5">
        <v>377.92578873000014</v>
      </c>
      <c r="F143" s="5">
        <v>200.95671439000012</v>
      </c>
      <c r="G143" s="5">
        <v>124.81656649999999</v>
      </c>
      <c r="H143" s="5">
        <v>703.69906962000027</v>
      </c>
      <c r="I143" s="3">
        <v>703.69906962000027</v>
      </c>
      <c r="J143" s="3">
        <v>0</v>
      </c>
    </row>
    <row r="144" spans="1:25" x14ac:dyDescent="0.3">
      <c r="A144" s="9" t="s">
        <v>132</v>
      </c>
      <c r="B144" s="36">
        <v>592.62430025000015</v>
      </c>
      <c r="C144" s="36">
        <v>266.8363050399999</v>
      </c>
      <c r="D144" s="36">
        <v>318.05070348999982</v>
      </c>
      <c r="E144" s="36">
        <v>1177.51130878</v>
      </c>
      <c r="F144" s="36">
        <v>730.46587723000039</v>
      </c>
      <c r="G144" s="36">
        <v>448.46434670999992</v>
      </c>
      <c r="H144" s="36">
        <v>2356.4415327200004</v>
      </c>
      <c r="I144" s="3">
        <v>2356.4415327200004</v>
      </c>
      <c r="J144" s="3">
        <v>0</v>
      </c>
    </row>
    <row r="145" spans="1:25" x14ac:dyDescent="0.3">
      <c r="A145" s="9" t="s">
        <v>133</v>
      </c>
      <c r="B145" s="36"/>
      <c r="C145" s="36"/>
      <c r="D145" s="36"/>
      <c r="E145" s="36"/>
      <c r="F145" s="36"/>
      <c r="G145" s="36"/>
      <c r="H145" s="36"/>
      <c r="I145" s="3">
        <v>0</v>
      </c>
      <c r="J145" s="3">
        <v>0</v>
      </c>
    </row>
    <row r="146" spans="1:25" x14ac:dyDescent="0.3">
      <c r="I146" s="3">
        <v>0</v>
      </c>
      <c r="J146" s="3">
        <v>0</v>
      </c>
    </row>
    <row r="147" spans="1:25" s="13" customFormat="1" x14ac:dyDescent="0.3">
      <c r="A147" s="13" t="s">
        <v>134</v>
      </c>
      <c r="B147" s="2">
        <v>1050.2791289399991</v>
      </c>
      <c r="C147" s="2">
        <v>621.46773444999974</v>
      </c>
      <c r="D147" s="2">
        <v>849.22065983000039</v>
      </c>
      <c r="E147" s="2">
        <v>2520.9675232199988</v>
      </c>
      <c r="F147" s="2">
        <v>1070.1406936700009</v>
      </c>
      <c r="G147" s="2">
        <v>833.90695807999998</v>
      </c>
      <c r="H147" s="2">
        <v>4425.0151749699999</v>
      </c>
      <c r="I147" s="3">
        <v>4425.0151749699999</v>
      </c>
      <c r="J147" s="3">
        <v>0</v>
      </c>
      <c r="K147" s="2"/>
      <c r="L147" s="2"/>
      <c r="M147" s="2"/>
      <c r="N147" s="2"/>
      <c r="O147" s="2"/>
      <c r="P147" s="2"/>
      <c r="Q147" s="2"/>
      <c r="R147" s="2"/>
      <c r="S147" s="2"/>
      <c r="T147" s="2"/>
      <c r="U147" s="2"/>
      <c r="V147" s="2"/>
      <c r="W147" s="2"/>
      <c r="X147" s="2"/>
      <c r="Y147" s="2"/>
    </row>
    <row r="148" spans="1:25" x14ac:dyDescent="0.3">
      <c r="A148" s="9" t="s">
        <v>135</v>
      </c>
      <c r="B148" s="36">
        <v>418.07543644999896</v>
      </c>
      <c r="C148" s="36">
        <v>236.40407841999979</v>
      </c>
      <c r="D148" s="36">
        <v>365.4669643000002</v>
      </c>
      <c r="E148" s="36">
        <v>1019.946479169999</v>
      </c>
      <c r="F148" s="36">
        <v>414.04334956000088</v>
      </c>
      <c r="G148" s="36">
        <v>311.63191675000002</v>
      </c>
      <c r="H148" s="36">
        <v>1745.6217454799998</v>
      </c>
      <c r="I148" s="3">
        <v>1745.6217454799998</v>
      </c>
      <c r="J148" s="3">
        <v>0</v>
      </c>
    </row>
    <row r="149" spans="1:25" x14ac:dyDescent="0.3">
      <c r="A149" s="9" t="s">
        <v>136</v>
      </c>
      <c r="B149" s="36"/>
      <c r="C149" s="36"/>
      <c r="D149" s="36"/>
      <c r="E149" s="36"/>
      <c r="F149" s="36"/>
      <c r="G149" s="36"/>
      <c r="H149" s="36"/>
      <c r="I149" s="3">
        <v>0</v>
      </c>
      <c r="J149" s="3">
        <v>0</v>
      </c>
    </row>
    <row r="150" spans="1:25" x14ac:dyDescent="0.3">
      <c r="A150" s="9" t="s">
        <v>137</v>
      </c>
      <c r="B150" s="5">
        <v>161.03127583000008</v>
      </c>
      <c r="C150" s="5">
        <v>104.29287070999997</v>
      </c>
      <c r="D150" s="5">
        <v>132.79001642000003</v>
      </c>
      <c r="E150" s="5">
        <v>398.1141629600001</v>
      </c>
      <c r="F150" s="5">
        <v>201.00207089000006</v>
      </c>
      <c r="G150" s="5">
        <v>160.17586875000001</v>
      </c>
      <c r="H150" s="5">
        <v>759.29210260000013</v>
      </c>
      <c r="I150" s="3">
        <v>759.29210260000013</v>
      </c>
      <c r="J150" s="3">
        <v>0</v>
      </c>
    </row>
    <row r="151" spans="1:25" x14ac:dyDescent="0.3">
      <c r="A151" s="9" t="s">
        <v>138</v>
      </c>
      <c r="B151" s="36">
        <v>264.49289609999988</v>
      </c>
      <c r="C151" s="36">
        <v>156.78041722999998</v>
      </c>
      <c r="D151" s="36">
        <v>184.46324203000003</v>
      </c>
      <c r="E151" s="36">
        <v>605.7365553599999</v>
      </c>
      <c r="F151" s="36">
        <v>268.80672781999971</v>
      </c>
      <c r="G151" s="36">
        <v>205.04257814999997</v>
      </c>
      <c r="H151" s="36">
        <v>1079.5858613299997</v>
      </c>
      <c r="I151" s="3">
        <v>1079.5858613299997</v>
      </c>
      <c r="J151" s="3">
        <v>0</v>
      </c>
    </row>
    <row r="152" spans="1:25" x14ac:dyDescent="0.3">
      <c r="A152" s="9" t="s">
        <v>139</v>
      </c>
      <c r="B152" s="36"/>
      <c r="C152" s="36"/>
      <c r="D152" s="36"/>
      <c r="E152" s="36"/>
      <c r="F152" s="36"/>
      <c r="G152" s="36"/>
      <c r="H152" s="36"/>
      <c r="I152" s="3">
        <v>0</v>
      </c>
      <c r="J152" s="3">
        <v>0</v>
      </c>
    </row>
    <row r="153" spans="1:25" x14ac:dyDescent="0.3">
      <c r="A153" s="9" t="s">
        <v>140</v>
      </c>
      <c r="B153" s="5">
        <v>206.67952056000007</v>
      </c>
      <c r="C153" s="5">
        <v>123.99036808999993</v>
      </c>
      <c r="D153" s="5">
        <v>166.50043708000004</v>
      </c>
      <c r="E153" s="5">
        <v>497.17032573000006</v>
      </c>
      <c r="F153" s="5">
        <v>186.28854540000023</v>
      </c>
      <c r="G153" s="5">
        <v>157.05659443000002</v>
      </c>
      <c r="H153" s="5">
        <v>840.51546556000028</v>
      </c>
      <c r="I153" s="3">
        <v>840.51546556000028</v>
      </c>
      <c r="J153" s="3">
        <v>0</v>
      </c>
    </row>
    <row r="154" spans="1:25" x14ac:dyDescent="0.3">
      <c r="I154" s="3">
        <v>0</v>
      </c>
      <c r="J154" s="3">
        <v>0</v>
      </c>
    </row>
    <row r="155" spans="1:25" s="13" customFormat="1" x14ac:dyDescent="0.3">
      <c r="A155" s="15" t="s">
        <v>141</v>
      </c>
      <c r="B155" s="16">
        <v>652.94639394000058</v>
      </c>
      <c r="C155" s="16">
        <v>365.46815848</v>
      </c>
      <c r="D155" s="16">
        <v>512.87534870999968</v>
      </c>
      <c r="E155" s="16">
        <v>1531.2899011300001</v>
      </c>
      <c r="F155" s="16">
        <v>496.06874981000016</v>
      </c>
      <c r="G155" s="16">
        <v>453.09758180999989</v>
      </c>
      <c r="H155" s="16">
        <v>2480.4562327500003</v>
      </c>
      <c r="I155" s="3">
        <v>2480.4562327500003</v>
      </c>
      <c r="J155" s="3">
        <v>0</v>
      </c>
      <c r="K155" s="2"/>
      <c r="L155" s="2"/>
      <c r="M155" s="2"/>
      <c r="N155" s="2"/>
      <c r="O155" s="2"/>
      <c r="P155" s="2"/>
      <c r="Q155" s="2"/>
      <c r="R155" s="2"/>
      <c r="S155" s="2"/>
      <c r="T155" s="2"/>
      <c r="U155" s="2"/>
      <c r="V155" s="2"/>
      <c r="W155" s="2"/>
      <c r="X155" s="2"/>
      <c r="Y155" s="2"/>
    </row>
    <row r="156" spans="1:25" x14ac:dyDescent="0.3">
      <c r="A156" s="9" t="s">
        <v>142</v>
      </c>
      <c r="B156" s="36">
        <v>50.367856349999997</v>
      </c>
      <c r="C156" s="36">
        <v>20.982959690000001</v>
      </c>
      <c r="D156" s="36">
        <v>25.863289560000002</v>
      </c>
      <c r="E156" s="36">
        <v>97.214105599999996</v>
      </c>
      <c r="F156" s="36">
        <v>52.794859360000025</v>
      </c>
      <c r="G156" s="36">
        <v>53.31732019999999</v>
      </c>
      <c r="H156" s="36">
        <v>203.32628516</v>
      </c>
      <c r="I156" s="3">
        <v>203.32628516</v>
      </c>
      <c r="J156" s="3">
        <v>0</v>
      </c>
    </row>
    <row r="157" spans="1:25" ht="16.5" x14ac:dyDescent="0.3">
      <c r="A157" s="9" t="s">
        <v>143</v>
      </c>
      <c r="B157" s="36"/>
      <c r="C157" s="36"/>
      <c r="D157" s="36"/>
      <c r="E157" s="36"/>
      <c r="F157" s="36"/>
      <c r="G157" s="36"/>
      <c r="H157" s="36"/>
      <c r="I157" s="3">
        <v>0</v>
      </c>
      <c r="J157" s="3">
        <v>0</v>
      </c>
    </row>
    <row r="158" spans="1:25" x14ac:dyDescent="0.3">
      <c r="A158" s="9" t="s">
        <v>144</v>
      </c>
      <c r="B158" s="5">
        <v>108.52877426999996</v>
      </c>
      <c r="C158" s="5">
        <v>98.477344319999986</v>
      </c>
      <c r="D158" s="5">
        <v>121.07882416</v>
      </c>
      <c r="E158" s="5">
        <v>328.08494274999993</v>
      </c>
      <c r="F158" s="5">
        <v>111.49909396000001</v>
      </c>
      <c r="G158" s="5">
        <v>107.64710660999998</v>
      </c>
      <c r="H158" s="5">
        <v>547.23114331999989</v>
      </c>
      <c r="I158" s="3">
        <v>547.23114332</v>
      </c>
      <c r="J158" s="3">
        <v>0</v>
      </c>
    </row>
    <row r="159" spans="1:25" x14ac:dyDescent="0.3">
      <c r="A159" s="9" t="s">
        <v>145</v>
      </c>
      <c r="B159" s="36">
        <v>457.64212577000058</v>
      </c>
      <c r="C159" s="36">
        <v>219.02503587999996</v>
      </c>
      <c r="D159" s="36">
        <v>320.05838101999967</v>
      </c>
      <c r="E159" s="36">
        <v>996.7255426700001</v>
      </c>
      <c r="F159" s="36">
        <v>311.6491065400001</v>
      </c>
      <c r="G159" s="36">
        <v>263.89537205999994</v>
      </c>
      <c r="H159" s="36">
        <v>1572.2700212700001</v>
      </c>
      <c r="I159" s="3">
        <v>1572.2700212700001</v>
      </c>
      <c r="J159" s="3">
        <v>0</v>
      </c>
    </row>
    <row r="160" spans="1:25" x14ac:dyDescent="0.3">
      <c r="A160" s="9" t="s">
        <v>146</v>
      </c>
      <c r="B160" s="36"/>
      <c r="C160" s="36"/>
      <c r="D160" s="36"/>
      <c r="E160" s="36"/>
      <c r="F160" s="36"/>
      <c r="G160" s="36"/>
      <c r="H160" s="36"/>
      <c r="I160" s="3">
        <v>0</v>
      </c>
      <c r="J160" s="3">
        <v>0</v>
      </c>
    </row>
    <row r="161" spans="1:25" x14ac:dyDescent="0.3">
      <c r="A161" s="9" t="s">
        <v>147</v>
      </c>
      <c r="B161" s="5">
        <v>36.407637550000018</v>
      </c>
      <c r="C161" s="5">
        <v>26.982818590000011</v>
      </c>
      <c r="D161" s="5">
        <v>45.874853969999997</v>
      </c>
      <c r="E161" s="5">
        <v>109.26531011000003</v>
      </c>
      <c r="F161" s="5">
        <v>20.125689950000002</v>
      </c>
      <c r="G161" s="5">
        <v>28.237782939999999</v>
      </c>
      <c r="H161" s="5">
        <v>157.62878300000003</v>
      </c>
      <c r="I161" s="3">
        <v>157.62878300000003</v>
      </c>
      <c r="J161" s="3">
        <v>0</v>
      </c>
    </row>
    <row r="162" spans="1:25" ht="16.5" x14ac:dyDescent="0.3">
      <c r="A162" s="9" t="s">
        <v>148</v>
      </c>
      <c r="I162" s="3">
        <v>0</v>
      </c>
      <c r="J162" s="3">
        <v>0</v>
      </c>
    </row>
    <row r="163" spans="1:25" x14ac:dyDescent="0.3">
      <c r="I163" s="3">
        <v>0</v>
      </c>
      <c r="J163" s="3">
        <v>0</v>
      </c>
    </row>
    <row r="164" spans="1:25" s="13" customFormat="1" x14ac:dyDescent="0.3">
      <c r="A164" s="13" t="s">
        <v>149</v>
      </c>
      <c r="B164" s="2">
        <v>346215.99791572493</v>
      </c>
      <c r="C164" s="2">
        <v>167638.92376741001</v>
      </c>
      <c r="D164" s="2">
        <v>187077.32186439994</v>
      </c>
      <c r="E164" s="2">
        <v>700932.24354753469</v>
      </c>
      <c r="F164" s="2">
        <v>412115.30604751006</v>
      </c>
      <c r="G164" s="2">
        <v>270161.11090645497</v>
      </c>
      <c r="H164" s="2">
        <v>1383208.6605015006</v>
      </c>
      <c r="I164" s="3">
        <v>1383208.6605014999</v>
      </c>
      <c r="J164" s="3">
        <v>0</v>
      </c>
      <c r="K164" s="2"/>
      <c r="L164" s="2"/>
      <c r="M164" s="2"/>
      <c r="N164" s="2"/>
      <c r="O164" s="2"/>
      <c r="P164" s="2"/>
      <c r="Q164" s="2"/>
      <c r="R164" s="2"/>
      <c r="S164" s="2"/>
      <c r="T164" s="2"/>
      <c r="U164" s="2"/>
      <c r="V164" s="2"/>
      <c r="W164" s="2"/>
      <c r="X164" s="2"/>
      <c r="Y164" s="2"/>
    </row>
    <row r="165" spans="1:25" x14ac:dyDescent="0.3">
      <c r="I165" s="3">
        <v>0</v>
      </c>
      <c r="J165" s="3">
        <v>0</v>
      </c>
    </row>
    <row r="166" spans="1:25" s="13" customFormat="1" x14ac:dyDescent="0.3">
      <c r="A166" s="13" t="s">
        <v>150</v>
      </c>
      <c r="B166" s="2">
        <v>12288.95633531</v>
      </c>
      <c r="C166" s="2">
        <v>7662.0482750900001</v>
      </c>
      <c r="D166" s="2">
        <v>11712.255309769998</v>
      </c>
      <c r="E166" s="2">
        <v>31663.25992017</v>
      </c>
      <c r="F166" s="2">
        <v>10271.984650779999</v>
      </c>
      <c r="G166" s="2">
        <v>8961.6466154599984</v>
      </c>
      <c r="H166" s="2">
        <v>50896.891186409994</v>
      </c>
      <c r="I166" s="3">
        <v>50896.891186410001</v>
      </c>
      <c r="J166" s="3">
        <v>0</v>
      </c>
      <c r="K166" s="2"/>
      <c r="L166" s="2"/>
      <c r="M166" s="2"/>
      <c r="N166" s="2"/>
      <c r="O166" s="2"/>
      <c r="P166" s="2"/>
      <c r="Q166" s="2"/>
      <c r="R166" s="2"/>
      <c r="S166" s="2"/>
      <c r="T166" s="2"/>
      <c r="U166" s="2"/>
      <c r="V166" s="2"/>
      <c r="W166" s="2"/>
      <c r="X166" s="2"/>
      <c r="Y166" s="2"/>
    </row>
    <row r="167" spans="1:25" x14ac:dyDescent="0.3">
      <c r="I167" s="3">
        <v>0</v>
      </c>
      <c r="J167" s="3">
        <v>0</v>
      </c>
    </row>
    <row r="168" spans="1:25" s="13" customFormat="1" x14ac:dyDescent="0.3">
      <c r="A168" s="13" t="s">
        <v>151</v>
      </c>
      <c r="B168" s="2">
        <v>166.26084761512928</v>
      </c>
      <c r="C168" s="2">
        <v>136.01940812001274</v>
      </c>
      <c r="D168" s="2">
        <v>-163.09593393997687</v>
      </c>
      <c r="E168" s="2">
        <v>139.18432179516515</v>
      </c>
      <c r="F168" s="2">
        <v>-8.929908470010421</v>
      </c>
      <c r="G168" s="2">
        <v>11.999561045039293</v>
      </c>
      <c r="H168" s="2">
        <v>142.25397437019402</v>
      </c>
      <c r="I168" s="3">
        <v>142.25397437019402</v>
      </c>
      <c r="J168" s="3">
        <v>0</v>
      </c>
      <c r="K168" s="2"/>
      <c r="L168" s="2"/>
      <c r="M168" s="2"/>
      <c r="N168" s="2"/>
      <c r="O168" s="2"/>
      <c r="P168" s="2"/>
      <c r="Q168" s="2"/>
      <c r="R168" s="2"/>
      <c r="S168" s="2"/>
      <c r="T168" s="2"/>
      <c r="U168" s="2"/>
      <c r="V168" s="2"/>
      <c r="W168" s="2"/>
      <c r="X168" s="2"/>
      <c r="Y168" s="2"/>
    </row>
    <row r="169" spans="1:25" x14ac:dyDescent="0.3">
      <c r="I169" s="3">
        <v>0</v>
      </c>
      <c r="J169" s="3">
        <v>0</v>
      </c>
    </row>
    <row r="170" spans="1:25" s="13" customFormat="1" x14ac:dyDescent="0.3">
      <c r="A170" s="13" t="s">
        <v>152</v>
      </c>
      <c r="B170" s="2">
        <v>358671.21509865008</v>
      </c>
      <c r="C170" s="2">
        <v>175436.99145062003</v>
      </c>
      <c r="D170" s="2">
        <v>198626.48124022997</v>
      </c>
      <c r="E170" s="2">
        <v>732734.68778949976</v>
      </c>
      <c r="F170" s="2">
        <v>422378.36078982003</v>
      </c>
      <c r="G170" s="2">
        <v>279134.75708295999</v>
      </c>
      <c r="H170" s="2">
        <v>1434247.8056622809</v>
      </c>
      <c r="I170" s="3">
        <v>1434247.8056622799</v>
      </c>
      <c r="J170" s="3">
        <v>0</v>
      </c>
      <c r="K170" s="2"/>
      <c r="L170" s="2"/>
      <c r="M170" s="2"/>
      <c r="N170" s="2"/>
      <c r="O170" s="2"/>
      <c r="P170" s="2"/>
      <c r="Q170" s="2"/>
      <c r="R170" s="2"/>
      <c r="S170" s="2"/>
      <c r="T170" s="2"/>
      <c r="U170" s="2"/>
      <c r="V170" s="2"/>
      <c r="W170" s="2"/>
      <c r="X170" s="2"/>
      <c r="Y170" s="2"/>
    </row>
    <row r="171" spans="1:25" x14ac:dyDescent="0.3">
      <c r="I171" s="3">
        <v>0</v>
      </c>
      <c r="J171" s="3">
        <v>0</v>
      </c>
    </row>
    <row r="172" spans="1:25" s="13" customFormat="1" x14ac:dyDescent="0.3">
      <c r="A172" s="13" t="s">
        <v>153</v>
      </c>
      <c r="B172" s="2">
        <v>0</v>
      </c>
      <c r="C172" s="2">
        <v>-2202.39126313</v>
      </c>
      <c r="D172" s="2">
        <v>-11367.75140949</v>
      </c>
      <c r="E172" s="2">
        <v>-13570.142672620001</v>
      </c>
      <c r="F172" s="2">
        <v>-135.81299146999999</v>
      </c>
      <c r="G172" s="2">
        <v>-0.48090710999999997</v>
      </c>
      <c r="H172" s="2">
        <v>-13706.4365712</v>
      </c>
      <c r="I172" s="3">
        <v>-13706.436571200002</v>
      </c>
      <c r="J172" s="3">
        <v>0</v>
      </c>
      <c r="K172" s="2"/>
      <c r="L172" s="2"/>
      <c r="M172" s="2"/>
      <c r="N172" s="2"/>
      <c r="O172" s="2"/>
      <c r="P172" s="2"/>
      <c r="Q172" s="2"/>
      <c r="R172" s="2"/>
      <c r="S172" s="2"/>
      <c r="T172" s="2"/>
      <c r="U172" s="2"/>
      <c r="V172" s="2"/>
      <c r="W172" s="2"/>
      <c r="X172" s="2"/>
      <c r="Y172" s="2"/>
    </row>
    <row r="173" spans="1:25" x14ac:dyDescent="0.3">
      <c r="I173" s="3">
        <v>0</v>
      </c>
      <c r="J173" s="3">
        <v>0</v>
      </c>
    </row>
    <row r="174" spans="1:25" s="13" customFormat="1" x14ac:dyDescent="0.3">
      <c r="A174" s="13" t="s">
        <v>154</v>
      </c>
      <c r="B174" s="17">
        <v>358671.21509865008</v>
      </c>
      <c r="C174" s="17">
        <v>173234.60018749002</v>
      </c>
      <c r="D174" s="17">
        <v>187258.72983073996</v>
      </c>
      <c r="E174" s="17">
        <v>719164.54511687974</v>
      </c>
      <c r="F174" s="17">
        <v>422242.54779835005</v>
      </c>
      <c r="G174" s="17">
        <v>279134.27617585001</v>
      </c>
      <c r="H174" s="17">
        <v>1420541.369091081</v>
      </c>
      <c r="I174" s="3">
        <v>1420541.36909108</v>
      </c>
      <c r="J174" s="3">
        <v>0</v>
      </c>
      <c r="K174" s="2"/>
      <c r="L174" s="2"/>
      <c r="M174" s="2"/>
      <c r="N174" s="2"/>
      <c r="O174" s="2"/>
      <c r="P174" s="2"/>
      <c r="Q174" s="2"/>
      <c r="R174" s="2"/>
      <c r="S174" s="2"/>
      <c r="T174" s="2"/>
      <c r="U174" s="2"/>
      <c r="V174" s="2"/>
      <c r="W174" s="2"/>
      <c r="X174" s="2"/>
      <c r="Y174" s="2"/>
    </row>
    <row r="175" spans="1:25" s="13" customFormat="1" ht="15" thickBot="1" x14ac:dyDescent="0.35">
      <c r="A175" s="18"/>
      <c r="B175" s="19"/>
      <c r="C175" s="19"/>
      <c r="D175" s="19"/>
      <c r="E175" s="19"/>
      <c r="F175" s="19"/>
      <c r="G175" s="19"/>
      <c r="H175" s="19"/>
      <c r="I175" s="3"/>
      <c r="J175" s="3"/>
      <c r="K175" s="2"/>
      <c r="L175" s="2"/>
      <c r="M175" s="2"/>
      <c r="N175" s="2"/>
      <c r="O175" s="2"/>
      <c r="P175" s="2"/>
      <c r="Q175" s="2"/>
      <c r="R175" s="2"/>
      <c r="S175" s="2"/>
      <c r="T175" s="2"/>
      <c r="U175" s="2"/>
      <c r="V175" s="2"/>
      <c r="W175" s="2"/>
      <c r="X175" s="2"/>
      <c r="Y175" s="2"/>
    </row>
    <row r="176" spans="1:25" x14ac:dyDescent="0.3">
      <c r="A176" s="38" t="s">
        <v>197</v>
      </c>
    </row>
    <row r="177" spans="1:24" s="25" customFormat="1" ht="15" customHeight="1" x14ac:dyDescent="0.3">
      <c r="A177" s="21"/>
      <c r="B177" s="22"/>
      <c r="C177" s="22"/>
      <c r="D177" s="22"/>
      <c r="E177" s="22"/>
      <c r="F177" s="22"/>
      <c r="G177" s="22"/>
      <c r="H177" s="23"/>
      <c r="I177" s="24"/>
      <c r="J177" s="24"/>
      <c r="K177" s="23"/>
      <c r="L177" s="23"/>
      <c r="M177" s="23"/>
      <c r="N177" s="23"/>
      <c r="O177" s="23"/>
      <c r="P177" s="23"/>
      <c r="Q177" s="23"/>
      <c r="R177" s="23"/>
      <c r="S177" s="23"/>
      <c r="T177" s="23"/>
      <c r="U177" s="23"/>
      <c r="V177" s="23"/>
      <c r="W177" s="23"/>
      <c r="X177" s="23"/>
    </row>
    <row r="178" spans="1:24" s="25" customFormat="1" ht="15" customHeight="1" x14ac:dyDescent="0.3">
      <c r="A178" s="21"/>
      <c r="B178" s="26"/>
      <c r="C178" s="26"/>
      <c r="D178" s="26"/>
      <c r="E178" s="26"/>
      <c r="F178" s="26"/>
      <c r="G178" s="26"/>
      <c r="I178" s="27"/>
      <c r="J178" s="27"/>
    </row>
    <row r="179" spans="1:24" x14ac:dyDescent="0.3">
      <c r="A179" s="28"/>
    </row>
    <row r="180" spans="1:24" x14ac:dyDescent="0.3">
      <c r="A180" s="29"/>
    </row>
    <row r="181" spans="1:24" x14ac:dyDescent="0.3">
      <c r="A181" s="29"/>
    </row>
    <row r="182" spans="1:24" x14ac:dyDescent="0.3">
      <c r="A182" s="29"/>
    </row>
    <row r="183" spans="1:24" x14ac:dyDescent="0.3">
      <c r="A183" s="29"/>
    </row>
    <row r="184" spans="1:24" x14ac:dyDescent="0.3">
      <c r="A184" s="29"/>
    </row>
    <row r="185" spans="1:24" x14ac:dyDescent="0.3">
      <c r="A185" s="29"/>
    </row>
    <row r="186" spans="1:24" x14ac:dyDescent="0.3">
      <c r="A186" s="29"/>
    </row>
    <row r="187" spans="1:24" x14ac:dyDescent="0.3">
      <c r="A187" s="29"/>
    </row>
    <row r="188" spans="1:24" x14ac:dyDescent="0.3">
      <c r="A188" s="29"/>
    </row>
    <row r="189" spans="1:24" x14ac:dyDescent="0.3">
      <c r="A189" s="29"/>
    </row>
    <row r="190" spans="1:24" x14ac:dyDescent="0.3">
      <c r="A190" s="29"/>
    </row>
    <row r="191" spans="1:24" x14ac:dyDescent="0.3">
      <c r="A191" s="29"/>
    </row>
    <row r="192" spans="1:24" ht="14.25" customHeight="1" x14ac:dyDescent="0.3">
      <c r="A192" s="29"/>
      <c r="B192" s="29"/>
      <c r="C192" s="29"/>
      <c r="D192" s="29"/>
      <c r="E192" s="29"/>
      <c r="F192" s="29"/>
      <c r="G192" s="29"/>
      <c r="H192" s="29"/>
    </row>
    <row r="193" spans="1:1" x14ac:dyDescent="0.3">
      <c r="A193" s="29"/>
    </row>
    <row r="194" spans="1:1" x14ac:dyDescent="0.3">
      <c r="A194" s="29"/>
    </row>
    <row r="195" spans="1:1" x14ac:dyDescent="0.3">
      <c r="A195" s="29"/>
    </row>
    <row r="196" spans="1:1" x14ac:dyDescent="0.3">
      <c r="A196" s="29"/>
    </row>
    <row r="197" spans="1:1" x14ac:dyDescent="0.3">
      <c r="A197" s="29"/>
    </row>
    <row r="198" spans="1:1" x14ac:dyDescent="0.3">
      <c r="A198" s="29"/>
    </row>
  </sheetData>
  <mergeCells count="133">
    <mergeCell ref="H22:H23"/>
    <mergeCell ref="B29:B30"/>
    <mergeCell ref="C29:C30"/>
    <mergeCell ref="D29:D30"/>
    <mergeCell ref="E29:E30"/>
    <mergeCell ref="F29:F30"/>
    <mergeCell ref="G29:G30"/>
    <mergeCell ref="H11:H12"/>
    <mergeCell ref="B22:B23"/>
    <mergeCell ref="C22:C23"/>
    <mergeCell ref="D22:D23"/>
    <mergeCell ref="E22:E23"/>
    <mergeCell ref="F22:F23"/>
    <mergeCell ref="G22:G23"/>
    <mergeCell ref="B11:B12"/>
    <mergeCell ref="C11:C12"/>
    <mergeCell ref="D11:D12"/>
    <mergeCell ref="E11:E12"/>
    <mergeCell ref="F11:F12"/>
    <mergeCell ref="G11:G12"/>
    <mergeCell ref="H43:H44"/>
    <mergeCell ref="B72:B73"/>
    <mergeCell ref="C72:C73"/>
    <mergeCell ref="D72:D73"/>
    <mergeCell ref="E72:E73"/>
    <mergeCell ref="F72:F73"/>
    <mergeCell ref="G72:G73"/>
    <mergeCell ref="H29:H30"/>
    <mergeCell ref="B43:B44"/>
    <mergeCell ref="C43:C44"/>
    <mergeCell ref="D43:D44"/>
    <mergeCell ref="E43:E44"/>
    <mergeCell ref="F43:F44"/>
    <mergeCell ref="G43:G44"/>
    <mergeCell ref="H89:H90"/>
    <mergeCell ref="B93:B94"/>
    <mergeCell ref="C93:C94"/>
    <mergeCell ref="D93:D94"/>
    <mergeCell ref="E93:E94"/>
    <mergeCell ref="F93:F94"/>
    <mergeCell ref="G93:G94"/>
    <mergeCell ref="H72:H73"/>
    <mergeCell ref="B89:B90"/>
    <mergeCell ref="C89:C90"/>
    <mergeCell ref="D89:D90"/>
    <mergeCell ref="E89:E90"/>
    <mergeCell ref="F89:F90"/>
    <mergeCell ref="G89:G90"/>
    <mergeCell ref="H95:H96"/>
    <mergeCell ref="B100:B102"/>
    <mergeCell ref="C100:C102"/>
    <mergeCell ref="D100:D102"/>
    <mergeCell ref="E100:E102"/>
    <mergeCell ref="F100:F102"/>
    <mergeCell ref="G100:G102"/>
    <mergeCell ref="H93:H94"/>
    <mergeCell ref="B95:B96"/>
    <mergeCell ref="C95:C96"/>
    <mergeCell ref="D95:D96"/>
    <mergeCell ref="E95:E96"/>
    <mergeCell ref="F95:F96"/>
    <mergeCell ref="G95:G96"/>
    <mergeCell ref="H107:H108"/>
    <mergeCell ref="B124:B125"/>
    <mergeCell ref="C124:C125"/>
    <mergeCell ref="D124:D125"/>
    <mergeCell ref="E124:E125"/>
    <mergeCell ref="F124:F125"/>
    <mergeCell ref="G124:G125"/>
    <mergeCell ref="H100:H102"/>
    <mergeCell ref="B107:B108"/>
    <mergeCell ref="C107:C108"/>
    <mergeCell ref="D107:D108"/>
    <mergeCell ref="E107:E108"/>
    <mergeCell ref="F107:F108"/>
    <mergeCell ref="G107:G108"/>
    <mergeCell ref="H127:H128"/>
    <mergeCell ref="B132:B133"/>
    <mergeCell ref="C132:C133"/>
    <mergeCell ref="D132:D133"/>
    <mergeCell ref="E132:E133"/>
    <mergeCell ref="F132:F133"/>
    <mergeCell ref="G132:G133"/>
    <mergeCell ref="H124:H125"/>
    <mergeCell ref="B127:B128"/>
    <mergeCell ref="C127:C128"/>
    <mergeCell ref="D127:D128"/>
    <mergeCell ref="E127:E128"/>
    <mergeCell ref="F127:F128"/>
    <mergeCell ref="G127:G128"/>
    <mergeCell ref="H134:H135"/>
    <mergeCell ref="B144:B145"/>
    <mergeCell ref="C144:C145"/>
    <mergeCell ref="D144:D145"/>
    <mergeCell ref="E144:E145"/>
    <mergeCell ref="F144:F145"/>
    <mergeCell ref="G144:G145"/>
    <mergeCell ref="H132:H133"/>
    <mergeCell ref="B134:B135"/>
    <mergeCell ref="C134:C135"/>
    <mergeCell ref="D134:D135"/>
    <mergeCell ref="E134:E135"/>
    <mergeCell ref="F134:F135"/>
    <mergeCell ref="G134:G135"/>
    <mergeCell ref="H148:H149"/>
    <mergeCell ref="B151:B152"/>
    <mergeCell ref="C151:C152"/>
    <mergeCell ref="D151:D152"/>
    <mergeCell ref="E151:E152"/>
    <mergeCell ref="F151:F152"/>
    <mergeCell ref="G151:G152"/>
    <mergeCell ref="H144:H145"/>
    <mergeCell ref="B148:B149"/>
    <mergeCell ref="C148:C149"/>
    <mergeCell ref="D148:D149"/>
    <mergeCell ref="E148:E149"/>
    <mergeCell ref="F148:F149"/>
    <mergeCell ref="G148:G149"/>
    <mergeCell ref="H159:H160"/>
    <mergeCell ref="H156:H157"/>
    <mergeCell ref="B159:B160"/>
    <mergeCell ref="C159:C160"/>
    <mergeCell ref="D159:D160"/>
    <mergeCell ref="E159:E160"/>
    <mergeCell ref="F159:F160"/>
    <mergeCell ref="G159:G160"/>
    <mergeCell ref="H151:H152"/>
    <mergeCell ref="B156:B157"/>
    <mergeCell ref="C156:C157"/>
    <mergeCell ref="D156:D157"/>
    <mergeCell ref="E156:E157"/>
    <mergeCell ref="F156:F157"/>
    <mergeCell ref="G156:G157"/>
  </mergeCells>
  <printOptions horizontalCentered="1"/>
  <pageMargins left="0" right="0" top="0.75" bottom="0.74" header="0.3" footer="0.3"/>
  <pageSetup paperSize="14" scale="90" orientation="landscape" r:id="rId1"/>
  <headerFooter alignWithMargins="0">
    <oddFooter>&amp;C&amp;8Page &amp;P of &amp;N</oddFooter>
  </headerFooter>
  <rowBreaks count="5" manualBreakCount="5">
    <brk id="41" max="16383" man="1"/>
    <brk id="75" max="16383" man="1"/>
    <brk id="105" max="16383" man="1"/>
    <brk id="139" max="16383" man="1"/>
    <brk id="17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AD79-FFB5-4BA6-A31E-CD864E6685F0}">
  <dimension ref="A1:G25"/>
  <sheetViews>
    <sheetView showGridLines="0" topLeftCell="A13" workbookViewId="0">
      <selection activeCell="G14" sqref="G14"/>
    </sheetView>
  </sheetViews>
  <sheetFormatPr defaultRowHeight="30" customHeight="1" x14ac:dyDescent="0.3"/>
  <cols>
    <col min="1" max="1" width="3.625" style="32" customWidth="1"/>
    <col min="2" max="2" width="150.625" style="30" customWidth="1"/>
    <col min="3" max="16384" width="9" style="30"/>
  </cols>
  <sheetData>
    <row r="1" spans="1:7" ht="15" customHeight="1" x14ac:dyDescent="0.3">
      <c r="A1" s="20" t="s">
        <v>155</v>
      </c>
    </row>
    <row r="2" spans="1:7" ht="15" customHeight="1" x14ac:dyDescent="0.3">
      <c r="A2" s="31" t="s">
        <v>195</v>
      </c>
    </row>
    <row r="3" spans="1:7" ht="15" customHeight="1" x14ac:dyDescent="0.3">
      <c r="A3" s="31" t="s">
        <v>196</v>
      </c>
    </row>
    <row r="4" spans="1:7" ht="15" customHeight="1" x14ac:dyDescent="0.3">
      <c r="B4" s="31"/>
    </row>
    <row r="5" spans="1:7" ht="15" customHeight="1" x14ac:dyDescent="0.3">
      <c r="A5" s="20" t="s">
        <v>156</v>
      </c>
    </row>
    <row r="6" spans="1:7" ht="15" customHeight="1" x14ac:dyDescent="0.3">
      <c r="A6" s="33" t="s">
        <v>157</v>
      </c>
      <c r="B6" s="34" t="s">
        <v>158</v>
      </c>
    </row>
    <row r="7" spans="1:7" ht="15" customHeight="1" x14ac:dyDescent="0.3">
      <c r="A7" s="33" t="s">
        <v>159</v>
      </c>
      <c r="B7" s="35" t="s">
        <v>160</v>
      </c>
    </row>
    <row r="8" spans="1:7" ht="30" customHeight="1" x14ac:dyDescent="0.3">
      <c r="A8" s="33" t="s">
        <v>161</v>
      </c>
      <c r="B8" s="35" t="s">
        <v>162</v>
      </c>
    </row>
    <row r="9" spans="1:7" ht="15" customHeight="1" x14ac:dyDescent="0.3">
      <c r="A9" s="33" t="s">
        <v>163</v>
      </c>
      <c r="B9" s="35" t="s">
        <v>164</v>
      </c>
    </row>
    <row r="10" spans="1:7" ht="15" customHeight="1" x14ac:dyDescent="0.3">
      <c r="A10" s="33" t="s">
        <v>165</v>
      </c>
      <c r="B10" s="35" t="s">
        <v>166</v>
      </c>
    </row>
    <row r="11" spans="1:7" ht="15" customHeight="1" x14ac:dyDescent="0.3">
      <c r="A11" s="33" t="s">
        <v>167</v>
      </c>
      <c r="B11" s="35" t="s">
        <v>168</v>
      </c>
    </row>
    <row r="12" spans="1:7" ht="30" customHeight="1" x14ac:dyDescent="0.3">
      <c r="A12" s="33" t="s">
        <v>169</v>
      </c>
      <c r="B12" s="35" t="s">
        <v>170</v>
      </c>
    </row>
    <row r="13" spans="1:7" ht="15" customHeight="1" x14ac:dyDescent="0.3">
      <c r="A13" s="33" t="s">
        <v>171</v>
      </c>
      <c r="B13" s="35" t="s">
        <v>172</v>
      </c>
      <c r="G13" s="30">
        <f>150+150+150+150+150</f>
        <v>750</v>
      </c>
    </row>
    <row r="14" spans="1:7" ht="30" customHeight="1" x14ac:dyDescent="0.3">
      <c r="A14" s="33" t="s">
        <v>173</v>
      </c>
      <c r="B14" s="35" t="s">
        <v>174</v>
      </c>
    </row>
    <row r="15" spans="1:7" ht="30" customHeight="1" x14ac:dyDescent="0.3">
      <c r="A15" s="33" t="s">
        <v>175</v>
      </c>
      <c r="B15" s="35" t="s">
        <v>176</v>
      </c>
    </row>
    <row r="16" spans="1:7" ht="30" customHeight="1" x14ac:dyDescent="0.3">
      <c r="A16" s="33" t="s">
        <v>177</v>
      </c>
      <c r="B16" s="35" t="s">
        <v>178</v>
      </c>
    </row>
    <row r="17" spans="1:2" ht="15" customHeight="1" x14ac:dyDescent="0.3">
      <c r="A17" s="33" t="s">
        <v>179</v>
      </c>
      <c r="B17" s="35" t="s">
        <v>180</v>
      </c>
    </row>
    <row r="18" spans="1:2" ht="30" customHeight="1" x14ac:dyDescent="0.3">
      <c r="A18" s="33" t="s">
        <v>181</v>
      </c>
      <c r="B18" s="35" t="s">
        <v>182</v>
      </c>
    </row>
    <row r="19" spans="1:2" ht="30" customHeight="1" x14ac:dyDescent="0.3">
      <c r="A19" s="33" t="s">
        <v>183</v>
      </c>
      <c r="B19" s="35" t="s">
        <v>184</v>
      </c>
    </row>
    <row r="20" spans="1:2" ht="30" customHeight="1" x14ac:dyDescent="0.3">
      <c r="A20" s="33" t="s">
        <v>185</v>
      </c>
      <c r="B20" s="35" t="s">
        <v>186</v>
      </c>
    </row>
    <row r="21" spans="1:2" ht="30" customHeight="1" x14ac:dyDescent="0.3">
      <c r="A21" s="33" t="s">
        <v>187</v>
      </c>
      <c r="B21" s="35" t="s">
        <v>188</v>
      </c>
    </row>
    <row r="22" spans="1:2" ht="15" customHeight="1" x14ac:dyDescent="0.3">
      <c r="A22" s="33" t="s">
        <v>189</v>
      </c>
      <c r="B22" s="35" t="s">
        <v>190</v>
      </c>
    </row>
    <row r="23" spans="1:2" ht="15" customHeight="1" x14ac:dyDescent="0.3">
      <c r="A23" s="33" t="s">
        <v>191</v>
      </c>
      <c r="B23" s="35" t="s">
        <v>192</v>
      </c>
    </row>
    <row r="24" spans="1:2" ht="15" customHeight="1" x14ac:dyDescent="0.3">
      <c r="A24" s="33" t="s">
        <v>191</v>
      </c>
      <c r="B24" s="35" t="s">
        <v>193</v>
      </c>
    </row>
    <row r="25" spans="1:2" ht="30" customHeight="1" x14ac:dyDescent="0.3">
      <c r="A25" s="33"/>
    </row>
  </sheetData>
  <printOptions horizontalCentered="1"/>
  <pageMargins left="0.5" right="0.5" top="0.75" bottom="0.75" header="0.3" footer="0.3"/>
  <pageSetup paperSize="14"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PSA-PSGC</vt:lpstr>
      <vt:lpstr>Notes</vt:lpstr>
      <vt:lpstr>Notes!Print_Area</vt:lpstr>
      <vt:lpstr>'PSA-PSGC'!Print_Area</vt:lpstr>
      <vt:lpstr>'PSA-PSGC'!Print_Titles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Josephine E. Vargas</dc:creator>
  <cp:lastModifiedBy>Josephine E. Vargas</cp:lastModifiedBy>
  <cp:lastPrinted>2026-06-16T00:43:42Z</cp:lastPrinted>
  <dcterms:created xsi:type="dcterms:W3CDTF">2026-06-16T00:12:31Z</dcterms:created>
  <dcterms:modified xsi:type="dcterms:W3CDTF">2026-06-16T00:46:36Z</dcterms:modified>
</cp:coreProperties>
</file>