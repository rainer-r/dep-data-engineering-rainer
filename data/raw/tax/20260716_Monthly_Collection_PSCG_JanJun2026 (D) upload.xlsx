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SEVEN_1st\1SEM_2026\PSA_PSGC\"/>
    </mc:Choice>
  </mc:AlternateContent>
  <xr:revisionPtr revIDLastSave="0" documentId="13_ncr:1_{35651B42-3978-4FD4-85CF-DC49CE0B8DBE}" xr6:coauthVersionLast="47" xr6:coauthVersionMax="47" xr10:uidLastSave="{00000000-0000-0000-0000-000000000000}"/>
  <bookViews>
    <workbookView xWindow="-120" yWindow="-120" windowWidth="29040" windowHeight="15720" xr2:uid="{AFAFA7B3-BCA3-42CF-B070-419ACCF04B37}"/>
  </bookViews>
  <sheets>
    <sheet name="PSA-PSGC" sheetId="1" r:id="rId1"/>
    <sheet name="Notes" sheetId="2" r:id="rId2"/>
  </sheets>
  <definedNames>
    <definedName name="_xlnm.Print_Area" localSheetId="1">Notes!$A$1:$B$21</definedName>
    <definedName name="_xlnm.Print_Area" localSheetId="0">'PSA-PSGC'!$A$1:$J$179</definedName>
    <definedName name="_xlnm.Print_Titles" localSheetId="0">'PSA-PSGC'!$A:$A,'PSA-PSGC'!$1:$6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73" i="1" l="1"/>
  <c r="V173" i="1" s="1"/>
  <c r="R172" i="1"/>
  <c r="N172" i="1"/>
  <c r="S172" i="1" s="1"/>
  <c r="I172" i="1"/>
  <c r="J172" i="1" s="1"/>
  <c r="T172" i="1" s="1"/>
  <c r="E172" i="1"/>
  <c r="U171" i="1"/>
  <c r="V171" i="1" s="1"/>
  <c r="V169" i="1"/>
  <c r="U169" i="1"/>
  <c r="R168" i="1"/>
  <c r="N168" i="1"/>
  <c r="S168" i="1" s="1"/>
  <c r="I168" i="1"/>
  <c r="U167" i="1"/>
  <c r="V167" i="1" s="1"/>
  <c r="R166" i="1"/>
  <c r="N166" i="1"/>
  <c r="S166" i="1" s="1"/>
  <c r="I166" i="1"/>
  <c r="E166" i="1"/>
  <c r="U165" i="1"/>
  <c r="V165" i="1" s="1"/>
  <c r="U163" i="1"/>
  <c r="V163" i="1" s="1"/>
  <c r="U162" i="1"/>
  <c r="V162" i="1" s="1"/>
  <c r="R161" i="1"/>
  <c r="N161" i="1"/>
  <c r="U160" i="1"/>
  <c r="V160" i="1" s="1"/>
  <c r="N159" i="1"/>
  <c r="G155" i="1"/>
  <c r="N158" i="1"/>
  <c r="I158" i="1"/>
  <c r="D155" i="1"/>
  <c r="C155" i="1"/>
  <c r="V157" i="1"/>
  <c r="U157" i="1"/>
  <c r="R156" i="1"/>
  <c r="M155" i="1"/>
  <c r="I156" i="1"/>
  <c r="H155" i="1"/>
  <c r="Q155" i="1"/>
  <c r="U154" i="1"/>
  <c r="V154" i="1" s="1"/>
  <c r="N153" i="1"/>
  <c r="H147" i="1"/>
  <c r="U152" i="1"/>
  <c r="V152" i="1" s="1"/>
  <c r="N151" i="1"/>
  <c r="I151" i="1"/>
  <c r="E151" i="1"/>
  <c r="J151" i="1" s="1"/>
  <c r="R150" i="1"/>
  <c r="N150" i="1"/>
  <c r="S150" i="1" s="1"/>
  <c r="G147" i="1"/>
  <c r="E150" i="1"/>
  <c r="U149" i="1"/>
  <c r="V149" i="1" s="1"/>
  <c r="M147" i="1"/>
  <c r="I148" i="1"/>
  <c r="U146" i="1"/>
  <c r="V146" i="1" s="1"/>
  <c r="U145" i="1"/>
  <c r="V145" i="1" s="1"/>
  <c r="S144" i="1"/>
  <c r="R144" i="1"/>
  <c r="N144" i="1"/>
  <c r="I144" i="1"/>
  <c r="R143" i="1"/>
  <c r="S143" i="1" s="1"/>
  <c r="N143" i="1"/>
  <c r="H140" i="1"/>
  <c r="I143" i="1"/>
  <c r="P140" i="1"/>
  <c r="N142" i="1"/>
  <c r="R141" i="1"/>
  <c r="N141" i="1"/>
  <c r="M140" i="1"/>
  <c r="L140" i="1"/>
  <c r="K140" i="1"/>
  <c r="E141" i="1"/>
  <c r="O140" i="1"/>
  <c r="C140" i="1"/>
  <c r="B140" i="1"/>
  <c r="V139" i="1"/>
  <c r="U139" i="1"/>
  <c r="R138" i="1"/>
  <c r="N138" i="1"/>
  <c r="S138" i="1" s="1"/>
  <c r="H131" i="1"/>
  <c r="E138" i="1"/>
  <c r="R137" i="1"/>
  <c r="S137" i="1" s="1"/>
  <c r="N137" i="1"/>
  <c r="I137" i="1"/>
  <c r="R136" i="1"/>
  <c r="I136" i="1"/>
  <c r="U135" i="1"/>
  <c r="V135" i="1" s="1"/>
  <c r="S134" i="1"/>
  <c r="R134" i="1"/>
  <c r="N134" i="1"/>
  <c r="I134" i="1"/>
  <c r="E134" i="1"/>
  <c r="J134" i="1" s="1"/>
  <c r="T134" i="1" s="1"/>
  <c r="U133" i="1"/>
  <c r="V133" i="1" s="1"/>
  <c r="Q131" i="1"/>
  <c r="M131" i="1"/>
  <c r="E132" i="1"/>
  <c r="K131" i="1"/>
  <c r="G131" i="1"/>
  <c r="V130" i="1"/>
  <c r="U130" i="1"/>
  <c r="R129" i="1"/>
  <c r="S129" i="1" s="1"/>
  <c r="N129" i="1"/>
  <c r="I129" i="1"/>
  <c r="V128" i="1"/>
  <c r="U128" i="1"/>
  <c r="R127" i="1"/>
  <c r="N127" i="1"/>
  <c r="S127" i="1" s="1"/>
  <c r="I127" i="1"/>
  <c r="R126" i="1"/>
  <c r="N126" i="1"/>
  <c r="H122" i="1"/>
  <c r="I126" i="1"/>
  <c r="U125" i="1"/>
  <c r="V125" i="1" s="1"/>
  <c r="N124" i="1"/>
  <c r="Q122" i="1"/>
  <c r="R123" i="1"/>
  <c r="N123" i="1"/>
  <c r="E123" i="1"/>
  <c r="P122" i="1"/>
  <c r="V121" i="1"/>
  <c r="U121" i="1"/>
  <c r="S120" i="1"/>
  <c r="R120" i="1"/>
  <c r="N120" i="1"/>
  <c r="I120" i="1"/>
  <c r="C115" i="1"/>
  <c r="U119" i="1"/>
  <c r="R119" i="1"/>
  <c r="N119" i="1"/>
  <c r="S119" i="1" s="1"/>
  <c r="I119" i="1"/>
  <c r="J119" i="1" s="1"/>
  <c r="T119" i="1" s="1"/>
  <c r="E119" i="1"/>
  <c r="P115" i="1"/>
  <c r="R118" i="1"/>
  <c r="N118" i="1"/>
  <c r="S118" i="1" s="1"/>
  <c r="I118" i="1"/>
  <c r="D115" i="1"/>
  <c r="R117" i="1"/>
  <c r="I117" i="1"/>
  <c r="J117" i="1" s="1"/>
  <c r="E117" i="1"/>
  <c r="R116" i="1"/>
  <c r="N116" i="1"/>
  <c r="H115" i="1"/>
  <c r="Q115" i="1"/>
  <c r="G115" i="1"/>
  <c r="U114" i="1"/>
  <c r="V114" i="1" s="1"/>
  <c r="R113" i="1"/>
  <c r="N113" i="1"/>
  <c r="S113" i="1" s="1"/>
  <c r="I113" i="1"/>
  <c r="J113" i="1" s="1"/>
  <c r="T113" i="1" s="1"/>
  <c r="E113" i="1"/>
  <c r="Q106" i="1"/>
  <c r="N112" i="1"/>
  <c r="U111" i="1"/>
  <c r="R111" i="1"/>
  <c r="N111" i="1"/>
  <c r="I111" i="1"/>
  <c r="E111" i="1"/>
  <c r="R110" i="1"/>
  <c r="N110" i="1"/>
  <c r="S110" i="1" s="1"/>
  <c r="L106" i="1"/>
  <c r="K106" i="1"/>
  <c r="I110" i="1"/>
  <c r="E110" i="1"/>
  <c r="J110" i="1" s="1"/>
  <c r="R109" i="1"/>
  <c r="N109" i="1"/>
  <c r="U108" i="1"/>
  <c r="V108" i="1" s="1"/>
  <c r="N107" i="1"/>
  <c r="I107" i="1"/>
  <c r="D106" i="1"/>
  <c r="P106" i="1"/>
  <c r="M106" i="1"/>
  <c r="G106" i="1"/>
  <c r="U105" i="1"/>
  <c r="V105" i="1" s="1"/>
  <c r="R104" i="1"/>
  <c r="I104" i="1"/>
  <c r="R103" i="1"/>
  <c r="N103" i="1"/>
  <c r="S103" i="1" s="1"/>
  <c r="U102" i="1"/>
  <c r="V102" i="1" s="1"/>
  <c r="U101" i="1"/>
  <c r="V101" i="1" s="1"/>
  <c r="R100" i="1"/>
  <c r="N100" i="1"/>
  <c r="S100" i="1" s="1"/>
  <c r="I100" i="1"/>
  <c r="R99" i="1"/>
  <c r="H98" i="1"/>
  <c r="Q98" i="1"/>
  <c r="M98" i="1"/>
  <c r="V97" i="1"/>
  <c r="U97" i="1"/>
  <c r="U96" i="1"/>
  <c r="V96" i="1" s="1"/>
  <c r="U95" i="1"/>
  <c r="R95" i="1"/>
  <c r="N95" i="1"/>
  <c r="E95" i="1"/>
  <c r="U94" i="1"/>
  <c r="V94" i="1" s="1"/>
  <c r="Q92" i="1"/>
  <c r="P92" i="1"/>
  <c r="N93" i="1"/>
  <c r="I93" i="1"/>
  <c r="D92" i="1"/>
  <c r="C92" i="1"/>
  <c r="M92" i="1"/>
  <c r="L92" i="1"/>
  <c r="K92" i="1"/>
  <c r="B92" i="1"/>
  <c r="U91" i="1"/>
  <c r="V91" i="1" s="1"/>
  <c r="V90" i="1"/>
  <c r="U90" i="1"/>
  <c r="R89" i="1"/>
  <c r="E89" i="1"/>
  <c r="N88" i="1"/>
  <c r="I88" i="1"/>
  <c r="E88" i="1"/>
  <c r="J88" i="1" s="1"/>
  <c r="R87" i="1"/>
  <c r="N87" i="1"/>
  <c r="S87" i="1" s="1"/>
  <c r="I87" i="1"/>
  <c r="U87" i="1"/>
  <c r="E87" i="1"/>
  <c r="N86" i="1"/>
  <c r="C84" i="1"/>
  <c r="R85" i="1"/>
  <c r="H84" i="1"/>
  <c r="G84" i="1"/>
  <c r="L84" i="1"/>
  <c r="U83" i="1"/>
  <c r="V83" i="1" s="1"/>
  <c r="R82" i="1"/>
  <c r="N82" i="1"/>
  <c r="S82" i="1" s="1"/>
  <c r="I82" i="1"/>
  <c r="E82" i="1"/>
  <c r="R81" i="1"/>
  <c r="I81" i="1"/>
  <c r="E81" i="1"/>
  <c r="J81" i="1" s="1"/>
  <c r="N80" i="1"/>
  <c r="I80" i="1"/>
  <c r="C76" i="1"/>
  <c r="R79" i="1"/>
  <c r="N79" i="1"/>
  <c r="I79" i="1"/>
  <c r="J79" i="1" s="1"/>
  <c r="E79" i="1"/>
  <c r="R78" i="1"/>
  <c r="N78" i="1"/>
  <c r="S78" i="1" s="1"/>
  <c r="I78" i="1"/>
  <c r="Q76" i="1"/>
  <c r="L76" i="1"/>
  <c r="G76" i="1"/>
  <c r="D76" i="1"/>
  <c r="B76" i="1"/>
  <c r="V75" i="1"/>
  <c r="U75" i="1"/>
  <c r="R74" i="1"/>
  <c r="M68" i="1"/>
  <c r="N74" i="1"/>
  <c r="S74" i="1" s="1"/>
  <c r="I74" i="1"/>
  <c r="U73" i="1"/>
  <c r="V73" i="1" s="1"/>
  <c r="J73" i="1"/>
  <c r="R72" i="1"/>
  <c r="S72" i="1" s="1"/>
  <c r="N72" i="1"/>
  <c r="U72" i="1"/>
  <c r="E72" i="1"/>
  <c r="R71" i="1"/>
  <c r="N71" i="1"/>
  <c r="S71" i="1" s="1"/>
  <c r="I71" i="1"/>
  <c r="R70" i="1"/>
  <c r="Q68" i="1"/>
  <c r="P68" i="1"/>
  <c r="I69" i="1"/>
  <c r="D68" i="1"/>
  <c r="B68" i="1"/>
  <c r="V67" i="1"/>
  <c r="U67" i="1"/>
  <c r="R66" i="1"/>
  <c r="S66" i="1" s="1"/>
  <c r="N66" i="1"/>
  <c r="U66" i="1"/>
  <c r="N65" i="1"/>
  <c r="I65" i="1"/>
  <c r="R64" i="1"/>
  <c r="N64" i="1"/>
  <c r="I64" i="1"/>
  <c r="U64" i="1"/>
  <c r="R63" i="1"/>
  <c r="N63" i="1"/>
  <c r="S63" i="1" s="1"/>
  <c r="I63" i="1"/>
  <c r="Q60" i="1"/>
  <c r="R62" i="1"/>
  <c r="S62" i="1" s="1"/>
  <c r="N62" i="1"/>
  <c r="G60" i="1"/>
  <c r="E62" i="1"/>
  <c r="L60" i="1"/>
  <c r="N61" i="1"/>
  <c r="I61" i="1"/>
  <c r="E61" i="1"/>
  <c r="M60" i="1"/>
  <c r="U59" i="1"/>
  <c r="V59" i="1" s="1"/>
  <c r="R58" i="1"/>
  <c r="I58" i="1"/>
  <c r="J58" i="1" s="1"/>
  <c r="E58" i="1"/>
  <c r="U57" i="1"/>
  <c r="V57" i="1" s="1"/>
  <c r="R57" i="1"/>
  <c r="N57" i="1"/>
  <c r="S57" i="1" s="1"/>
  <c r="I57" i="1"/>
  <c r="J57" i="1" s="1"/>
  <c r="T57" i="1" s="1"/>
  <c r="E57" i="1"/>
  <c r="R56" i="1"/>
  <c r="N56" i="1"/>
  <c r="S56" i="1" s="1"/>
  <c r="M49" i="1"/>
  <c r="I56" i="1"/>
  <c r="U55" i="1"/>
  <c r="R55" i="1"/>
  <c r="N55" i="1"/>
  <c r="S55" i="1" s="1"/>
  <c r="I55" i="1"/>
  <c r="J55" i="1" s="1"/>
  <c r="T55" i="1" s="1"/>
  <c r="E55" i="1"/>
  <c r="R54" i="1"/>
  <c r="S54" i="1" s="1"/>
  <c r="N54" i="1"/>
  <c r="I54" i="1"/>
  <c r="Q49" i="1"/>
  <c r="N53" i="1"/>
  <c r="R52" i="1"/>
  <c r="N52" i="1"/>
  <c r="S52" i="1" s="1"/>
  <c r="I52" i="1"/>
  <c r="D49" i="1"/>
  <c r="C49" i="1"/>
  <c r="U52" i="1"/>
  <c r="R51" i="1"/>
  <c r="N51" i="1"/>
  <c r="S51" i="1" s="1"/>
  <c r="I51" i="1"/>
  <c r="U50" i="1"/>
  <c r="R50" i="1"/>
  <c r="E50" i="1"/>
  <c r="O49" i="1"/>
  <c r="U48" i="1"/>
  <c r="V48" i="1" s="1"/>
  <c r="R47" i="1"/>
  <c r="N47" i="1"/>
  <c r="G42" i="1"/>
  <c r="E47" i="1"/>
  <c r="N46" i="1"/>
  <c r="I46" i="1"/>
  <c r="E46" i="1"/>
  <c r="R45" i="1"/>
  <c r="I45" i="1"/>
  <c r="E45" i="1"/>
  <c r="U44" i="1"/>
  <c r="V44" i="1" s="1"/>
  <c r="J44" i="1"/>
  <c r="R43" i="1"/>
  <c r="I43" i="1"/>
  <c r="E43" i="1"/>
  <c r="Q42" i="1"/>
  <c r="P42" i="1"/>
  <c r="C42" i="1"/>
  <c r="B42" i="1"/>
  <c r="V41" i="1"/>
  <c r="U41" i="1"/>
  <c r="R40" i="1"/>
  <c r="N40" i="1"/>
  <c r="S40" i="1" s="1"/>
  <c r="I40" i="1"/>
  <c r="R39" i="1"/>
  <c r="N39" i="1"/>
  <c r="S39" i="1" s="1"/>
  <c r="M36" i="1"/>
  <c r="I39" i="1"/>
  <c r="R38" i="1"/>
  <c r="N38" i="1"/>
  <c r="R37" i="1"/>
  <c r="Q36" i="1"/>
  <c r="P36" i="1"/>
  <c r="O36" i="1"/>
  <c r="I37" i="1"/>
  <c r="D36" i="1"/>
  <c r="G36" i="1"/>
  <c r="F36" i="1"/>
  <c r="U35" i="1"/>
  <c r="V35" i="1" s="1"/>
  <c r="R34" i="1"/>
  <c r="N34" i="1"/>
  <c r="I34" i="1"/>
  <c r="E34" i="1"/>
  <c r="R33" i="1"/>
  <c r="N33" i="1"/>
  <c r="S33" i="1" s="1"/>
  <c r="I33" i="1"/>
  <c r="R32" i="1"/>
  <c r="N32" i="1"/>
  <c r="S32" i="1" s="1"/>
  <c r="U32" i="1"/>
  <c r="E32" i="1"/>
  <c r="R31" i="1"/>
  <c r="S31" i="1" s="1"/>
  <c r="N31" i="1"/>
  <c r="I31" i="1"/>
  <c r="U30" i="1"/>
  <c r="V30" i="1" s="1"/>
  <c r="S30" i="1"/>
  <c r="J30" i="1"/>
  <c r="R29" i="1"/>
  <c r="D27" i="1"/>
  <c r="N28" i="1"/>
  <c r="I28" i="1"/>
  <c r="G27" i="1"/>
  <c r="U26" i="1"/>
  <c r="V26" i="1" s="1"/>
  <c r="R25" i="1"/>
  <c r="S25" i="1" s="1"/>
  <c r="N25" i="1"/>
  <c r="I25" i="1"/>
  <c r="B7" i="1"/>
  <c r="R24" i="1"/>
  <c r="N24" i="1"/>
  <c r="S24" i="1" s="1"/>
  <c r="I24" i="1"/>
  <c r="U23" i="1"/>
  <c r="V23" i="1" s="1"/>
  <c r="S23" i="1"/>
  <c r="J23" i="1"/>
  <c r="R22" i="1"/>
  <c r="N22" i="1"/>
  <c r="S22" i="1" s="1"/>
  <c r="I22" i="1"/>
  <c r="E22" i="1"/>
  <c r="J22" i="1" s="1"/>
  <c r="T22" i="1" s="1"/>
  <c r="R21" i="1"/>
  <c r="N21" i="1"/>
  <c r="S21" i="1" s="1"/>
  <c r="I21" i="1"/>
  <c r="R20" i="1"/>
  <c r="S20" i="1" s="1"/>
  <c r="N20" i="1"/>
  <c r="I20" i="1"/>
  <c r="E20" i="1"/>
  <c r="R19" i="1"/>
  <c r="N19" i="1"/>
  <c r="S19" i="1" s="1"/>
  <c r="I19" i="1"/>
  <c r="R18" i="1"/>
  <c r="N18" i="1"/>
  <c r="S18" i="1" s="1"/>
  <c r="E18" i="1"/>
  <c r="R17" i="1"/>
  <c r="N17" i="1"/>
  <c r="S17" i="1" s="1"/>
  <c r="I17" i="1"/>
  <c r="R16" i="1"/>
  <c r="N16" i="1"/>
  <c r="E16" i="1"/>
  <c r="R15" i="1"/>
  <c r="S15" i="1" s="1"/>
  <c r="N15" i="1"/>
  <c r="E15" i="1"/>
  <c r="R14" i="1"/>
  <c r="N14" i="1"/>
  <c r="S14" i="1" s="1"/>
  <c r="N13" i="1"/>
  <c r="I13" i="1"/>
  <c r="U13" i="1"/>
  <c r="U12" i="1"/>
  <c r="S12" i="1"/>
  <c r="J12" i="1"/>
  <c r="T12" i="1" s="1"/>
  <c r="V12" i="1" s="1"/>
  <c r="R11" i="1"/>
  <c r="N11" i="1"/>
  <c r="S11" i="1" s="1"/>
  <c r="I11" i="1"/>
  <c r="E11" i="1"/>
  <c r="J11" i="1" s="1"/>
  <c r="T11" i="1" s="1"/>
  <c r="R10" i="1"/>
  <c r="N10" i="1"/>
  <c r="S10" i="1" s="1"/>
  <c r="J10" i="1"/>
  <c r="T10" i="1" s="1"/>
  <c r="I10" i="1"/>
  <c r="E10" i="1"/>
  <c r="R9" i="1"/>
  <c r="S9" i="1" s="1"/>
  <c r="N9" i="1"/>
  <c r="I9" i="1"/>
  <c r="P7" i="1"/>
  <c r="N8" i="1"/>
  <c r="I8" i="1"/>
  <c r="Q7" i="1"/>
  <c r="I42" i="1" l="1"/>
  <c r="J43" i="1"/>
  <c r="J45" i="1"/>
  <c r="E42" i="1"/>
  <c r="U53" i="1"/>
  <c r="E53" i="1"/>
  <c r="J53" i="1" s="1"/>
  <c r="T53" i="1" s="1"/>
  <c r="R53" i="1"/>
  <c r="P84" i="1"/>
  <c r="R86" i="1"/>
  <c r="F27" i="1"/>
  <c r="E33" i="1"/>
  <c r="J33" i="1" s="1"/>
  <c r="T33" i="1" s="1"/>
  <c r="U33" i="1"/>
  <c r="V33" i="1" s="1"/>
  <c r="H36" i="1"/>
  <c r="I38" i="1"/>
  <c r="I36" i="1" s="1"/>
  <c r="U38" i="1"/>
  <c r="V72" i="1"/>
  <c r="Q164" i="1"/>
  <c r="Q170" i="1" s="1"/>
  <c r="Q174" i="1" s="1"/>
  <c r="S8" i="1"/>
  <c r="S7" i="1" s="1"/>
  <c r="N7" i="1"/>
  <c r="I16" i="1"/>
  <c r="J16" i="1" s="1"/>
  <c r="U16" i="1"/>
  <c r="D42" i="1"/>
  <c r="V55" i="1"/>
  <c r="E63" i="1"/>
  <c r="J63" i="1" s="1"/>
  <c r="T63" i="1" s="1"/>
  <c r="U63" i="1"/>
  <c r="V63" i="1" s="1"/>
  <c r="O7" i="1"/>
  <c r="R8" i="1"/>
  <c r="R7" i="1" s="1"/>
  <c r="U20" i="1"/>
  <c r="V20" i="1" s="1"/>
  <c r="H27" i="1"/>
  <c r="N70" i="1"/>
  <c r="S70" i="1" s="1"/>
  <c r="L68" i="1"/>
  <c r="J20" i="1"/>
  <c r="T20" i="1" s="1"/>
  <c r="P49" i="1"/>
  <c r="I62" i="1"/>
  <c r="J62" i="1" s="1"/>
  <c r="T62" i="1" s="1"/>
  <c r="F60" i="1"/>
  <c r="I86" i="1"/>
  <c r="U86" i="1"/>
  <c r="V86" i="1" s="1"/>
  <c r="E158" i="1"/>
  <c r="J158" i="1" s="1"/>
  <c r="U158" i="1"/>
  <c r="R159" i="1"/>
  <c r="P155" i="1"/>
  <c r="I150" i="1"/>
  <c r="F147" i="1"/>
  <c r="E153" i="1"/>
  <c r="B147" i="1"/>
  <c r="U153" i="1"/>
  <c r="V32" i="1"/>
  <c r="N140" i="1"/>
  <c r="S141" i="1"/>
  <c r="S61" i="1"/>
  <c r="N60" i="1"/>
  <c r="R36" i="1"/>
  <c r="I124" i="1"/>
  <c r="G122" i="1"/>
  <c r="J111" i="1"/>
  <c r="R112" i="1"/>
  <c r="J15" i="1"/>
  <c r="T15" i="1" s="1"/>
  <c r="U31" i="1"/>
  <c r="E31" i="1"/>
  <c r="J31" i="1" s="1"/>
  <c r="T31" i="1" s="1"/>
  <c r="S47" i="1"/>
  <c r="I50" i="1"/>
  <c r="F49" i="1"/>
  <c r="U25" i="1"/>
  <c r="E25" i="1"/>
  <c r="J25" i="1" s="1"/>
  <c r="T25" i="1" s="1"/>
  <c r="U43" i="1"/>
  <c r="H42" i="1"/>
  <c r="L131" i="1"/>
  <c r="N132" i="1"/>
  <c r="E126" i="1"/>
  <c r="J126" i="1" s="1"/>
  <c r="B122" i="1"/>
  <c r="U126" i="1"/>
  <c r="U14" i="1"/>
  <c r="E14" i="1"/>
  <c r="J14" i="1" s="1"/>
  <c r="T14" i="1" s="1"/>
  <c r="I32" i="1"/>
  <c r="J32" i="1" s="1"/>
  <c r="T32" i="1" s="1"/>
  <c r="D7" i="1"/>
  <c r="U9" i="1"/>
  <c r="E9" i="1"/>
  <c r="J9" i="1" s="1"/>
  <c r="T9" i="1" s="1"/>
  <c r="C36" i="1"/>
  <c r="U37" i="1"/>
  <c r="E37" i="1"/>
  <c r="V95" i="1"/>
  <c r="U112" i="1"/>
  <c r="E112" i="1"/>
  <c r="V119" i="1"/>
  <c r="U15" i="1"/>
  <c r="C7" i="1"/>
  <c r="U45" i="1"/>
  <c r="S64" i="1"/>
  <c r="U159" i="1"/>
  <c r="E159" i="1"/>
  <c r="J159" i="1" s="1"/>
  <c r="U8" i="1"/>
  <c r="E8" i="1"/>
  <c r="U11" i="1"/>
  <c r="V11" i="1" s="1"/>
  <c r="N43" i="1"/>
  <c r="K42" i="1"/>
  <c r="O68" i="1"/>
  <c r="R69" i="1"/>
  <c r="R68" i="1" s="1"/>
  <c r="Q84" i="1"/>
  <c r="F92" i="1"/>
  <c r="I95" i="1"/>
  <c r="J95" i="1" s="1"/>
  <c r="T95" i="1" s="1"/>
  <c r="U117" i="1"/>
  <c r="V117" i="1" s="1"/>
  <c r="S142" i="1"/>
  <c r="N148" i="1"/>
  <c r="K147" i="1"/>
  <c r="U10" i="1"/>
  <c r="V10" i="1" s="1"/>
  <c r="L42" i="1"/>
  <c r="E54" i="1"/>
  <c r="J54" i="1" s="1"/>
  <c r="T54" i="1" s="1"/>
  <c r="U54" i="1"/>
  <c r="V54" i="1" s="1"/>
  <c r="D84" i="1"/>
  <c r="E109" i="1"/>
  <c r="J109" i="1" s="1"/>
  <c r="T109" i="1" s="1"/>
  <c r="B106" i="1"/>
  <c r="N122" i="1"/>
  <c r="S123" i="1"/>
  <c r="S122" i="1" s="1"/>
  <c r="U137" i="1"/>
  <c r="L147" i="1"/>
  <c r="E168" i="1"/>
  <c r="J168" i="1" s="1"/>
  <c r="T168" i="1" s="1"/>
  <c r="U168" i="1"/>
  <c r="V168" i="1" s="1"/>
  <c r="S13" i="1"/>
  <c r="E17" i="1"/>
  <c r="J17" i="1" s="1"/>
  <c r="T17" i="1" s="1"/>
  <c r="U17" i="1"/>
  <c r="V17" i="1" s="1"/>
  <c r="R28" i="1"/>
  <c r="O27" i="1"/>
  <c r="N29" i="1"/>
  <c r="K27" i="1"/>
  <c r="E39" i="1"/>
  <c r="J39" i="1" s="1"/>
  <c r="T39" i="1" s="1"/>
  <c r="U39" i="1"/>
  <c r="M42" i="1"/>
  <c r="E80" i="1"/>
  <c r="J80" i="1" s="1"/>
  <c r="U80" i="1"/>
  <c r="I85" i="1"/>
  <c r="F84" i="1"/>
  <c r="E86" i="1"/>
  <c r="J86" i="1" s="1"/>
  <c r="T86" i="1" s="1"/>
  <c r="E118" i="1"/>
  <c r="J118" i="1" s="1"/>
  <c r="T118" i="1" s="1"/>
  <c r="U118" i="1"/>
  <c r="V118" i="1" s="1"/>
  <c r="K122" i="1"/>
  <c r="L122" i="1"/>
  <c r="U138" i="1"/>
  <c r="L155" i="1"/>
  <c r="N156" i="1"/>
  <c r="N99" i="1"/>
  <c r="K98" i="1"/>
  <c r="E103" i="1"/>
  <c r="U103" i="1"/>
  <c r="T117" i="1"/>
  <c r="R148" i="1"/>
  <c r="O147" i="1"/>
  <c r="E28" i="1"/>
  <c r="B27" i="1"/>
  <c r="B164" i="1" s="1"/>
  <c r="G49" i="1"/>
  <c r="U70" i="1"/>
  <c r="F106" i="1"/>
  <c r="I109" i="1"/>
  <c r="L7" i="1"/>
  <c r="U19" i="1"/>
  <c r="E51" i="1"/>
  <c r="J51" i="1" s="1"/>
  <c r="T51" i="1" s="1"/>
  <c r="U51" i="1"/>
  <c r="V51" i="1" s="1"/>
  <c r="B49" i="1"/>
  <c r="R77" i="1"/>
  <c r="R76" i="1" s="1"/>
  <c r="K84" i="1"/>
  <c r="N85" i="1"/>
  <c r="R93" i="1"/>
  <c r="O92" i="1"/>
  <c r="S16" i="1"/>
  <c r="R49" i="1"/>
  <c r="U65" i="1"/>
  <c r="E65" i="1"/>
  <c r="J65" i="1" s="1"/>
  <c r="U77" i="1"/>
  <c r="P98" i="1"/>
  <c r="N106" i="1"/>
  <c r="U143" i="1"/>
  <c r="V143" i="1" s="1"/>
  <c r="D140" i="1"/>
  <c r="S161" i="1"/>
  <c r="F7" i="1"/>
  <c r="I15" i="1"/>
  <c r="U28" i="1"/>
  <c r="Q27" i="1"/>
  <c r="E77" i="1"/>
  <c r="M76" i="1"/>
  <c r="S79" i="1"/>
  <c r="T79" i="1" s="1"/>
  <c r="U88" i="1"/>
  <c r="R98" i="1"/>
  <c r="U129" i="1"/>
  <c r="V129" i="1" s="1"/>
  <c r="E143" i="1"/>
  <c r="J143" i="1" s="1"/>
  <c r="T143" i="1" s="1"/>
  <c r="K7" i="1"/>
  <c r="L36" i="1"/>
  <c r="K60" i="1"/>
  <c r="U61" i="1"/>
  <c r="U69" i="1"/>
  <c r="E69" i="1"/>
  <c r="C68" i="1"/>
  <c r="S88" i="1"/>
  <c r="T88" i="1" s="1"/>
  <c r="U104" i="1"/>
  <c r="E104" i="1"/>
  <c r="J104" i="1" s="1"/>
  <c r="T104" i="1" s="1"/>
  <c r="U109" i="1"/>
  <c r="E21" i="1"/>
  <c r="J21" i="1" s="1"/>
  <c r="T21" i="1" s="1"/>
  <c r="U21" i="1"/>
  <c r="I47" i="1"/>
  <c r="J47" i="1" s="1"/>
  <c r="T47" i="1" s="1"/>
  <c r="F42" i="1"/>
  <c r="H49" i="1"/>
  <c r="H60" i="1"/>
  <c r="U71" i="1"/>
  <c r="E71" i="1"/>
  <c r="J71" i="1" s="1"/>
  <c r="T71" i="1" s="1"/>
  <c r="O98" i="1"/>
  <c r="S112" i="1"/>
  <c r="R122" i="1"/>
  <c r="P27" i="1"/>
  <c r="P164" i="1" s="1"/>
  <c r="P170" i="1" s="1"/>
  <c r="P174" i="1" s="1"/>
  <c r="S38" i="1"/>
  <c r="S53" i="1"/>
  <c r="R88" i="1"/>
  <c r="O84" i="1"/>
  <c r="I138" i="1"/>
  <c r="J138" i="1" s="1"/>
  <c r="T138" i="1" s="1"/>
  <c r="M7" i="1"/>
  <c r="I18" i="1"/>
  <c r="J18" i="1" s="1"/>
  <c r="T18" i="1" s="1"/>
  <c r="E19" i="1"/>
  <c r="J19" i="1" s="1"/>
  <c r="T19" i="1" s="1"/>
  <c r="S34" i="1"/>
  <c r="N50" i="1"/>
  <c r="K49" i="1"/>
  <c r="E66" i="1"/>
  <c r="I77" i="1"/>
  <c r="I76" i="1" s="1"/>
  <c r="F76" i="1"/>
  <c r="U76" i="1" s="1"/>
  <c r="R115" i="1"/>
  <c r="S116" i="1"/>
  <c r="S115" i="1" s="1"/>
  <c r="E120" i="1"/>
  <c r="J120" i="1" s="1"/>
  <c r="T120" i="1" s="1"/>
  <c r="U120" i="1"/>
  <c r="V120" i="1" s="1"/>
  <c r="I142" i="1"/>
  <c r="G140" i="1"/>
  <c r="R153" i="1"/>
  <c r="S153" i="1" s="1"/>
  <c r="U56" i="1"/>
  <c r="H76" i="1"/>
  <c r="E78" i="1"/>
  <c r="J78" i="1" s="1"/>
  <c r="T78" i="1" s="1"/>
  <c r="U78" i="1"/>
  <c r="V78" i="1" s="1"/>
  <c r="J89" i="1"/>
  <c r="T89" i="1" s="1"/>
  <c r="R46" i="1"/>
  <c r="R42" i="1" s="1"/>
  <c r="O42" i="1"/>
  <c r="S65" i="1"/>
  <c r="P76" i="1"/>
  <c r="R132" i="1"/>
  <c r="R131" i="1" s="1"/>
  <c r="U148" i="1"/>
  <c r="E148" i="1"/>
  <c r="E156" i="1"/>
  <c r="B155" i="1"/>
  <c r="U156" i="1"/>
  <c r="U161" i="1"/>
  <c r="E161" i="1"/>
  <c r="J161" i="1" s="1"/>
  <c r="T161" i="1" s="1"/>
  <c r="U24" i="1"/>
  <c r="V24" i="1" s="1"/>
  <c r="U29" i="1"/>
  <c r="E38" i="1"/>
  <c r="J38" i="1" s="1"/>
  <c r="T38" i="1" s="1"/>
  <c r="B36" i="1"/>
  <c r="U36" i="1" s="1"/>
  <c r="F68" i="1"/>
  <c r="J82" i="1"/>
  <c r="T82" i="1" s="1"/>
  <c r="E93" i="1"/>
  <c r="E100" i="1"/>
  <c r="J100" i="1" s="1"/>
  <c r="T100" i="1" s="1"/>
  <c r="U100" i="1"/>
  <c r="V100" i="1" s="1"/>
  <c r="C106" i="1"/>
  <c r="U107" i="1"/>
  <c r="E116" i="1"/>
  <c r="B115" i="1"/>
  <c r="U116" i="1"/>
  <c r="R124" i="1"/>
  <c r="S124" i="1" s="1"/>
  <c r="O122" i="1"/>
  <c r="G7" i="1"/>
  <c r="G68" i="1"/>
  <c r="I72" i="1"/>
  <c r="S95" i="1"/>
  <c r="N92" i="1"/>
  <c r="N117" i="1"/>
  <c r="S117" i="1" s="1"/>
  <c r="K115" i="1"/>
  <c r="D122" i="1"/>
  <c r="D131" i="1"/>
  <c r="E137" i="1"/>
  <c r="J137" i="1" s="1"/>
  <c r="T137" i="1" s="1"/>
  <c r="U142" i="1"/>
  <c r="U172" i="1"/>
  <c r="V172" i="1" s="1"/>
  <c r="H7" i="1"/>
  <c r="I14" i="1"/>
  <c r="I7" i="1" s="1"/>
  <c r="C27" i="1"/>
  <c r="L27" i="1"/>
  <c r="E29" i="1"/>
  <c r="E52" i="1"/>
  <c r="J52" i="1" s="1"/>
  <c r="T52" i="1" s="1"/>
  <c r="V52" i="1" s="1"/>
  <c r="U62" i="1"/>
  <c r="B60" i="1"/>
  <c r="E64" i="1"/>
  <c r="J64" i="1" s="1"/>
  <c r="T64" i="1" s="1"/>
  <c r="V64" i="1" s="1"/>
  <c r="H68" i="1"/>
  <c r="O76" i="1"/>
  <c r="U92" i="1"/>
  <c r="U93" i="1"/>
  <c r="B98" i="1"/>
  <c r="G98" i="1"/>
  <c r="E107" i="1"/>
  <c r="T110" i="1"/>
  <c r="U113" i="1"/>
  <c r="V113" i="1" s="1"/>
  <c r="L115" i="1"/>
  <c r="C122" i="1"/>
  <c r="U124" i="1"/>
  <c r="S126" i="1"/>
  <c r="I132" i="1"/>
  <c r="I131" i="1" s="1"/>
  <c r="F131" i="1"/>
  <c r="C147" i="1"/>
  <c r="I161" i="1"/>
  <c r="F155" i="1"/>
  <c r="O115" i="1"/>
  <c r="P147" i="1"/>
  <c r="M84" i="1"/>
  <c r="J46" i="1"/>
  <c r="R107" i="1"/>
  <c r="O106" i="1"/>
  <c r="U127" i="1"/>
  <c r="E127" i="1"/>
  <c r="J127" i="1" s="1"/>
  <c r="T127" i="1" s="1"/>
  <c r="U18" i="1"/>
  <c r="U34" i="1"/>
  <c r="U40" i="1"/>
  <c r="E56" i="1"/>
  <c r="J56" i="1" s="1"/>
  <c r="T56" i="1" s="1"/>
  <c r="R84" i="1"/>
  <c r="C98" i="1"/>
  <c r="E24" i="1"/>
  <c r="J24" i="1" s="1"/>
  <c r="T24" i="1" s="1"/>
  <c r="M27" i="1"/>
  <c r="I29" i="1"/>
  <c r="I27" i="1" s="1"/>
  <c r="L49" i="1"/>
  <c r="N69" i="1"/>
  <c r="K68" i="1"/>
  <c r="I70" i="1"/>
  <c r="I68" i="1" s="1"/>
  <c r="U82" i="1"/>
  <c r="N89" i="1"/>
  <c r="S89" i="1" s="1"/>
  <c r="G92" i="1"/>
  <c r="H92" i="1"/>
  <c r="S109" i="1"/>
  <c r="F115" i="1"/>
  <c r="I116" i="1"/>
  <c r="I115" i="1" s="1"/>
  <c r="E129" i="1"/>
  <c r="J129" i="1" s="1"/>
  <c r="T129" i="1" s="1"/>
  <c r="I153" i="1"/>
  <c r="I147" i="1" s="1"/>
  <c r="S159" i="1"/>
  <c r="E13" i="1"/>
  <c r="J13" i="1" s="1"/>
  <c r="R13" i="1"/>
  <c r="U22" i="1"/>
  <c r="V22" i="1" s="1"/>
  <c r="J34" i="1"/>
  <c r="T34" i="1" s="1"/>
  <c r="N37" i="1"/>
  <c r="K36" i="1"/>
  <c r="E40" i="1"/>
  <c r="J40" i="1" s="1"/>
  <c r="T40" i="1" s="1"/>
  <c r="N45" i="1"/>
  <c r="S45" i="1" s="1"/>
  <c r="U46" i="1"/>
  <c r="J61" i="1"/>
  <c r="U74" i="1"/>
  <c r="V74" i="1" s="1"/>
  <c r="R80" i="1"/>
  <c r="S80" i="1" s="1"/>
  <c r="B84" i="1"/>
  <c r="E124" i="1"/>
  <c r="J124" i="1" s="1"/>
  <c r="C131" i="1"/>
  <c r="N136" i="1"/>
  <c r="S136" i="1" s="1"/>
  <c r="E142" i="1"/>
  <c r="J142" i="1" s="1"/>
  <c r="J150" i="1"/>
  <c r="T150" i="1" s="1"/>
  <c r="O155" i="1"/>
  <c r="R158" i="1"/>
  <c r="J166" i="1"/>
  <c r="T166" i="1" s="1"/>
  <c r="U47" i="1"/>
  <c r="R61" i="1"/>
  <c r="O60" i="1"/>
  <c r="J72" i="1"/>
  <c r="T72" i="1" s="1"/>
  <c r="N77" i="1"/>
  <c r="K76" i="1"/>
  <c r="U99" i="1"/>
  <c r="D98" i="1"/>
  <c r="U110" i="1"/>
  <c r="V110" i="1" s="1"/>
  <c r="M122" i="1"/>
  <c r="R140" i="1"/>
  <c r="U151" i="1"/>
  <c r="I53" i="1"/>
  <c r="C60" i="1"/>
  <c r="U85" i="1"/>
  <c r="E85" i="1"/>
  <c r="J87" i="1"/>
  <c r="T87" i="1" s="1"/>
  <c r="V87" i="1" s="1"/>
  <c r="E99" i="1"/>
  <c r="S111" i="1"/>
  <c r="O131" i="1"/>
  <c r="I141" i="1"/>
  <c r="F140" i="1"/>
  <c r="E144" i="1"/>
  <c r="J144" i="1" s="1"/>
  <c r="T144" i="1" s="1"/>
  <c r="U144" i="1"/>
  <c r="V144" i="1" s="1"/>
  <c r="N58" i="1"/>
  <c r="S58" i="1" s="1"/>
  <c r="T58" i="1" s="1"/>
  <c r="U79" i="1"/>
  <c r="U81" i="1"/>
  <c r="S86" i="1"/>
  <c r="I89" i="1"/>
  <c r="I99" i="1"/>
  <c r="F98" i="1"/>
  <c r="I103" i="1"/>
  <c r="H106" i="1"/>
  <c r="U123" i="1"/>
  <c r="U132" i="1"/>
  <c r="B131" i="1"/>
  <c r="U131" i="1" s="1"/>
  <c r="P131" i="1"/>
  <c r="E136" i="1"/>
  <c r="J136" i="1" s="1"/>
  <c r="U136" i="1"/>
  <c r="R142" i="1"/>
  <c r="U150" i="1"/>
  <c r="K155" i="1"/>
  <c r="I159" i="1"/>
  <c r="I155" i="1" s="1"/>
  <c r="U58" i="1"/>
  <c r="V58" i="1" s="1"/>
  <c r="D60" i="1"/>
  <c r="P60" i="1"/>
  <c r="I66" i="1"/>
  <c r="I60" i="1" s="1"/>
  <c r="L98" i="1"/>
  <c r="N104" i="1"/>
  <c r="S104" i="1" s="1"/>
  <c r="I123" i="1"/>
  <c r="F122" i="1"/>
  <c r="U141" i="1"/>
  <c r="D147" i="1"/>
  <c r="Q147" i="1"/>
  <c r="E74" i="1"/>
  <c r="J74" i="1" s="1"/>
  <c r="T74" i="1" s="1"/>
  <c r="N81" i="1"/>
  <c r="S81" i="1" s="1"/>
  <c r="T81" i="1" s="1"/>
  <c r="I112" i="1"/>
  <c r="I106" i="1" s="1"/>
  <c r="M115" i="1"/>
  <c r="R151" i="1"/>
  <c r="S151" i="1" s="1"/>
  <c r="T151" i="1" s="1"/>
  <c r="U166" i="1"/>
  <c r="V166" i="1" s="1"/>
  <c r="R65" i="1"/>
  <c r="E70" i="1"/>
  <c r="J70" i="1" s="1"/>
  <c r="U89" i="1"/>
  <c r="U134" i="1"/>
  <c r="V134" i="1" s="1"/>
  <c r="Q140" i="1"/>
  <c r="B170" i="1" l="1"/>
  <c r="E122" i="1"/>
  <c r="J28" i="1"/>
  <c r="E27" i="1"/>
  <c r="S148" i="1"/>
  <c r="S147" i="1" s="1"/>
  <c r="N147" i="1"/>
  <c r="T61" i="1"/>
  <c r="U49" i="1"/>
  <c r="R147" i="1"/>
  <c r="S29" i="1"/>
  <c r="N27" i="1"/>
  <c r="N164" i="1" s="1"/>
  <c r="N170" i="1" s="1"/>
  <c r="N174" i="1" s="1"/>
  <c r="T159" i="1"/>
  <c r="V159" i="1" s="1"/>
  <c r="V126" i="1"/>
  <c r="I140" i="1"/>
  <c r="J141" i="1"/>
  <c r="V124" i="1"/>
  <c r="U122" i="1"/>
  <c r="S140" i="1"/>
  <c r="V38" i="1"/>
  <c r="U60" i="1"/>
  <c r="E115" i="1"/>
  <c r="J116" i="1"/>
  <c r="E68" i="1"/>
  <c r="J69" i="1"/>
  <c r="T65" i="1"/>
  <c r="E60" i="1"/>
  <c r="V161" i="1"/>
  <c r="E131" i="1"/>
  <c r="V19" i="1"/>
  <c r="V9" i="1"/>
  <c r="I98" i="1"/>
  <c r="E98" i="1"/>
  <c r="J99" i="1"/>
  <c r="N36" i="1"/>
  <c r="S37" i="1"/>
  <c r="S36" i="1" s="1"/>
  <c r="V61" i="1"/>
  <c r="J103" i="1"/>
  <c r="T103" i="1" s="1"/>
  <c r="J42" i="1"/>
  <c r="T43" i="1"/>
  <c r="J66" i="1"/>
  <c r="T66" i="1" s="1"/>
  <c r="V66" i="1" s="1"/>
  <c r="J85" i="1"/>
  <c r="E84" i="1"/>
  <c r="N76" i="1"/>
  <c r="S77" i="1"/>
  <c r="S76" i="1" s="1"/>
  <c r="V56" i="1"/>
  <c r="S99" i="1"/>
  <c r="S98" i="1" s="1"/>
  <c r="N98" i="1"/>
  <c r="T80" i="1"/>
  <c r="V15" i="1"/>
  <c r="J153" i="1"/>
  <c r="T153" i="1" s="1"/>
  <c r="V153" i="1" s="1"/>
  <c r="V89" i="1"/>
  <c r="V81" i="1"/>
  <c r="T124" i="1"/>
  <c r="V82" i="1"/>
  <c r="V40" i="1"/>
  <c r="E92" i="1"/>
  <c r="J93" i="1"/>
  <c r="E147" i="1"/>
  <c r="J148" i="1"/>
  <c r="V21" i="1"/>
  <c r="F164" i="1"/>
  <c r="F170" i="1" s="1"/>
  <c r="F174" i="1" s="1"/>
  <c r="S93" i="1"/>
  <c r="S92" i="1" s="1"/>
  <c r="R92" i="1"/>
  <c r="V70" i="1"/>
  <c r="N155" i="1"/>
  <c r="S156" i="1"/>
  <c r="S43" i="1"/>
  <c r="N42" i="1"/>
  <c r="S46" i="1"/>
  <c r="V151" i="1"/>
  <c r="J37" i="1"/>
  <c r="E36" i="1"/>
  <c r="I49" i="1"/>
  <c r="I164" i="1" s="1"/>
  <c r="I170" i="1" s="1"/>
  <c r="I174" i="1" s="1"/>
  <c r="J50" i="1"/>
  <c r="V88" i="1"/>
  <c r="U106" i="1"/>
  <c r="S107" i="1"/>
  <c r="S106" i="1" s="1"/>
  <c r="R106" i="1"/>
  <c r="T46" i="1"/>
  <c r="V46" i="1" s="1"/>
  <c r="J132" i="1"/>
  <c r="R27" i="1"/>
  <c r="R164" i="1" s="1"/>
  <c r="R170" i="1" s="1"/>
  <c r="R174" i="1" s="1"/>
  <c r="S28" i="1"/>
  <c r="S27" i="1" s="1"/>
  <c r="T126" i="1"/>
  <c r="O164" i="1"/>
  <c r="O170" i="1" s="1"/>
  <c r="O174" i="1" s="1"/>
  <c r="V65" i="1"/>
  <c r="T142" i="1"/>
  <c r="V142" i="1" s="1"/>
  <c r="I84" i="1"/>
  <c r="V150" i="1"/>
  <c r="V80" i="1"/>
  <c r="C164" i="1"/>
  <c r="C170" i="1" s="1"/>
  <c r="C174" i="1" s="1"/>
  <c r="T111" i="1"/>
  <c r="V111" i="1" s="1"/>
  <c r="U147" i="1"/>
  <c r="U42" i="1"/>
  <c r="T70" i="1"/>
  <c r="T136" i="1"/>
  <c r="V136" i="1" s="1"/>
  <c r="V34" i="1"/>
  <c r="U98" i="1"/>
  <c r="S50" i="1"/>
  <c r="S49" i="1" s="1"/>
  <c r="N49" i="1"/>
  <c r="K164" i="1"/>
  <c r="K170" i="1" s="1"/>
  <c r="K174" i="1" s="1"/>
  <c r="S85" i="1"/>
  <c r="S84" i="1" s="1"/>
  <c r="N84" i="1"/>
  <c r="J112" i="1"/>
  <c r="T112" i="1" s="1"/>
  <c r="T16" i="1"/>
  <c r="V16" i="1" s="1"/>
  <c r="U7" i="1"/>
  <c r="V47" i="1"/>
  <c r="N68" i="1"/>
  <c r="S69" i="1"/>
  <c r="S68" i="1" s="1"/>
  <c r="J8" i="1"/>
  <c r="E7" i="1"/>
  <c r="V127" i="1"/>
  <c r="V104" i="1"/>
  <c r="V14" i="1"/>
  <c r="V53" i="1"/>
  <c r="E140" i="1"/>
  <c r="R155" i="1"/>
  <c r="S158" i="1"/>
  <c r="T158" i="1" s="1"/>
  <c r="V158" i="1" s="1"/>
  <c r="M164" i="1"/>
  <c r="M170" i="1" s="1"/>
  <c r="M174" i="1" s="1"/>
  <c r="S60" i="1"/>
  <c r="U115" i="1"/>
  <c r="U68" i="1"/>
  <c r="T45" i="1"/>
  <c r="V45" i="1" s="1"/>
  <c r="V71" i="1"/>
  <c r="V31" i="1"/>
  <c r="V62" i="1"/>
  <c r="E76" i="1"/>
  <c r="J77" i="1"/>
  <c r="V103" i="1"/>
  <c r="L164" i="1"/>
  <c r="L170" i="1" s="1"/>
  <c r="L174" i="1" s="1"/>
  <c r="D164" i="1"/>
  <c r="D170" i="1" s="1"/>
  <c r="D174" i="1" s="1"/>
  <c r="S132" i="1"/>
  <c r="S131" i="1" s="1"/>
  <c r="N131" i="1"/>
  <c r="J29" i="1"/>
  <c r="T29" i="1" s="1"/>
  <c r="V29" i="1" s="1"/>
  <c r="U155" i="1"/>
  <c r="N115" i="1"/>
  <c r="E106" i="1"/>
  <c r="J107" i="1"/>
  <c r="E155" i="1"/>
  <c r="J156" i="1"/>
  <c r="E49" i="1"/>
  <c r="I92" i="1"/>
  <c r="I122" i="1"/>
  <c r="J123" i="1"/>
  <c r="V79" i="1"/>
  <c r="U84" i="1"/>
  <c r="R60" i="1"/>
  <c r="T13" i="1"/>
  <c r="V13" i="1" s="1"/>
  <c r="V18" i="1"/>
  <c r="H164" i="1"/>
  <c r="H170" i="1" s="1"/>
  <c r="H174" i="1" s="1"/>
  <c r="G164" i="1"/>
  <c r="G170" i="1" s="1"/>
  <c r="G174" i="1" s="1"/>
  <c r="V109" i="1"/>
  <c r="U140" i="1"/>
  <c r="U27" i="1"/>
  <c r="V138" i="1"/>
  <c r="V39" i="1"/>
  <c r="V137" i="1"/>
  <c r="V112" i="1"/>
  <c r="V25" i="1"/>
  <c r="T99" i="1" l="1"/>
  <c r="J98" i="1"/>
  <c r="T123" i="1"/>
  <c r="J122" i="1"/>
  <c r="J36" i="1"/>
  <c r="T37" i="1"/>
  <c r="E164" i="1"/>
  <c r="E170" i="1" s="1"/>
  <c r="E174" i="1" s="1"/>
  <c r="T8" i="1"/>
  <c r="J7" i="1"/>
  <c r="J76" i="1"/>
  <c r="T77" i="1"/>
  <c r="S42" i="1"/>
  <c r="T141" i="1"/>
  <c r="J140" i="1"/>
  <c r="B174" i="1"/>
  <c r="U174" i="1" s="1"/>
  <c r="U170" i="1"/>
  <c r="T116" i="1"/>
  <c r="J115" i="1"/>
  <c r="T42" i="1"/>
  <c r="T148" i="1"/>
  <c r="J147" i="1"/>
  <c r="T28" i="1"/>
  <c r="J27" i="1"/>
  <c r="J155" i="1"/>
  <c r="T156" i="1"/>
  <c r="S155" i="1"/>
  <c r="J68" i="1"/>
  <c r="T69" i="1"/>
  <c r="T60" i="1"/>
  <c r="V60" i="1" s="1"/>
  <c r="U164" i="1"/>
  <c r="J49" i="1"/>
  <c r="T50" i="1"/>
  <c r="J84" i="1"/>
  <c r="T85" i="1"/>
  <c r="V42" i="1"/>
  <c r="T132" i="1"/>
  <c r="J131" i="1"/>
  <c r="V43" i="1"/>
  <c r="J92" i="1"/>
  <c r="T93" i="1"/>
  <c r="T107" i="1"/>
  <c r="J106" i="1"/>
  <c r="J60" i="1"/>
  <c r="T7" i="1" l="1"/>
  <c r="V8" i="1"/>
  <c r="T155" i="1"/>
  <c r="V155" i="1" s="1"/>
  <c r="V156" i="1"/>
  <c r="T140" i="1"/>
  <c r="V140" i="1" s="1"/>
  <c r="V141" i="1"/>
  <c r="S164" i="1"/>
  <c r="S170" i="1" s="1"/>
  <c r="S174" i="1" s="1"/>
  <c r="T122" i="1"/>
  <c r="V122" i="1" s="1"/>
  <c r="V123" i="1"/>
  <c r="T147" i="1"/>
  <c r="V147" i="1" s="1"/>
  <c r="V148" i="1"/>
  <c r="T76" i="1"/>
  <c r="V76" i="1" s="1"/>
  <c r="V77" i="1"/>
  <c r="T68" i="1"/>
  <c r="V68" i="1" s="1"/>
  <c r="V69" i="1"/>
  <c r="T131" i="1"/>
  <c r="V131" i="1" s="1"/>
  <c r="V132" i="1"/>
  <c r="T115" i="1"/>
  <c r="V115" i="1" s="1"/>
  <c r="V116" i="1"/>
  <c r="T84" i="1"/>
  <c r="V84" i="1" s="1"/>
  <c r="V85" i="1"/>
  <c r="T36" i="1"/>
  <c r="V36" i="1" s="1"/>
  <c r="V37" i="1"/>
  <c r="T106" i="1"/>
  <c r="V106" i="1" s="1"/>
  <c r="V107" i="1"/>
  <c r="T92" i="1"/>
  <c r="V92" i="1" s="1"/>
  <c r="V93" i="1"/>
  <c r="T49" i="1"/>
  <c r="V49" i="1" s="1"/>
  <c r="V50" i="1"/>
  <c r="T98" i="1"/>
  <c r="V98" i="1" s="1"/>
  <c r="V99" i="1"/>
  <c r="T27" i="1"/>
  <c r="V27" i="1" s="1"/>
  <c r="V28" i="1"/>
  <c r="J164" i="1"/>
  <c r="J170" i="1" s="1"/>
  <c r="J174" i="1" s="1"/>
  <c r="T164" i="1" l="1"/>
  <c r="V7" i="1"/>
  <c r="T170" i="1" l="1"/>
  <c r="V164" i="1"/>
  <c r="T174" i="1" l="1"/>
  <c r="V174" i="1" s="1"/>
  <c r="V170" i="1"/>
</calcChain>
</file>

<file path=xl/sharedStrings.xml><?xml version="1.0" encoding="utf-8"?>
<sst xmlns="http://schemas.openxmlformats.org/spreadsheetml/2006/main" count="211" uniqueCount="210">
  <si>
    <t>TENTATIVE INTERNAL REVENUE COLLECTIONS BY REGION AND BY PROVINCE *</t>
  </si>
  <si>
    <t>(In Million Pesos)</t>
  </si>
  <si>
    <t>PARTICULARS</t>
  </si>
  <si>
    <t>JANUARY</t>
  </si>
  <si>
    <t>FEBRUARY</t>
  </si>
  <si>
    <t>MARCH</t>
  </si>
  <si>
    <t>1st QUARTER</t>
  </si>
  <si>
    <t>APRIL</t>
  </si>
  <si>
    <t>MAY</t>
  </si>
  <si>
    <t>JUNE</t>
  </si>
  <si>
    <t>2nd QUARTER</t>
  </si>
  <si>
    <t>1st SEMESTER</t>
  </si>
  <si>
    <t>JULY</t>
  </si>
  <si>
    <t>AUGUST</t>
  </si>
  <si>
    <t>SEPTEMBER</t>
  </si>
  <si>
    <t>3rd QUARTER</t>
  </si>
  <si>
    <t>OCTOBER</t>
  </si>
  <si>
    <t>NOVEMBER</t>
  </si>
  <si>
    <t>DECEMBER</t>
  </si>
  <si>
    <t>4th QUARTER</t>
  </si>
  <si>
    <t>2nd SEMESTER</t>
  </si>
  <si>
    <t>TOTAL</t>
  </si>
  <si>
    <t>National Capital Region (NCR)</t>
  </si>
  <si>
    <t>City of Caloocan</t>
  </si>
  <si>
    <t>City of Las Piñas</t>
  </si>
  <si>
    <t>City of Makati</t>
  </si>
  <si>
    <t xml:space="preserve">City of Malabon </t>
  </si>
  <si>
    <t>City of Navotas</t>
  </si>
  <si>
    <t>City of Mandaluyong</t>
  </si>
  <si>
    <t>City of Manila</t>
  </si>
  <si>
    <r>
      <t xml:space="preserve">City of Marikina </t>
    </r>
    <r>
      <rPr>
        <vertAlign val="superscript"/>
        <sz val="9"/>
        <color theme="1"/>
        <rFont val="Century Gothic"/>
        <family val="2"/>
      </rPr>
      <t>1/</t>
    </r>
  </si>
  <si>
    <t>City of Muntinlupa</t>
  </si>
  <si>
    <t>City of Parañaque</t>
  </si>
  <si>
    <t>Pasay City</t>
  </si>
  <si>
    <t>City of Pasig</t>
  </si>
  <si>
    <t>Quezon City</t>
  </si>
  <si>
    <t>City of San Juan</t>
  </si>
  <si>
    <t xml:space="preserve">City of Taguig </t>
  </si>
  <si>
    <t>Pateros</t>
  </si>
  <si>
    <t>City of Valenzuela</t>
  </si>
  <si>
    <r>
      <t xml:space="preserve">Large Taxpayers Service </t>
    </r>
    <r>
      <rPr>
        <vertAlign val="superscript"/>
        <sz val="9"/>
        <color theme="1"/>
        <rFont val="Century Gothic"/>
        <family val="2"/>
      </rPr>
      <t>2/</t>
    </r>
  </si>
  <si>
    <t>Cordillera Administrative Region  (CAR)</t>
  </si>
  <si>
    <t>Abra</t>
  </si>
  <si>
    <t xml:space="preserve">Apayao </t>
  </si>
  <si>
    <t>Kalinga</t>
  </si>
  <si>
    <t>Benguet</t>
  </si>
  <si>
    <t>Ifugao</t>
  </si>
  <si>
    <t>Mountain Province</t>
  </si>
  <si>
    <t>City of Baguio</t>
  </si>
  <si>
    <t>Region I  (Ilocos Region)</t>
  </si>
  <si>
    <t>Ilocos Norte</t>
  </si>
  <si>
    <t>Ilocos Sur</t>
  </si>
  <si>
    <t>La Union</t>
  </si>
  <si>
    <t>Pangasinan</t>
  </si>
  <si>
    <t>Region II (Cagayan Valley)</t>
  </si>
  <si>
    <t xml:space="preserve">Batanes </t>
  </si>
  <si>
    <t>Cagayan</t>
  </si>
  <si>
    <t>Isabela</t>
  </si>
  <si>
    <t>Nueva Vizcaya</t>
  </si>
  <si>
    <t>Quirino</t>
  </si>
  <si>
    <t>Region III (Central Luzon)</t>
  </si>
  <si>
    <t>Aurora</t>
  </si>
  <si>
    <t>Bataan</t>
  </si>
  <si>
    <t>Bulacan</t>
  </si>
  <si>
    <t>Nueva Ecija</t>
  </si>
  <si>
    <r>
      <t xml:space="preserve">Pampanga </t>
    </r>
    <r>
      <rPr>
        <vertAlign val="superscript"/>
        <sz val="9"/>
        <color theme="1"/>
        <rFont val="Century Gothic"/>
        <family val="2"/>
      </rPr>
      <t>3/</t>
    </r>
  </si>
  <si>
    <t>Tarlac</t>
  </si>
  <si>
    <r>
      <t xml:space="preserve">Zambales </t>
    </r>
    <r>
      <rPr>
        <vertAlign val="superscript"/>
        <sz val="9"/>
        <color theme="1"/>
        <rFont val="Century Gothic"/>
        <family val="2"/>
      </rPr>
      <t>4/</t>
    </r>
  </si>
  <si>
    <r>
      <t xml:space="preserve">City of Angeles </t>
    </r>
    <r>
      <rPr>
        <vertAlign val="superscript"/>
        <sz val="9"/>
        <color theme="1"/>
        <rFont val="Century Gothic"/>
        <family val="2"/>
      </rPr>
      <t>5/</t>
    </r>
  </si>
  <si>
    <r>
      <t xml:space="preserve">City of Olongapo </t>
    </r>
    <r>
      <rPr>
        <vertAlign val="superscript"/>
        <sz val="9"/>
        <color theme="1"/>
        <rFont val="Century Gothic"/>
        <family val="2"/>
      </rPr>
      <t>6/</t>
    </r>
  </si>
  <si>
    <t>Region IV-A  (CALABARZON)</t>
  </si>
  <si>
    <t>Batangas</t>
  </si>
  <si>
    <t>Cavite</t>
  </si>
  <si>
    <t>Laguna</t>
  </si>
  <si>
    <r>
      <t xml:space="preserve">Quezon </t>
    </r>
    <r>
      <rPr>
        <vertAlign val="superscript"/>
        <sz val="9"/>
        <color theme="1"/>
        <rFont val="Century Gothic"/>
        <family val="2"/>
      </rPr>
      <t>7/</t>
    </r>
  </si>
  <si>
    <r>
      <t xml:space="preserve">Rizal </t>
    </r>
    <r>
      <rPr>
        <vertAlign val="superscript"/>
        <sz val="9"/>
        <color theme="1"/>
        <rFont val="Century Gothic"/>
        <family val="2"/>
      </rPr>
      <t>8/</t>
    </r>
  </si>
  <si>
    <r>
      <t xml:space="preserve">City of Lucena </t>
    </r>
    <r>
      <rPr>
        <vertAlign val="superscript"/>
        <sz val="9"/>
        <color theme="1"/>
        <rFont val="Century Gothic"/>
        <family val="2"/>
      </rPr>
      <t>9/</t>
    </r>
  </si>
  <si>
    <t>MIMAROPA Region</t>
  </si>
  <si>
    <t>Marinduque</t>
  </si>
  <si>
    <t>Occidental Mindoro</t>
  </si>
  <si>
    <t>Oriental Mindoro</t>
  </si>
  <si>
    <t xml:space="preserve">Palawan </t>
  </si>
  <si>
    <t>City of Puerto Princesa</t>
  </si>
  <si>
    <t>Romblon</t>
  </si>
  <si>
    <t>Region V  (Bicol Region)</t>
  </si>
  <si>
    <t>Albay</t>
  </si>
  <si>
    <t>Camarines Norte</t>
  </si>
  <si>
    <t>Camarines Sur</t>
  </si>
  <si>
    <t>Catanduanes</t>
  </si>
  <si>
    <t>Masbate</t>
  </si>
  <si>
    <t>Sorsogon</t>
  </si>
  <si>
    <t>Region VI  (Western Visayas)</t>
  </si>
  <si>
    <t>Aklan</t>
  </si>
  <si>
    <t>Antique</t>
  </si>
  <si>
    <t>Capiz</t>
  </si>
  <si>
    <r>
      <t xml:space="preserve">Iloilo </t>
    </r>
    <r>
      <rPr>
        <vertAlign val="superscript"/>
        <sz val="9"/>
        <color theme="1"/>
        <rFont val="Century Gothic"/>
        <family val="2"/>
      </rPr>
      <t>10/</t>
    </r>
  </si>
  <si>
    <r>
      <t xml:space="preserve">City of Iloilo </t>
    </r>
    <r>
      <rPr>
        <vertAlign val="superscript"/>
        <sz val="9"/>
        <color theme="1"/>
        <rFont val="Century Gothic"/>
        <family val="2"/>
      </rPr>
      <t>11/</t>
    </r>
  </si>
  <si>
    <t xml:space="preserve">Guimaras </t>
  </si>
  <si>
    <t>Negros Island Region (NIR)</t>
  </si>
  <si>
    <t>Negros Occidental</t>
  </si>
  <si>
    <t>City of Bacolod</t>
  </si>
  <si>
    <t xml:space="preserve">Negros Oriental </t>
  </si>
  <si>
    <t>Siquijor</t>
  </si>
  <si>
    <t>Region VII  (Central Visayas)</t>
  </si>
  <si>
    <t>Bohol</t>
  </si>
  <si>
    <t xml:space="preserve">Cebu </t>
  </si>
  <si>
    <t xml:space="preserve">City of Lapu-Lapu </t>
  </si>
  <si>
    <t>City of Mandaue</t>
  </si>
  <si>
    <t>City of Cebu</t>
  </si>
  <si>
    <r>
      <t xml:space="preserve">LTD Cebu </t>
    </r>
    <r>
      <rPr>
        <vertAlign val="superscript"/>
        <sz val="9"/>
        <color theme="1"/>
        <rFont val="Century Gothic"/>
        <family val="2"/>
      </rPr>
      <t>12/</t>
    </r>
  </si>
  <si>
    <t>Region VIII  (Eastern Visayas)</t>
  </si>
  <si>
    <t xml:space="preserve">Biliran </t>
  </si>
  <si>
    <r>
      <t xml:space="preserve">City of Tacloban </t>
    </r>
    <r>
      <rPr>
        <vertAlign val="superscript"/>
        <sz val="9"/>
        <color theme="1"/>
        <rFont val="Century Gothic"/>
        <family val="2"/>
      </rPr>
      <t>13/</t>
    </r>
  </si>
  <si>
    <t>Eastern Samar</t>
  </si>
  <si>
    <r>
      <t xml:space="preserve">Leyte </t>
    </r>
    <r>
      <rPr>
        <vertAlign val="superscript"/>
        <sz val="9"/>
        <color theme="1"/>
        <rFont val="Century Gothic"/>
        <family val="2"/>
      </rPr>
      <t>14/</t>
    </r>
  </si>
  <si>
    <t>Northern Samar</t>
  </si>
  <si>
    <t>Samar</t>
  </si>
  <si>
    <t>Southern Leyte</t>
  </si>
  <si>
    <t>Region IX  (Zamboanga Peninsula)</t>
  </si>
  <si>
    <t>Sulu</t>
  </si>
  <si>
    <t>Zamboanga del Norte</t>
  </si>
  <si>
    <t>Zamboanga del Sur</t>
  </si>
  <si>
    <t>Zamboanga Sibugay</t>
  </si>
  <si>
    <t>City of Zamboanga</t>
  </si>
  <si>
    <t>Region X  (Northern Mindanao)</t>
  </si>
  <si>
    <t>Bukidnon</t>
  </si>
  <si>
    <r>
      <t xml:space="preserve">Misamis Oriental </t>
    </r>
    <r>
      <rPr>
        <vertAlign val="superscript"/>
        <sz val="9"/>
        <color theme="1"/>
        <rFont val="Century Gothic"/>
        <family val="2"/>
      </rPr>
      <t>15/</t>
    </r>
  </si>
  <si>
    <t>Camiguin</t>
  </si>
  <si>
    <r>
      <t xml:space="preserve">City of Cagayan de Oro </t>
    </r>
    <r>
      <rPr>
        <vertAlign val="superscript"/>
        <sz val="9"/>
        <color theme="1"/>
        <rFont val="Century Gothic"/>
        <family val="2"/>
      </rPr>
      <t>16/</t>
    </r>
  </si>
  <si>
    <t>Lanao del Norte</t>
  </si>
  <si>
    <t>City of Iligan</t>
  </si>
  <si>
    <t>Misamis Occidental</t>
  </si>
  <si>
    <t>Region XI (Davao Region)</t>
  </si>
  <si>
    <t>Davao de Oro</t>
  </si>
  <si>
    <t>Davao del Norte</t>
  </si>
  <si>
    <t>Davao del Sur</t>
  </si>
  <si>
    <t>Davao Occidental</t>
  </si>
  <si>
    <t>Davao Oriental</t>
  </si>
  <si>
    <t>City of Davao</t>
  </si>
  <si>
    <r>
      <t xml:space="preserve">LTD Davao </t>
    </r>
    <r>
      <rPr>
        <vertAlign val="superscript"/>
        <sz val="9"/>
        <color theme="1"/>
        <rFont val="Century Gothic"/>
        <family val="2"/>
      </rPr>
      <t>17/</t>
    </r>
  </si>
  <si>
    <t>Region XII (SOCCSKSARGEN)</t>
  </si>
  <si>
    <t>Cotabato</t>
  </si>
  <si>
    <t>South Cotabato</t>
  </si>
  <si>
    <t>Sultan Kudarat</t>
  </si>
  <si>
    <t>City of General Santos</t>
  </si>
  <si>
    <t>Sarangani</t>
  </si>
  <si>
    <t>Region XIII (Caraga)</t>
  </si>
  <si>
    <t>Agusan del Norte</t>
  </si>
  <si>
    <t>City of Butuan</t>
  </si>
  <si>
    <t>Agusan del Sur</t>
  </si>
  <si>
    <t>Dinagat Islands</t>
  </si>
  <si>
    <t>Surigao del Norte</t>
  </si>
  <si>
    <t>Surigao del Sur</t>
  </si>
  <si>
    <t>Bangsamoro Autonomous Region in Muslim Mindanao (BARMM)</t>
  </si>
  <si>
    <t>Basilan</t>
  </si>
  <si>
    <r>
      <t xml:space="preserve">City of Isabela </t>
    </r>
    <r>
      <rPr>
        <vertAlign val="superscript"/>
        <sz val="9"/>
        <color theme="1"/>
        <rFont val="Century Gothic"/>
        <family val="2"/>
      </rPr>
      <t>18/</t>
    </r>
  </si>
  <si>
    <t>Lanao del Sur</t>
  </si>
  <si>
    <t>Maguindanao del Norte</t>
  </si>
  <si>
    <t>Maguindanao del Sur</t>
  </si>
  <si>
    <t>Tawi-tawi</t>
  </si>
  <si>
    <r>
      <t xml:space="preserve">Special Geographic Area </t>
    </r>
    <r>
      <rPr>
        <vertAlign val="superscript"/>
        <sz val="9"/>
        <color theme="1"/>
        <rFont val="Century Gothic"/>
        <family val="2"/>
      </rPr>
      <t>19/</t>
    </r>
  </si>
  <si>
    <t>Total BIR Operations</t>
  </si>
  <si>
    <t>Total Non-BIR Operations</t>
  </si>
  <si>
    <t xml:space="preserve">Others  </t>
  </si>
  <si>
    <t>Total Gross Collection</t>
  </si>
  <si>
    <t>Tax Refund</t>
  </si>
  <si>
    <t>Total Collection - Net of Tax Refund</t>
  </si>
  <si>
    <t>Totals may not add up due to rounding</t>
  </si>
  <si>
    <t>* Regional and Provincial Summary is based on Philippine Statistics Authority - Philippine Standard Geographic Code (PSGC), as of July 31, 2025</t>
  </si>
  <si>
    <t>Notes:</t>
  </si>
  <si>
    <t>1/</t>
  </si>
  <si>
    <t>Includes collections from the municipalities of San Mateo, Antipolo, Rodriguez and Teresa in Rizal</t>
  </si>
  <si>
    <t>2/</t>
  </si>
  <si>
    <t>Consists of the country’s largest corporate clients, which are mostly multinationals and publicly-listed companies under NCR</t>
  </si>
  <si>
    <t>3/</t>
  </si>
  <si>
    <t>Includes collections from CFEZ, City of San Fernando and 16 out of the 19 municipalities in Pampanga (Apalit, Bacolor, Candaba, Floridablanca, Guagua, Lubao, Macabebe, Masantol, Mexico, Minalin, San Luis, San Simon, Sasmuan, Santa Ana, Santa Rita and Sto. Tomas)</t>
  </si>
  <si>
    <t>4/</t>
  </si>
  <si>
    <t>Collections from Subic Bay Freeport Zone only</t>
  </si>
  <si>
    <t>5/</t>
  </si>
  <si>
    <t>Also includes collections from Mabalacat City and 3 municipalities in Pampanga (Arayat, Magalang and Porac)</t>
  </si>
  <si>
    <t>6/</t>
  </si>
  <si>
    <t>Also includes collections from all municipalities in Zambales</t>
  </si>
  <si>
    <t>7/</t>
  </si>
  <si>
    <t>Includes collections from the 22 out of the 39 municipalities in Quezon (Agdangan, Alabat, Atimonan, Buenavista, Calauag, Catanauan, General Luna, Guinayangan, Gumaca, Lopez, Macalelon, Mulanay, Padre Burgos, Perez, Pitogo, Plaridel, Quezon, San Andres, San Francisco, San Narciso, Tagkawayan and Unisan)</t>
  </si>
  <si>
    <t>8/</t>
  </si>
  <si>
    <t xml:space="preserve">Includes collections from the municipalities of Angono, Baras, Binangonan, Cainta, Cardona, Jala-Jala, Morong, Pililla, Tanay and Taytay in Rizal </t>
  </si>
  <si>
    <t>9/</t>
  </si>
  <si>
    <t xml:space="preserve">Also includes collections from 1 city and 17 municipalities in Quezon (City of Tayabas, Burdeos, Candelaria, Dolores, General Nakar, Infanta, Jomalig, Lucban, Mauban, Pagbilao, Panukulan, Patnanungan, Polillo, Real, Sampaloc, San Antonio, Sariaya, Tiaong) </t>
  </si>
  <si>
    <t>10/</t>
  </si>
  <si>
    <t xml:space="preserve">Includes collections from 1 city and 27 municipalities in Iloilo (City of Passi , Ajuy, Anilao, Badiangan, Balasan, Banate, Barotac Nuevo, Barotac Viejo, Batad, Bingawan, Calinog, Carles, Concepcion, Dingle, Dueñas, Dumangas, Estancia, Janiuay, Lambunao, Lemery, Mina, New Lucena, Pototan, San Dionisio, San Enrique, San Rafael, Sara, Zarraga) </t>
  </si>
  <si>
    <t>11/</t>
  </si>
  <si>
    <t>Also includes collections from the 15 municipalities in Iloilo (Alimodian, Cabatuan, Guimbal, Igbaras, Leganes, Leon, Maasin, Miagao, Oton, Pavia, San Joaquin, San Miguel, Santa Barbara, Tigbauan and Tubungan)</t>
  </si>
  <si>
    <t>12/</t>
  </si>
  <si>
    <t>Consists of the largest corporate clients, which are mostly multinationals and publicly-listed companies under the province of Cebu</t>
  </si>
  <si>
    <t>13/</t>
  </si>
  <si>
    <t>Also includes collection from the 24 out of the 40 municipalities in Leyte (Abuyog, Alangalang, Babatngon, Barugo, Burauen, Capoocan, Carigara, Dagami, Dulag, Jaro, Javier, Julita, La Paz, Macarthur, Mahaplag, Mayorga, Palo, Pastrana, San Miguel, Santa Fe, Tabontabon, Tanauan, Tolosa, Tunga, Almeria, Biliran, Cabucgayan, Caibiran, Culaba, Kawayan, Maripipi and Naval)</t>
  </si>
  <si>
    <t>14/</t>
  </si>
  <si>
    <t>Includes collection from the 2 cities and 16 municipalities in Leyte (City of Baybay, Ormoc City  Albuera, Bato, Calubian, Hilongos, Hindang, Inopacan, Isabel, Kananga, Leyte, Matag-Ob Matalom, Merida, Palompon, San Isidro, Tabango and Villaba)</t>
  </si>
  <si>
    <t>15/</t>
  </si>
  <si>
    <t>Includes collection from the City of Gingoog and 11 out of the 23 municipalities in Misamis Oriental (Balingoan, Balingasag, Claveria, Binuangan, Kinoguitan, Lagonglong, Magsaysay, Medina, Salay, Sugbongcogon and Talisayan)</t>
  </si>
  <si>
    <t>16/</t>
  </si>
  <si>
    <t>Also includes collections from the City of El Salvador and 12 municipalities in Misamis Oriental ( Alubijid, Gitagum, Initao, Jasaan, Laguindingan, Libertad, Lugait, Manticao, Naawan Opol, Tagoloan and Villanueva)</t>
  </si>
  <si>
    <t>17/</t>
  </si>
  <si>
    <t>Consists of the largest corporate clients, which are mostly multinationals and publicly-listed companies situated in Region XI (Davao Region)</t>
  </si>
  <si>
    <t>19/</t>
  </si>
  <si>
    <t>Isabela City is administratively under the Zamboanga Peninsula Region; geographically located in the province of Basilan</t>
  </si>
  <si>
    <t>Based on Bangsamoro Autonomy Act Nos. 41 to 48 Series of 2022 dated 15 September 2022</t>
  </si>
  <si>
    <t>For the Period: January to June, 2026</t>
  </si>
  <si>
    <t>Source: Revenue Accounting Division, BIR</t>
  </si>
  <si>
    <t>Date Received: July 14,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</si>
</sst>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1"/>
      <color theme="1"/>
      <name val="Century Gothic"/>
      <family val="2"/>
    </font>
    <font>
      <sz val="11"/>
      <color theme="1"/>
      <name val="Century Gothic"/>
      <family val="2"/>
    </font>
    <font>
      <sz val="11"/>
      <color theme="1"/>
      <name val="Arial"/>
      <family val="2"/>
    </font>
    <font>
      <b/>
      <sz val="9"/>
      <color theme="1"/>
      <name val="Century Gothic"/>
      <family val="2"/>
    </font>
    <font>
      <sz val="9"/>
      <color theme="0"/>
      <name val="Century Gothic"/>
      <family val="2"/>
    </font>
    <font>
      <sz val="9"/>
      <color theme="1"/>
      <name val="Century Gothic"/>
      <family val="2"/>
    </font>
    <font>
      <b/>
      <sz val="9"/>
      <name val="Century Gothic"/>
      <family val="2"/>
    </font>
    <font>
      <b/>
      <sz val="9"/>
      <color theme="0"/>
      <name val="Century Gothic"/>
      <family val="2"/>
    </font>
    <font>
      <vertAlign val="superscript"/>
      <sz val="9"/>
      <color theme="1"/>
      <name val="Century Gothic"/>
      <family val="2"/>
    </font>
    <font>
      <b/>
      <sz val="9"/>
      <color rgb="FFFF0000"/>
      <name val="Century Gothic"/>
      <family val="2"/>
    </font>
    <font>
      <sz val="9"/>
      <name val="Century Gothic"/>
      <family val="2"/>
    </font>
    <font>
      <sz val="8"/>
      <color theme="1"/>
      <name val="Century Gothic"/>
      <family val="2"/>
    </font>
  </fonts>
  <fills count="3">
    <fill>
      <patternFill patternType="none"/>
    </fill>
    <fill>
      <patternFill patternType="gray125"/>
    </fill>
    <fill>
      <patternFill patternType="solid">
        <fgColor rgb="FF7030A0"/>
        <bgColor indexed="64"/>
      </patternFill>
    </fill>
  </fills>
  <borders count="3">
    <border>
      <left/>
      <right/>
      <top/>
      <bottom/>
      <diagonal/>
    </border>
    <border>
      <left style="medium">
        <color auto="1"/>
      </left>
      <right style="medium">
        <color auto="1"/>
      </right>
      <top style="medium">
        <color auto="1"/>
      </top>
      <bottom style="medium">
        <color auto="1"/>
      </bottom>
      <diagonal/>
    </border>
    <border>
      <left/>
      <right/>
      <top/>
      <bottom style="medium">
        <color auto="1"/>
      </bottom>
      <diagonal/>
    </border>
  </borders>
  <cellStyleXfs count="3">
    <xf numFmtId="0" fontId="0" fillId="0" borderId="0"/>
    <xf numFmtId="43" fontId="1" fillId="0" borderId="0" applyFont="0" applyFill="0" applyBorder="0" applyAlignment="0" applyProtection="0"/>
    <xf numFmtId="0" fontId="2" fillId="0" borderId="0"/>
  </cellStyleXfs>
  <cellXfs count="33">
    <xf numFmtId="0" fontId="0" fillId="0" borderId="0" xfId="0"/>
    <xf numFmtId="0" fontId="3" fillId="0" borderId="0" xfId="2" applyFont="1"/>
    <xf numFmtId="43" fontId="3" fillId="0" borderId="0" xfId="1" applyFont="1"/>
    <xf numFmtId="43" fontId="4" fillId="0" borderId="0" xfId="1" applyFont="1"/>
    <xf numFmtId="43" fontId="3" fillId="0" borderId="0" xfId="1" applyFont="1" applyAlignment="1">
      <alignment horizontal="center"/>
    </xf>
    <xf numFmtId="43" fontId="5" fillId="0" borderId="0" xfId="1" applyFont="1"/>
    <xf numFmtId="0" fontId="5" fillId="0" borderId="0" xfId="2" applyFont="1"/>
    <xf numFmtId="0" fontId="6" fillId="0" borderId="0" xfId="2" applyFont="1"/>
    <xf numFmtId="0" fontId="3" fillId="0" borderId="0" xfId="0" applyFont="1" applyAlignment="1">
      <alignment horizontal="center"/>
    </xf>
    <xf numFmtId="0" fontId="5" fillId="0" borderId="0" xfId="0" applyFont="1"/>
    <xf numFmtId="0" fontId="7" fillId="2" borderId="1" xfId="0" applyFont="1" applyFill="1" applyBorder="1" applyAlignment="1">
      <alignment horizontal="center"/>
    </xf>
    <xf numFmtId="43" fontId="7" fillId="2" borderId="1" xfId="1" applyFont="1" applyFill="1" applyBorder="1" applyAlignment="1">
      <alignment horizontal="center"/>
    </xf>
    <xf numFmtId="43" fontId="4" fillId="0" borderId="0" xfId="1" applyFont="1" applyAlignment="1">
      <alignment horizontal="center"/>
    </xf>
    <xf numFmtId="0" fontId="3" fillId="0" borderId="0" xfId="0" applyFont="1"/>
    <xf numFmtId="0" fontId="5" fillId="0" borderId="0" xfId="2" applyFont="1" applyAlignment="1">
      <alignment horizontal="left"/>
    </xf>
    <xf numFmtId="0" fontId="3" fillId="0" borderId="0" xfId="0" applyFont="1" applyAlignment="1">
      <alignment wrapText="1"/>
    </xf>
    <xf numFmtId="43" fontId="3" fillId="0" borderId="0" xfId="1" applyFont="1" applyAlignment="1">
      <alignment vertical="top"/>
    </xf>
    <xf numFmtId="43" fontId="5" fillId="0" borderId="0" xfId="1" applyFont="1" applyAlignment="1">
      <alignment horizontal="center"/>
    </xf>
    <xf numFmtId="43" fontId="3" fillId="0" borderId="0" xfId="1" applyFont="1" applyBorder="1"/>
    <xf numFmtId="0" fontId="3" fillId="0" borderId="2" xfId="0" applyFont="1" applyBorder="1"/>
    <xf numFmtId="43" fontId="3" fillId="0" borderId="2" xfId="1" applyFont="1" applyBorder="1"/>
    <xf numFmtId="0" fontId="9" fillId="0" borderId="0" xfId="2" applyFont="1" applyAlignment="1">
      <alignment vertical="top"/>
    </xf>
    <xf numFmtId="0" fontId="6" fillId="0" borderId="0" xfId="2" applyFont="1" applyAlignment="1">
      <alignment vertical="top"/>
    </xf>
    <xf numFmtId="0" fontId="0" fillId="0" borderId="0" xfId="0" applyAlignment="1">
      <alignment vertical="top"/>
    </xf>
    <xf numFmtId="0" fontId="10" fillId="0" borderId="0" xfId="2" applyFont="1" applyAlignment="1">
      <alignment vertical="top"/>
    </xf>
    <xf numFmtId="0" fontId="5" fillId="0" borderId="0" xfId="0" applyFont="1" applyAlignment="1">
      <alignment vertical="top"/>
    </xf>
    <xf numFmtId="0" fontId="11" fillId="0" borderId="0" xfId="0" applyFont="1"/>
    <xf numFmtId="0" fontId="5" fillId="0" borderId="0" xfId="0" applyFont="1" applyAlignment="1">
      <alignment vertical="top" wrapText="1"/>
    </xf>
    <xf numFmtId="0" fontId="5" fillId="0" borderId="0" xfId="0" applyFont="1" applyAlignment="1">
      <alignment horizontal="justify" vertical="top" wrapText="1"/>
    </xf>
    <xf numFmtId="0" fontId="8" fillId="0" borderId="0" xfId="0" applyFont="1" applyAlignment="1">
      <alignment horizontal="right" vertical="top"/>
    </xf>
    <xf numFmtId="0" fontId="8" fillId="0" borderId="0" xfId="0" applyFont="1" applyAlignment="1">
      <alignment vertical="top"/>
    </xf>
    <xf numFmtId="43" fontId="5" fillId="0" borderId="0" xfId="1" applyFont="1" applyAlignment="1">
      <alignment horizontal="center" vertical="center"/>
    </xf>
    <xf numFmtId="0" fontId="0" fillId="0" borderId="0" xfId="0" applyAlignment="1">
      <alignment horizontal="center" vertical="center"/>
    </xf>
  </cellXfs>
  <cellStyles count="3">
    <cellStyle name="Comma" xfId="1" builtinId="3"/>
    <cellStyle name="Normal" xfId="0" builtinId="0"/>
    <cellStyle name="Normal 2" xfId="2" xr:uid="{045FD587-4D66-4922-A0FF-12F8AF7076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E59A-8C18-46EB-AED8-EA3A22347FFF}">
  <dimension ref="A1:AK198"/>
  <sheetViews>
    <sheetView showGridLines="0" tabSelected="1" zoomScaleNormal="100" workbookViewId="0">
      <pane xSplit="1" ySplit="6" topLeftCell="B136" activePane="bottomRight" state="frozen"/>
      <selection activeCell="A180" sqref="A180:A181"/>
      <selection pane="topRight" activeCell="A180" sqref="A180:A181"/>
      <selection pane="bottomLeft" activeCell="A180" sqref="A180:A181"/>
      <selection pane="bottomRight" activeCell="E181" sqref="E181"/>
    </sheetView>
  </sheetViews>
  <sheetFormatPr defaultRowHeight="14.25" x14ac:dyDescent="0.3"/>
  <cols>
    <col min="1" max="1" width="48.625" style="9" bestFit="1" customWidth="1"/>
    <col min="2" max="4" width="10.625" style="5" customWidth="1"/>
    <col min="5" max="5" width="11.625" style="5" customWidth="1"/>
    <col min="6" max="8" width="10.625" style="5" customWidth="1"/>
    <col min="9" max="10" width="11.625" style="5" customWidth="1"/>
    <col min="11" max="13" width="10.625" style="5" hidden="1" customWidth="1"/>
    <col min="14" max="14" width="11.625" style="5" hidden="1" customWidth="1"/>
    <col min="15" max="17" width="10.625" style="5" hidden="1" customWidth="1"/>
    <col min="18" max="20" width="11.625" style="5" hidden="1" customWidth="1"/>
    <col min="21" max="21" width="11.125" style="3" bestFit="1" customWidth="1"/>
    <col min="22" max="22" width="9" style="3"/>
    <col min="23" max="37" width="9" style="5"/>
    <col min="38" max="16384" width="9" style="9"/>
  </cols>
  <sheetData>
    <row r="1" spans="1:37" s="6" customFormat="1" x14ac:dyDescent="0.3">
      <c r="A1" s="1" t="s">
        <v>0</v>
      </c>
      <c r="B1" s="2"/>
      <c r="C1" s="2"/>
      <c r="D1" s="2"/>
      <c r="E1" s="2"/>
      <c r="F1" s="2"/>
      <c r="G1" s="2"/>
      <c r="H1" s="2"/>
      <c r="I1" s="2"/>
      <c r="J1" s="2"/>
      <c r="K1" s="2"/>
      <c r="L1" s="2"/>
      <c r="M1" s="2"/>
      <c r="N1" s="2"/>
      <c r="O1" s="2"/>
      <c r="P1" s="2"/>
      <c r="Q1" s="2"/>
      <c r="R1" s="2"/>
      <c r="S1" s="2"/>
      <c r="T1" s="2"/>
      <c r="U1" s="3"/>
      <c r="V1" s="3"/>
      <c r="W1" s="4"/>
      <c r="X1" s="4"/>
      <c r="Y1" s="5"/>
      <c r="Z1" s="5"/>
      <c r="AA1" s="5"/>
      <c r="AB1" s="5"/>
      <c r="AC1" s="5"/>
      <c r="AD1" s="5"/>
      <c r="AE1" s="5"/>
      <c r="AF1" s="5"/>
      <c r="AG1" s="5"/>
      <c r="AH1" s="5"/>
      <c r="AI1" s="5"/>
      <c r="AJ1" s="5"/>
      <c r="AK1" s="5"/>
    </row>
    <row r="2" spans="1:37" s="6" customFormat="1" x14ac:dyDescent="0.3">
      <c r="A2" s="7" t="s">
        <v>207</v>
      </c>
      <c r="B2" s="2"/>
      <c r="C2" s="2"/>
      <c r="D2" s="2"/>
      <c r="E2" s="2"/>
      <c r="F2" s="2"/>
      <c r="G2" s="2"/>
      <c r="H2" s="2"/>
      <c r="I2" s="2"/>
      <c r="J2" s="2"/>
      <c r="K2" s="2"/>
      <c r="L2" s="2"/>
      <c r="M2" s="2"/>
      <c r="N2" s="2"/>
      <c r="O2" s="2"/>
      <c r="P2" s="2"/>
      <c r="Q2" s="2"/>
      <c r="R2" s="2"/>
      <c r="S2" s="2"/>
      <c r="T2" s="2"/>
      <c r="U2" s="3"/>
      <c r="V2" s="3"/>
      <c r="W2" s="4"/>
      <c r="X2" s="4"/>
      <c r="Y2" s="5"/>
      <c r="Z2" s="5"/>
      <c r="AA2" s="5"/>
      <c r="AB2" s="5"/>
      <c r="AC2" s="5"/>
      <c r="AD2" s="5"/>
      <c r="AE2" s="5"/>
      <c r="AF2" s="5"/>
      <c r="AG2" s="5"/>
      <c r="AH2" s="5"/>
      <c r="AI2" s="5"/>
      <c r="AJ2" s="5"/>
      <c r="AK2" s="5"/>
    </row>
    <row r="3" spans="1:37" s="6" customFormat="1" x14ac:dyDescent="0.3">
      <c r="A3" s="1" t="s">
        <v>1</v>
      </c>
      <c r="B3" s="2"/>
      <c r="C3" s="2"/>
      <c r="D3" s="2"/>
      <c r="E3" s="2"/>
      <c r="F3" s="2"/>
      <c r="G3" s="2"/>
      <c r="H3" s="2"/>
      <c r="I3" s="2"/>
      <c r="J3" s="2"/>
      <c r="K3" s="2"/>
      <c r="L3" s="2"/>
      <c r="M3" s="2"/>
      <c r="N3" s="2"/>
      <c r="O3" s="2"/>
      <c r="P3" s="2"/>
      <c r="Q3" s="2"/>
      <c r="R3" s="2"/>
      <c r="S3" s="2"/>
      <c r="T3" s="2"/>
      <c r="U3" s="3"/>
      <c r="V3" s="3"/>
      <c r="W3" s="4"/>
      <c r="X3" s="4"/>
      <c r="Y3" s="5"/>
      <c r="Z3" s="5"/>
      <c r="AA3" s="5"/>
      <c r="AB3" s="5"/>
      <c r="AC3" s="5"/>
      <c r="AD3" s="5"/>
      <c r="AE3" s="5"/>
      <c r="AF3" s="5"/>
      <c r="AG3" s="5"/>
      <c r="AH3" s="5"/>
      <c r="AI3" s="5"/>
      <c r="AJ3" s="5"/>
      <c r="AK3" s="5"/>
    </row>
    <row r="4" spans="1:37" ht="15" thickBot="1" x14ac:dyDescent="0.35">
      <c r="A4" s="8"/>
      <c r="B4" s="4"/>
      <c r="C4" s="4"/>
      <c r="D4" s="4"/>
      <c r="E4" s="4"/>
      <c r="F4" s="4"/>
      <c r="G4" s="4"/>
      <c r="H4" s="4"/>
      <c r="I4" s="4"/>
      <c r="J4" s="4"/>
      <c r="K4" s="4"/>
      <c r="L4" s="4"/>
      <c r="M4" s="4"/>
      <c r="N4" s="4"/>
      <c r="O4" s="4"/>
      <c r="P4" s="4"/>
      <c r="Q4" s="4"/>
      <c r="R4" s="4"/>
      <c r="S4" s="4"/>
      <c r="T4" s="4"/>
    </row>
    <row r="5" spans="1:37" s="8" customFormat="1" ht="15" thickBot="1" x14ac:dyDescent="0.35">
      <c r="A5" s="10" t="s">
        <v>2</v>
      </c>
      <c r="B5" s="11" t="s">
        <v>3</v>
      </c>
      <c r="C5" s="11" t="s">
        <v>4</v>
      </c>
      <c r="D5" s="11" t="s">
        <v>5</v>
      </c>
      <c r="E5" s="11" t="s">
        <v>6</v>
      </c>
      <c r="F5" s="11" t="s">
        <v>7</v>
      </c>
      <c r="G5" s="11" t="s">
        <v>8</v>
      </c>
      <c r="H5" s="11" t="s">
        <v>9</v>
      </c>
      <c r="I5" s="11" t="s">
        <v>10</v>
      </c>
      <c r="J5" s="11" t="s">
        <v>11</v>
      </c>
      <c r="K5" s="11" t="s">
        <v>12</v>
      </c>
      <c r="L5" s="11" t="s">
        <v>13</v>
      </c>
      <c r="M5" s="11" t="s">
        <v>14</v>
      </c>
      <c r="N5" s="11" t="s">
        <v>15</v>
      </c>
      <c r="O5" s="11" t="s">
        <v>16</v>
      </c>
      <c r="P5" s="11" t="s">
        <v>17</v>
      </c>
      <c r="Q5" s="11" t="s">
        <v>18</v>
      </c>
      <c r="R5" s="11" t="s">
        <v>19</v>
      </c>
      <c r="S5" s="11" t="s">
        <v>20</v>
      </c>
      <c r="T5" s="11" t="s">
        <v>21</v>
      </c>
      <c r="U5" s="12"/>
      <c r="V5" s="12"/>
      <c r="W5" s="4"/>
      <c r="X5" s="4"/>
      <c r="Y5" s="4"/>
      <c r="Z5" s="4"/>
      <c r="AA5" s="4"/>
      <c r="AB5" s="4"/>
      <c r="AC5" s="4"/>
      <c r="AD5" s="4"/>
      <c r="AE5" s="4"/>
      <c r="AF5" s="4"/>
      <c r="AG5" s="4"/>
      <c r="AH5" s="4"/>
      <c r="AI5" s="4"/>
      <c r="AJ5" s="4"/>
      <c r="AK5" s="4"/>
    </row>
    <row r="7" spans="1:37" s="13" customFormat="1" x14ac:dyDescent="0.3">
      <c r="A7" s="13" t="s">
        <v>22</v>
      </c>
      <c r="B7" s="2">
        <f>SUM(B8:B25)</f>
        <v>284113.54383822985</v>
      </c>
      <c r="C7" s="2">
        <f t="shared" ref="C7:T7" si="0">SUM(C8:C25)</f>
        <v>135190.35568888998</v>
      </c>
      <c r="D7" s="2">
        <f t="shared" si="0"/>
        <v>148731.25247442001</v>
      </c>
      <c r="E7" s="2">
        <f t="shared" si="0"/>
        <v>568035.15200153983</v>
      </c>
      <c r="F7" s="2">
        <f t="shared" si="0"/>
        <v>341540.37491868995</v>
      </c>
      <c r="G7" s="2">
        <f t="shared" si="0"/>
        <v>222317.00218328493</v>
      </c>
      <c r="H7" s="2">
        <f t="shared" si="0"/>
        <v>162346.37593766506</v>
      </c>
      <c r="I7" s="2">
        <f t="shared" si="0"/>
        <v>726203.75303963991</v>
      </c>
      <c r="J7" s="2">
        <f t="shared" si="0"/>
        <v>1294238.9050411799</v>
      </c>
      <c r="K7" s="2">
        <f t="shared" si="0"/>
        <v>0</v>
      </c>
      <c r="L7" s="2">
        <f t="shared" si="0"/>
        <v>0</v>
      </c>
      <c r="M7" s="2">
        <f t="shared" si="0"/>
        <v>0</v>
      </c>
      <c r="N7" s="2">
        <f t="shared" si="0"/>
        <v>0</v>
      </c>
      <c r="O7" s="2">
        <f t="shared" si="0"/>
        <v>0</v>
      </c>
      <c r="P7" s="2">
        <f t="shared" si="0"/>
        <v>0</v>
      </c>
      <c r="Q7" s="2">
        <f t="shared" si="0"/>
        <v>0</v>
      </c>
      <c r="R7" s="2">
        <f t="shared" si="0"/>
        <v>0</v>
      </c>
      <c r="S7" s="2">
        <f t="shared" si="0"/>
        <v>0</v>
      </c>
      <c r="T7" s="2">
        <f t="shared" si="0"/>
        <v>1294238.9050411799</v>
      </c>
      <c r="U7" s="3">
        <f>+B7+C7+D7+F7+G7+H7+K7+L7+M7+O7+P7+Q7</f>
        <v>1294238.9050411799</v>
      </c>
      <c r="V7" s="3">
        <f>+U7-T7</f>
        <v>0</v>
      </c>
      <c r="W7" s="2"/>
      <c r="X7" s="2"/>
      <c r="Y7" s="2"/>
      <c r="Z7" s="2"/>
      <c r="AA7" s="2"/>
      <c r="AB7" s="2"/>
      <c r="AC7" s="2"/>
      <c r="AD7" s="2"/>
      <c r="AE7" s="2"/>
      <c r="AF7" s="2"/>
      <c r="AG7" s="2"/>
      <c r="AH7" s="2"/>
      <c r="AI7" s="2"/>
      <c r="AJ7" s="2"/>
      <c r="AK7" s="2"/>
    </row>
    <row r="8" spans="1:37" x14ac:dyDescent="0.3">
      <c r="A8" s="9" t="s">
        <v>23</v>
      </c>
      <c r="B8" s="5">
        <v>1210.1753700299994</v>
      </c>
      <c r="C8" s="5">
        <v>449.13828581000013</v>
      </c>
      <c r="D8" s="5">
        <v>514.15870849999999</v>
      </c>
      <c r="E8" s="5">
        <f t="shared" ref="E8:E25" si="1">+B8+C8+D8</f>
        <v>2173.4723643399993</v>
      </c>
      <c r="F8" s="5">
        <v>1228.8724919999995</v>
      </c>
      <c r="G8" s="5">
        <v>575.11949236999942</v>
      </c>
      <c r="H8" s="5">
        <v>488.45258773999961</v>
      </c>
      <c r="I8" s="5">
        <f t="shared" ref="I8:I25" si="2">+F8+G8+H8</f>
        <v>2292.4445721099987</v>
      </c>
      <c r="J8" s="5">
        <f>+E8+I8</f>
        <v>4465.9169364499976</v>
      </c>
      <c r="K8" s="5">
        <v>0</v>
      </c>
      <c r="L8" s="5">
        <v>0</v>
      </c>
      <c r="M8" s="5">
        <v>0</v>
      </c>
      <c r="N8" s="5">
        <f t="shared" ref="N8:N25" si="3">+K8+L8+M8</f>
        <v>0</v>
      </c>
      <c r="O8" s="5">
        <v>0</v>
      </c>
      <c r="P8" s="5">
        <v>0</v>
      </c>
      <c r="Q8" s="5">
        <v>0</v>
      </c>
      <c r="R8" s="5">
        <f t="shared" ref="R8:R25" si="4">+O8+P8+Q8</f>
        <v>0</v>
      </c>
      <c r="S8" s="5">
        <f>+N8+R8</f>
        <v>0</v>
      </c>
      <c r="T8" s="5">
        <f t="shared" ref="T8:T22" si="5">+J8+S8</f>
        <v>4465.9169364499976</v>
      </c>
      <c r="U8" s="3">
        <f t="shared" ref="U8:U71" si="6">+B8+C8+D8+F8+G8+H8+K8+L8+M8+O8+P8+Q8</f>
        <v>4465.9169364499976</v>
      </c>
      <c r="V8" s="3">
        <f t="shared" ref="V8:V71" si="7">+U8-T8</f>
        <v>0</v>
      </c>
    </row>
    <row r="9" spans="1:37" x14ac:dyDescent="0.3">
      <c r="A9" s="9" t="s">
        <v>24</v>
      </c>
      <c r="B9" s="5">
        <v>952.1149726900012</v>
      </c>
      <c r="C9" s="5">
        <v>308.51876345000039</v>
      </c>
      <c r="D9" s="5">
        <v>374.72880974999998</v>
      </c>
      <c r="E9" s="5">
        <f t="shared" si="1"/>
        <v>1635.3625458900015</v>
      </c>
      <c r="F9" s="5">
        <v>1006.4363495400011</v>
      </c>
      <c r="G9" s="5">
        <v>605.75801785000033</v>
      </c>
      <c r="H9" s="5">
        <v>527.47748189000026</v>
      </c>
      <c r="I9" s="5">
        <f t="shared" si="2"/>
        <v>2139.6718492800019</v>
      </c>
      <c r="J9" s="5">
        <f>+E9+I9</f>
        <v>3775.0343951700033</v>
      </c>
      <c r="K9" s="5">
        <v>0</v>
      </c>
      <c r="L9" s="5">
        <v>0</v>
      </c>
      <c r="M9" s="5">
        <v>0</v>
      </c>
      <c r="N9" s="5">
        <f t="shared" si="3"/>
        <v>0</v>
      </c>
      <c r="O9" s="5">
        <v>0</v>
      </c>
      <c r="P9" s="5">
        <v>0</v>
      </c>
      <c r="Q9" s="5">
        <v>0</v>
      </c>
      <c r="R9" s="5">
        <f t="shared" si="4"/>
        <v>0</v>
      </c>
      <c r="S9" s="5">
        <f>+N9+R9</f>
        <v>0</v>
      </c>
      <c r="T9" s="5">
        <f t="shared" si="5"/>
        <v>3775.0343951700033</v>
      </c>
      <c r="U9" s="3">
        <f t="shared" si="6"/>
        <v>3775.0343951700033</v>
      </c>
      <c r="V9" s="3">
        <f t="shared" si="7"/>
        <v>0</v>
      </c>
    </row>
    <row r="10" spans="1:37" x14ac:dyDescent="0.3">
      <c r="A10" s="9" t="s">
        <v>25</v>
      </c>
      <c r="B10" s="5">
        <v>17479.63885146999</v>
      </c>
      <c r="C10" s="5">
        <v>8824.0951007000112</v>
      </c>
      <c r="D10" s="5">
        <v>9323.3992620899935</v>
      </c>
      <c r="E10" s="5">
        <f t="shared" si="1"/>
        <v>35627.133214259993</v>
      </c>
      <c r="F10" s="5">
        <v>20870.855825940034</v>
      </c>
      <c r="G10" s="5">
        <v>12125.496461564991</v>
      </c>
      <c r="H10" s="5">
        <v>11469.709679000012</v>
      </c>
      <c r="I10" s="5">
        <f t="shared" si="2"/>
        <v>44466.06196650504</v>
      </c>
      <c r="J10" s="5">
        <f>+E10+I10</f>
        <v>80093.195180765033</v>
      </c>
      <c r="K10" s="5">
        <v>0</v>
      </c>
      <c r="L10" s="5">
        <v>0</v>
      </c>
      <c r="M10" s="5">
        <v>0</v>
      </c>
      <c r="N10" s="5">
        <f t="shared" si="3"/>
        <v>0</v>
      </c>
      <c r="O10" s="5">
        <v>0</v>
      </c>
      <c r="P10" s="5">
        <v>0</v>
      </c>
      <c r="Q10" s="5">
        <v>0</v>
      </c>
      <c r="R10" s="5">
        <f t="shared" si="4"/>
        <v>0</v>
      </c>
      <c r="S10" s="5">
        <f>+N10+R10</f>
        <v>0</v>
      </c>
      <c r="T10" s="5">
        <f t="shared" si="5"/>
        <v>80093.195180765033</v>
      </c>
      <c r="U10" s="3">
        <f t="shared" si="6"/>
        <v>80093.195180765033</v>
      </c>
      <c r="V10" s="3">
        <f t="shared" si="7"/>
        <v>0</v>
      </c>
    </row>
    <row r="11" spans="1:37" x14ac:dyDescent="0.3">
      <c r="A11" s="9" t="s">
        <v>26</v>
      </c>
      <c r="B11" s="31">
        <v>792.33962269999995</v>
      </c>
      <c r="C11" s="31">
        <v>162.28463496999981</v>
      </c>
      <c r="D11" s="31">
        <v>316.96564053000009</v>
      </c>
      <c r="E11" s="31">
        <f t="shared" si="1"/>
        <v>1271.5898981999999</v>
      </c>
      <c r="F11" s="31">
        <v>1046.5275365499999</v>
      </c>
      <c r="G11" s="31">
        <v>367.74930366999985</v>
      </c>
      <c r="H11" s="31">
        <v>184.39842754999987</v>
      </c>
      <c r="I11" s="31">
        <f t="shared" si="2"/>
        <v>1598.6752677699997</v>
      </c>
      <c r="J11" s="31">
        <f t="shared" ref="J11:J74" si="8">+E11+I11</f>
        <v>2870.2651659699995</v>
      </c>
      <c r="K11" s="31">
        <v>0</v>
      </c>
      <c r="L11" s="31">
        <v>0</v>
      </c>
      <c r="M11" s="31">
        <v>0</v>
      </c>
      <c r="N11" s="31">
        <f t="shared" si="3"/>
        <v>0</v>
      </c>
      <c r="O11" s="31">
        <v>0</v>
      </c>
      <c r="P11" s="31">
        <v>0</v>
      </c>
      <c r="Q11" s="31">
        <v>0</v>
      </c>
      <c r="R11" s="31">
        <f t="shared" si="4"/>
        <v>0</v>
      </c>
      <c r="S11" s="31">
        <f t="shared" ref="S11:S25" si="9">+N11+R11</f>
        <v>0</v>
      </c>
      <c r="T11" s="31">
        <f t="shared" si="5"/>
        <v>2870.2651659699995</v>
      </c>
      <c r="U11" s="3">
        <f t="shared" si="6"/>
        <v>2870.2651659699995</v>
      </c>
      <c r="V11" s="3">
        <f t="shared" si="7"/>
        <v>0</v>
      </c>
    </row>
    <row r="12" spans="1:37" x14ac:dyDescent="0.3">
      <c r="A12" s="9" t="s">
        <v>27</v>
      </c>
      <c r="B12" s="31"/>
      <c r="C12" s="31"/>
      <c r="D12" s="31"/>
      <c r="E12" s="31"/>
      <c r="F12" s="31"/>
      <c r="G12" s="31"/>
      <c r="H12" s="31"/>
      <c r="I12" s="31"/>
      <c r="J12" s="31">
        <f t="shared" si="8"/>
        <v>0</v>
      </c>
      <c r="K12" s="31"/>
      <c r="L12" s="31"/>
      <c r="M12" s="31"/>
      <c r="N12" s="31"/>
      <c r="O12" s="31"/>
      <c r="P12" s="31"/>
      <c r="Q12" s="31"/>
      <c r="R12" s="31"/>
      <c r="S12" s="31">
        <f t="shared" si="9"/>
        <v>0</v>
      </c>
      <c r="T12" s="31">
        <f t="shared" si="5"/>
        <v>0</v>
      </c>
      <c r="U12" s="3">
        <f t="shared" si="6"/>
        <v>0</v>
      </c>
      <c r="V12" s="3">
        <f t="shared" si="7"/>
        <v>0</v>
      </c>
    </row>
    <row r="13" spans="1:37" x14ac:dyDescent="0.3">
      <c r="A13" s="9" t="s">
        <v>28</v>
      </c>
      <c r="B13" s="5">
        <v>5370.8661908099793</v>
      </c>
      <c r="C13" s="5">
        <v>1945.9550053299999</v>
      </c>
      <c r="D13" s="5">
        <v>1970.0606064800036</v>
      </c>
      <c r="E13" s="5">
        <f t="shared" si="1"/>
        <v>9286.8818026199824</v>
      </c>
      <c r="F13" s="5">
        <v>6900.787557529995</v>
      </c>
      <c r="G13" s="5">
        <v>3082.6524659900037</v>
      </c>
      <c r="H13" s="5">
        <v>2846.3660379650059</v>
      </c>
      <c r="I13" s="5">
        <f t="shared" si="2"/>
        <v>12829.806061485006</v>
      </c>
      <c r="J13" s="5">
        <f t="shared" si="8"/>
        <v>22116.687864104988</v>
      </c>
      <c r="K13" s="5">
        <v>0</v>
      </c>
      <c r="L13" s="5">
        <v>0</v>
      </c>
      <c r="M13" s="5">
        <v>0</v>
      </c>
      <c r="N13" s="5">
        <f t="shared" si="3"/>
        <v>0</v>
      </c>
      <c r="O13" s="5">
        <v>0</v>
      </c>
      <c r="P13" s="5">
        <v>0</v>
      </c>
      <c r="Q13" s="5">
        <v>0</v>
      </c>
      <c r="R13" s="5">
        <f t="shared" si="4"/>
        <v>0</v>
      </c>
      <c r="S13" s="5">
        <f t="shared" si="9"/>
        <v>0</v>
      </c>
      <c r="T13" s="5">
        <f t="shared" si="5"/>
        <v>22116.687864104988</v>
      </c>
      <c r="U13" s="3">
        <f t="shared" si="6"/>
        <v>22116.687864104988</v>
      </c>
      <c r="V13" s="3">
        <f t="shared" si="7"/>
        <v>0</v>
      </c>
    </row>
    <row r="14" spans="1:37" x14ac:dyDescent="0.3">
      <c r="A14" s="9" t="s">
        <v>29</v>
      </c>
      <c r="B14" s="5">
        <v>7344.0346420199903</v>
      </c>
      <c r="C14" s="5">
        <v>3053.2867334999969</v>
      </c>
      <c r="D14" s="5">
        <v>4037.457632489994</v>
      </c>
      <c r="E14" s="5">
        <f t="shared" si="1"/>
        <v>14434.77900800998</v>
      </c>
      <c r="F14" s="5">
        <v>8301.3707951600045</v>
      </c>
      <c r="G14" s="5">
        <v>5467.2430610800029</v>
      </c>
      <c r="H14" s="5">
        <v>3832.489874370001</v>
      </c>
      <c r="I14" s="5">
        <f t="shared" si="2"/>
        <v>17601.103730610008</v>
      </c>
      <c r="J14" s="5">
        <f t="shared" si="8"/>
        <v>32035.882738619988</v>
      </c>
      <c r="K14" s="5">
        <v>0</v>
      </c>
      <c r="L14" s="5">
        <v>0</v>
      </c>
      <c r="M14" s="5">
        <v>0</v>
      </c>
      <c r="N14" s="5">
        <f t="shared" si="3"/>
        <v>0</v>
      </c>
      <c r="O14" s="5">
        <v>0</v>
      </c>
      <c r="P14" s="5">
        <v>0</v>
      </c>
      <c r="Q14" s="5">
        <v>0</v>
      </c>
      <c r="R14" s="5">
        <f t="shared" si="4"/>
        <v>0</v>
      </c>
      <c r="S14" s="5">
        <f t="shared" si="9"/>
        <v>0</v>
      </c>
      <c r="T14" s="5">
        <f t="shared" si="5"/>
        <v>32035.882738619988</v>
      </c>
      <c r="U14" s="3">
        <f t="shared" si="6"/>
        <v>32035.882738619988</v>
      </c>
      <c r="V14" s="3">
        <f t="shared" si="7"/>
        <v>0</v>
      </c>
    </row>
    <row r="15" spans="1:37" ht="16.5" x14ac:dyDescent="0.3">
      <c r="A15" s="9" t="s">
        <v>30</v>
      </c>
      <c r="B15" s="5">
        <v>1700.38664941</v>
      </c>
      <c r="C15" s="5">
        <v>741.12797333999981</v>
      </c>
      <c r="D15" s="5">
        <v>725.48614090000001</v>
      </c>
      <c r="E15" s="5">
        <f t="shared" si="1"/>
        <v>3167.00076365</v>
      </c>
      <c r="F15" s="5">
        <v>2023.5097121100002</v>
      </c>
      <c r="G15" s="5">
        <v>1484.1370008700005</v>
      </c>
      <c r="H15" s="5">
        <v>694.84255982000241</v>
      </c>
      <c r="I15" s="5">
        <f t="shared" si="2"/>
        <v>4202.4892728000032</v>
      </c>
      <c r="J15" s="5">
        <f t="shared" si="8"/>
        <v>7369.4900364500027</v>
      </c>
      <c r="K15" s="5">
        <v>0</v>
      </c>
      <c r="L15" s="5">
        <v>0</v>
      </c>
      <c r="M15" s="5">
        <v>0</v>
      </c>
      <c r="N15" s="5">
        <f t="shared" si="3"/>
        <v>0</v>
      </c>
      <c r="O15" s="5">
        <v>0</v>
      </c>
      <c r="P15" s="5">
        <v>0</v>
      </c>
      <c r="Q15" s="5">
        <v>0</v>
      </c>
      <c r="R15" s="5">
        <f t="shared" si="4"/>
        <v>0</v>
      </c>
      <c r="S15" s="5">
        <f t="shared" si="9"/>
        <v>0</v>
      </c>
      <c r="T15" s="5">
        <f t="shared" si="5"/>
        <v>7369.4900364500027</v>
      </c>
      <c r="U15" s="3">
        <f t="shared" si="6"/>
        <v>7369.4900364500027</v>
      </c>
      <c r="V15" s="3">
        <f t="shared" si="7"/>
        <v>0</v>
      </c>
    </row>
    <row r="16" spans="1:37" x14ac:dyDescent="0.3">
      <c r="A16" s="9" t="s">
        <v>31</v>
      </c>
      <c r="B16" s="5">
        <v>2494.6409865499927</v>
      </c>
      <c r="C16" s="5">
        <v>1025.1454486899975</v>
      </c>
      <c r="D16" s="5">
        <v>1158.6993732300002</v>
      </c>
      <c r="E16" s="5">
        <f t="shared" si="1"/>
        <v>4678.4858084699899</v>
      </c>
      <c r="F16" s="5">
        <v>2516.4724695400005</v>
      </c>
      <c r="G16" s="5">
        <v>1525.4969616399985</v>
      </c>
      <c r="H16" s="5">
        <v>1108.9320598299994</v>
      </c>
      <c r="I16" s="5">
        <f t="shared" si="2"/>
        <v>5150.9014910099986</v>
      </c>
      <c r="J16" s="5">
        <f t="shared" si="8"/>
        <v>9829.3872994799895</v>
      </c>
      <c r="K16" s="5">
        <v>0</v>
      </c>
      <c r="L16" s="5">
        <v>0</v>
      </c>
      <c r="M16" s="5">
        <v>0</v>
      </c>
      <c r="N16" s="5">
        <f t="shared" si="3"/>
        <v>0</v>
      </c>
      <c r="O16" s="5">
        <v>0</v>
      </c>
      <c r="P16" s="5">
        <v>0</v>
      </c>
      <c r="Q16" s="5">
        <v>0</v>
      </c>
      <c r="R16" s="5">
        <f t="shared" si="4"/>
        <v>0</v>
      </c>
      <c r="S16" s="5">
        <f t="shared" si="9"/>
        <v>0</v>
      </c>
      <c r="T16" s="5">
        <f t="shared" si="5"/>
        <v>9829.3872994799895</v>
      </c>
      <c r="U16" s="3">
        <f t="shared" si="6"/>
        <v>9829.3872994799895</v>
      </c>
      <c r="V16" s="3">
        <f t="shared" si="7"/>
        <v>0</v>
      </c>
    </row>
    <row r="17" spans="1:37" x14ac:dyDescent="0.3">
      <c r="A17" s="9" t="s">
        <v>32</v>
      </c>
      <c r="B17" s="5">
        <v>2922.8124210299952</v>
      </c>
      <c r="C17" s="5">
        <v>966.85072214999821</v>
      </c>
      <c r="D17" s="5">
        <v>1199.547653109998</v>
      </c>
      <c r="E17" s="5">
        <f t="shared" si="1"/>
        <v>5089.2107962899918</v>
      </c>
      <c r="F17" s="5">
        <v>4362.4632348899886</v>
      </c>
      <c r="G17" s="5">
        <v>2295.7293477999997</v>
      </c>
      <c r="H17" s="5">
        <v>1131.5599470499969</v>
      </c>
      <c r="I17" s="5">
        <f t="shared" si="2"/>
        <v>7789.7525297399843</v>
      </c>
      <c r="J17" s="5">
        <f t="shared" si="8"/>
        <v>12878.963326029976</v>
      </c>
      <c r="K17" s="5">
        <v>0</v>
      </c>
      <c r="L17" s="5">
        <v>0</v>
      </c>
      <c r="M17" s="5">
        <v>0</v>
      </c>
      <c r="N17" s="5">
        <f t="shared" si="3"/>
        <v>0</v>
      </c>
      <c r="O17" s="5">
        <v>0</v>
      </c>
      <c r="P17" s="5">
        <v>0</v>
      </c>
      <c r="Q17" s="5">
        <v>0</v>
      </c>
      <c r="R17" s="5">
        <f t="shared" si="4"/>
        <v>0</v>
      </c>
      <c r="S17" s="5">
        <f t="shared" si="9"/>
        <v>0</v>
      </c>
      <c r="T17" s="5">
        <f t="shared" si="5"/>
        <v>12878.963326029976</v>
      </c>
      <c r="U17" s="3">
        <f t="shared" si="6"/>
        <v>12878.963326029976</v>
      </c>
      <c r="V17" s="3">
        <f t="shared" si="7"/>
        <v>0</v>
      </c>
    </row>
    <row r="18" spans="1:37" x14ac:dyDescent="0.3">
      <c r="A18" s="9" t="s">
        <v>33</v>
      </c>
      <c r="B18" s="5">
        <v>3379.4697865100043</v>
      </c>
      <c r="C18" s="5">
        <v>4598.4246724300028</v>
      </c>
      <c r="D18" s="5">
        <v>3404.5244938800006</v>
      </c>
      <c r="E18" s="5">
        <f t="shared" si="1"/>
        <v>11382.418952820008</v>
      </c>
      <c r="F18" s="5">
        <v>5863.4546964400097</v>
      </c>
      <c r="G18" s="5">
        <v>4149.4247914699954</v>
      </c>
      <c r="H18" s="5">
        <v>3811.0026293200017</v>
      </c>
      <c r="I18" s="5">
        <f t="shared" si="2"/>
        <v>13823.882117230009</v>
      </c>
      <c r="J18" s="5">
        <f t="shared" si="8"/>
        <v>25206.301070050016</v>
      </c>
      <c r="K18" s="5">
        <v>0</v>
      </c>
      <c r="L18" s="5">
        <v>0</v>
      </c>
      <c r="M18" s="5">
        <v>0</v>
      </c>
      <c r="N18" s="5">
        <f t="shared" si="3"/>
        <v>0</v>
      </c>
      <c r="O18" s="5">
        <v>0</v>
      </c>
      <c r="P18" s="5">
        <v>0</v>
      </c>
      <c r="Q18" s="5">
        <v>0</v>
      </c>
      <c r="R18" s="5">
        <f t="shared" si="4"/>
        <v>0</v>
      </c>
      <c r="S18" s="5">
        <f t="shared" si="9"/>
        <v>0</v>
      </c>
      <c r="T18" s="5">
        <f t="shared" si="5"/>
        <v>25206.301070050016</v>
      </c>
      <c r="U18" s="3">
        <f t="shared" si="6"/>
        <v>25206.301070050016</v>
      </c>
      <c r="V18" s="3">
        <f t="shared" si="7"/>
        <v>0</v>
      </c>
    </row>
    <row r="19" spans="1:37" x14ac:dyDescent="0.3">
      <c r="A19" s="9" t="s">
        <v>34</v>
      </c>
      <c r="B19" s="5">
        <v>8638.3851201300222</v>
      </c>
      <c r="C19" s="5">
        <v>3293.0495889699946</v>
      </c>
      <c r="D19" s="5">
        <v>3800.6719219200154</v>
      </c>
      <c r="E19" s="5">
        <f t="shared" si="1"/>
        <v>15732.106631020031</v>
      </c>
      <c r="F19" s="5">
        <v>9933.8051851499476</v>
      </c>
      <c r="G19" s="5">
        <v>5826.6182036499913</v>
      </c>
      <c r="H19" s="5">
        <v>3580.5329645500042</v>
      </c>
      <c r="I19" s="5">
        <f t="shared" si="2"/>
        <v>19340.956353349946</v>
      </c>
      <c r="J19" s="5">
        <f t="shared" si="8"/>
        <v>35073.062984369979</v>
      </c>
      <c r="K19" s="5">
        <v>0</v>
      </c>
      <c r="L19" s="5">
        <v>0</v>
      </c>
      <c r="M19" s="5">
        <v>0</v>
      </c>
      <c r="N19" s="5">
        <f t="shared" si="3"/>
        <v>0</v>
      </c>
      <c r="O19" s="5">
        <v>0</v>
      </c>
      <c r="P19" s="5">
        <v>0</v>
      </c>
      <c r="Q19" s="5">
        <v>0</v>
      </c>
      <c r="R19" s="5">
        <f t="shared" si="4"/>
        <v>0</v>
      </c>
      <c r="S19" s="5">
        <f t="shared" si="9"/>
        <v>0</v>
      </c>
      <c r="T19" s="5">
        <f t="shared" si="5"/>
        <v>35073.062984369979</v>
      </c>
      <c r="U19" s="3">
        <f t="shared" si="6"/>
        <v>35073.062984369979</v>
      </c>
      <c r="V19" s="3">
        <f t="shared" si="7"/>
        <v>0</v>
      </c>
    </row>
    <row r="20" spans="1:37" x14ac:dyDescent="0.3">
      <c r="A20" s="9" t="s">
        <v>35</v>
      </c>
      <c r="B20" s="5">
        <v>16627.032087200001</v>
      </c>
      <c r="C20" s="5">
        <v>6514.8171883499981</v>
      </c>
      <c r="D20" s="5">
        <v>7289.6730650599984</v>
      </c>
      <c r="E20" s="5">
        <f t="shared" si="1"/>
        <v>30431.522340609998</v>
      </c>
      <c r="F20" s="5">
        <v>18671.433228580008</v>
      </c>
      <c r="G20" s="5">
        <v>9019.2587011299947</v>
      </c>
      <c r="H20" s="5">
        <v>8309.6688902399983</v>
      </c>
      <c r="I20" s="5">
        <f t="shared" si="2"/>
        <v>36000.360819950001</v>
      </c>
      <c r="J20" s="5">
        <f t="shared" si="8"/>
        <v>66431.883160559999</v>
      </c>
      <c r="K20" s="5">
        <v>0</v>
      </c>
      <c r="L20" s="5">
        <v>0</v>
      </c>
      <c r="M20" s="5">
        <v>0</v>
      </c>
      <c r="N20" s="5">
        <f t="shared" si="3"/>
        <v>0</v>
      </c>
      <c r="O20" s="5">
        <v>0</v>
      </c>
      <c r="P20" s="5">
        <v>0</v>
      </c>
      <c r="Q20" s="5">
        <v>0</v>
      </c>
      <c r="R20" s="5">
        <f t="shared" si="4"/>
        <v>0</v>
      </c>
      <c r="S20" s="5">
        <f t="shared" si="9"/>
        <v>0</v>
      </c>
      <c r="T20" s="5">
        <f t="shared" si="5"/>
        <v>66431.883160559999</v>
      </c>
      <c r="U20" s="3">
        <f t="shared" si="6"/>
        <v>66431.883160559984</v>
      </c>
      <c r="V20" s="3">
        <f t="shared" si="7"/>
        <v>0</v>
      </c>
    </row>
    <row r="21" spans="1:37" x14ac:dyDescent="0.3">
      <c r="A21" s="9" t="s">
        <v>36</v>
      </c>
      <c r="B21" s="5">
        <v>1217.7088262400027</v>
      </c>
      <c r="C21" s="5">
        <v>534.49548356999912</v>
      </c>
      <c r="D21" s="5">
        <v>753.09021255999824</v>
      </c>
      <c r="E21" s="5">
        <f t="shared" si="1"/>
        <v>2505.2945223699999</v>
      </c>
      <c r="F21" s="5">
        <v>2121.1619852299991</v>
      </c>
      <c r="G21" s="5">
        <v>630.27085233000059</v>
      </c>
      <c r="H21" s="5">
        <v>595.34323056000017</v>
      </c>
      <c r="I21" s="5">
        <f t="shared" si="2"/>
        <v>3346.7760681199998</v>
      </c>
      <c r="J21" s="5">
        <f t="shared" si="8"/>
        <v>5852.0705904899996</v>
      </c>
      <c r="K21" s="5">
        <v>0</v>
      </c>
      <c r="L21" s="5">
        <v>0</v>
      </c>
      <c r="M21" s="5">
        <v>0</v>
      </c>
      <c r="N21" s="5">
        <f t="shared" si="3"/>
        <v>0</v>
      </c>
      <c r="O21" s="5">
        <v>0</v>
      </c>
      <c r="P21" s="5">
        <v>0</v>
      </c>
      <c r="Q21" s="5">
        <v>0</v>
      </c>
      <c r="R21" s="5">
        <f t="shared" si="4"/>
        <v>0</v>
      </c>
      <c r="S21" s="5">
        <f t="shared" si="9"/>
        <v>0</v>
      </c>
      <c r="T21" s="5">
        <f t="shared" si="5"/>
        <v>5852.0705904899996</v>
      </c>
      <c r="U21" s="3">
        <f t="shared" si="6"/>
        <v>5852.0705904899996</v>
      </c>
      <c r="V21" s="3">
        <f t="shared" si="7"/>
        <v>0</v>
      </c>
    </row>
    <row r="22" spans="1:37" x14ac:dyDescent="0.3">
      <c r="A22" s="9" t="s">
        <v>37</v>
      </c>
      <c r="B22" s="31">
        <v>13153.747728209933</v>
      </c>
      <c r="C22" s="31">
        <v>6820.8274526100022</v>
      </c>
      <c r="D22" s="31">
        <v>6380.0834292700101</v>
      </c>
      <c r="E22" s="31">
        <f t="shared" si="1"/>
        <v>26354.658610089944</v>
      </c>
      <c r="F22" s="31">
        <v>16137.615414290047</v>
      </c>
      <c r="G22" s="31">
        <v>10555.15505241</v>
      </c>
      <c r="H22" s="31">
        <v>6824.6711060699936</v>
      </c>
      <c r="I22" s="31">
        <f t="shared" si="2"/>
        <v>33517.44157277004</v>
      </c>
      <c r="J22" s="31">
        <f t="shared" si="8"/>
        <v>59872.100182859984</v>
      </c>
      <c r="K22" s="31">
        <v>0</v>
      </c>
      <c r="L22" s="31">
        <v>0</v>
      </c>
      <c r="M22" s="31">
        <v>0</v>
      </c>
      <c r="N22" s="31">
        <f t="shared" si="3"/>
        <v>0</v>
      </c>
      <c r="O22" s="31">
        <v>0</v>
      </c>
      <c r="P22" s="31">
        <v>0</v>
      </c>
      <c r="Q22" s="31">
        <v>0</v>
      </c>
      <c r="R22" s="31">
        <f t="shared" si="4"/>
        <v>0</v>
      </c>
      <c r="S22" s="31">
        <f t="shared" si="9"/>
        <v>0</v>
      </c>
      <c r="T22" s="31">
        <f t="shared" si="5"/>
        <v>59872.100182859984</v>
      </c>
      <c r="U22" s="3">
        <f t="shared" si="6"/>
        <v>59872.100182859991</v>
      </c>
      <c r="V22" s="3">
        <f t="shared" si="7"/>
        <v>0</v>
      </c>
    </row>
    <row r="23" spans="1:37" x14ac:dyDescent="0.3">
      <c r="A23" s="9" t="s">
        <v>38</v>
      </c>
      <c r="B23" s="31"/>
      <c r="C23" s="31"/>
      <c r="D23" s="31"/>
      <c r="E23" s="31"/>
      <c r="F23" s="31"/>
      <c r="G23" s="31"/>
      <c r="H23" s="31"/>
      <c r="I23" s="31"/>
      <c r="J23" s="31">
        <f t="shared" si="8"/>
        <v>0</v>
      </c>
      <c r="K23" s="31"/>
      <c r="L23" s="31"/>
      <c r="M23" s="31"/>
      <c r="N23" s="31"/>
      <c r="O23" s="31"/>
      <c r="P23" s="31"/>
      <c r="Q23" s="31"/>
      <c r="R23" s="31"/>
      <c r="S23" s="31">
        <f t="shared" si="9"/>
        <v>0</v>
      </c>
      <c r="T23" s="32"/>
      <c r="U23" s="3">
        <f t="shared" si="6"/>
        <v>0</v>
      </c>
      <c r="V23" s="3">
        <f t="shared" si="7"/>
        <v>0</v>
      </c>
    </row>
    <row r="24" spans="1:37" x14ac:dyDescent="0.3">
      <c r="A24" s="9" t="s">
        <v>39</v>
      </c>
      <c r="B24" s="5">
        <v>918.32117871000048</v>
      </c>
      <c r="C24" s="5">
        <v>303.18551511000004</v>
      </c>
      <c r="D24" s="5">
        <v>424.96344237999983</v>
      </c>
      <c r="E24" s="5">
        <f t="shared" si="1"/>
        <v>1646.4701362000003</v>
      </c>
      <c r="F24" s="5">
        <v>1194.6579171700037</v>
      </c>
      <c r="G24" s="5">
        <v>573.38005212000155</v>
      </c>
      <c r="H24" s="5">
        <v>365.30357185999941</v>
      </c>
      <c r="I24" s="5">
        <f t="shared" si="2"/>
        <v>2133.3415411500046</v>
      </c>
      <c r="J24" s="5">
        <f t="shared" si="8"/>
        <v>3779.8116773500051</v>
      </c>
      <c r="K24" s="5">
        <v>0</v>
      </c>
      <c r="L24" s="5">
        <v>0</v>
      </c>
      <c r="M24" s="5">
        <v>0</v>
      </c>
      <c r="N24" s="5">
        <f t="shared" si="3"/>
        <v>0</v>
      </c>
      <c r="O24" s="5">
        <v>0</v>
      </c>
      <c r="P24" s="5">
        <v>0</v>
      </c>
      <c r="Q24" s="5">
        <v>0</v>
      </c>
      <c r="R24" s="5">
        <f t="shared" si="4"/>
        <v>0</v>
      </c>
      <c r="S24" s="5">
        <f t="shared" si="9"/>
        <v>0</v>
      </c>
      <c r="T24" s="5">
        <f>+J24+S24</f>
        <v>3779.8116773500051</v>
      </c>
      <c r="U24" s="3">
        <f t="shared" si="6"/>
        <v>3779.8116773500046</v>
      </c>
      <c r="V24" s="3">
        <f t="shared" si="7"/>
        <v>0</v>
      </c>
    </row>
    <row r="25" spans="1:37" ht="16.5" x14ac:dyDescent="0.3">
      <c r="A25" s="9" t="s">
        <v>40</v>
      </c>
      <c r="B25" s="5">
        <v>199911.86940451991</v>
      </c>
      <c r="C25" s="5">
        <v>95649.153119909985</v>
      </c>
      <c r="D25" s="5">
        <v>107057.74208227001</v>
      </c>
      <c r="E25" s="5">
        <f t="shared" si="1"/>
        <v>402618.76460669993</v>
      </c>
      <c r="F25" s="5">
        <v>239360.95051856994</v>
      </c>
      <c r="G25" s="5">
        <v>164033.51241733995</v>
      </c>
      <c r="H25" s="5">
        <v>116575.62488985003</v>
      </c>
      <c r="I25" s="5">
        <f t="shared" si="2"/>
        <v>519970.0878257599</v>
      </c>
      <c r="J25" s="5">
        <f t="shared" si="8"/>
        <v>922588.85243245983</v>
      </c>
      <c r="K25" s="5">
        <v>0</v>
      </c>
      <c r="L25" s="5">
        <v>0</v>
      </c>
      <c r="M25" s="5">
        <v>0</v>
      </c>
      <c r="N25" s="5">
        <f t="shared" si="3"/>
        <v>0</v>
      </c>
      <c r="O25" s="5">
        <v>0</v>
      </c>
      <c r="P25" s="5">
        <v>0</v>
      </c>
      <c r="Q25" s="5">
        <v>0</v>
      </c>
      <c r="R25" s="5">
        <f t="shared" si="4"/>
        <v>0</v>
      </c>
      <c r="S25" s="5">
        <f t="shared" si="9"/>
        <v>0</v>
      </c>
      <c r="T25" s="5">
        <f>+J25+S25</f>
        <v>922588.85243245983</v>
      </c>
      <c r="U25" s="3">
        <f t="shared" si="6"/>
        <v>922588.85243245983</v>
      </c>
      <c r="V25" s="3">
        <f t="shared" si="7"/>
        <v>0</v>
      </c>
    </row>
    <row r="26" spans="1:37" x14ac:dyDescent="0.3">
      <c r="U26" s="3">
        <f t="shared" si="6"/>
        <v>0</v>
      </c>
      <c r="V26" s="3">
        <f t="shared" si="7"/>
        <v>0</v>
      </c>
    </row>
    <row r="27" spans="1:37" s="13" customFormat="1" x14ac:dyDescent="0.3">
      <c r="A27" s="13" t="s">
        <v>41</v>
      </c>
      <c r="B27" s="2">
        <f>SUM(B28:B34)</f>
        <v>1017.7743947399989</v>
      </c>
      <c r="C27" s="2">
        <f t="shared" ref="C27:T27" si="10">SUM(C28:C34)</f>
        <v>609.79474001999984</v>
      </c>
      <c r="D27" s="2">
        <f t="shared" si="10"/>
        <v>706.79688885999985</v>
      </c>
      <c r="E27" s="2">
        <f t="shared" si="10"/>
        <v>2334.3660236199985</v>
      </c>
      <c r="F27" s="2">
        <f t="shared" si="10"/>
        <v>1128.559482029998</v>
      </c>
      <c r="G27" s="2">
        <f t="shared" si="10"/>
        <v>792.81424832999937</v>
      </c>
      <c r="H27" s="2">
        <f t="shared" si="10"/>
        <v>722.67502202500009</v>
      </c>
      <c r="I27" s="2">
        <f t="shared" si="10"/>
        <v>2644.0487523849974</v>
      </c>
      <c r="J27" s="2">
        <f t="shared" si="10"/>
        <v>4978.4147760049964</v>
      </c>
      <c r="K27" s="2">
        <f t="shared" si="10"/>
        <v>0</v>
      </c>
      <c r="L27" s="2">
        <f t="shared" si="10"/>
        <v>0</v>
      </c>
      <c r="M27" s="2">
        <f t="shared" si="10"/>
        <v>0</v>
      </c>
      <c r="N27" s="2">
        <f t="shared" si="10"/>
        <v>0</v>
      </c>
      <c r="O27" s="2">
        <f t="shared" si="10"/>
        <v>0</v>
      </c>
      <c r="P27" s="2">
        <f t="shared" si="10"/>
        <v>0</v>
      </c>
      <c r="Q27" s="2">
        <f t="shared" si="10"/>
        <v>0</v>
      </c>
      <c r="R27" s="2">
        <f t="shared" si="10"/>
        <v>0</v>
      </c>
      <c r="S27" s="2">
        <f t="shared" si="10"/>
        <v>0</v>
      </c>
      <c r="T27" s="2">
        <f t="shared" si="10"/>
        <v>4978.4147760049964</v>
      </c>
      <c r="U27" s="3">
        <f t="shared" si="6"/>
        <v>4978.4147760049964</v>
      </c>
      <c r="V27" s="3">
        <f t="shared" si="7"/>
        <v>0</v>
      </c>
      <c r="W27" s="2"/>
      <c r="X27" s="2"/>
      <c r="Y27" s="2"/>
      <c r="Z27" s="2"/>
      <c r="AA27" s="2"/>
      <c r="AB27" s="2"/>
      <c r="AC27" s="2"/>
      <c r="AD27" s="2"/>
      <c r="AE27" s="2"/>
      <c r="AF27" s="2"/>
      <c r="AG27" s="2"/>
      <c r="AH27" s="2"/>
      <c r="AI27" s="2"/>
      <c r="AJ27" s="2"/>
      <c r="AK27" s="2"/>
    </row>
    <row r="28" spans="1:37" x14ac:dyDescent="0.3">
      <c r="A28" s="9" t="s">
        <v>42</v>
      </c>
      <c r="B28" s="5">
        <v>58.250124989999712</v>
      </c>
      <c r="C28" s="5">
        <v>33.007534630000002</v>
      </c>
      <c r="D28" s="5">
        <v>83.240083550000008</v>
      </c>
      <c r="E28" s="5">
        <f t="shared" ref="E28:E34" si="11">+B28+C28+D28</f>
        <v>174.49774316999972</v>
      </c>
      <c r="F28" s="5">
        <v>92.023689549999744</v>
      </c>
      <c r="G28" s="5">
        <v>71.014920429999989</v>
      </c>
      <c r="H28" s="5">
        <v>77.975651089999985</v>
      </c>
      <c r="I28" s="5">
        <f t="shared" ref="I28:I34" si="12">+F28+G28+H28</f>
        <v>241.01426106999972</v>
      </c>
      <c r="J28" s="5">
        <f t="shared" si="8"/>
        <v>415.51200423999944</v>
      </c>
      <c r="K28" s="5">
        <v>0</v>
      </c>
      <c r="L28" s="5">
        <v>0</v>
      </c>
      <c r="M28" s="5">
        <v>0</v>
      </c>
      <c r="N28" s="5">
        <f t="shared" ref="N28:N34" si="13">+K28+L28+M28</f>
        <v>0</v>
      </c>
      <c r="O28" s="5">
        <v>0</v>
      </c>
      <c r="P28" s="5">
        <v>0</v>
      </c>
      <c r="Q28" s="5">
        <v>0</v>
      </c>
      <c r="R28" s="5">
        <f t="shared" ref="R28:R34" si="14">+O28+P28+Q28</f>
        <v>0</v>
      </c>
      <c r="S28" s="5">
        <f>+N28+R28</f>
        <v>0</v>
      </c>
      <c r="T28" s="5">
        <f>+J28+S28</f>
        <v>415.51200423999944</v>
      </c>
      <c r="U28" s="3">
        <f t="shared" si="6"/>
        <v>415.51200423999938</v>
      </c>
      <c r="V28" s="3">
        <f t="shared" si="7"/>
        <v>0</v>
      </c>
    </row>
    <row r="29" spans="1:37" x14ac:dyDescent="0.3">
      <c r="A29" s="9" t="s">
        <v>43</v>
      </c>
      <c r="B29" s="31">
        <v>137.18305945</v>
      </c>
      <c r="C29" s="31">
        <v>107.86028169999999</v>
      </c>
      <c r="D29" s="31">
        <v>94.048953099999991</v>
      </c>
      <c r="E29" s="31">
        <f t="shared" si="11"/>
        <v>339.09229425000001</v>
      </c>
      <c r="F29" s="31">
        <v>156.2246673199999</v>
      </c>
      <c r="G29" s="31">
        <v>97.923441429999983</v>
      </c>
      <c r="H29" s="31">
        <v>120.21023868000003</v>
      </c>
      <c r="I29" s="31">
        <f t="shared" si="12"/>
        <v>374.35834742999992</v>
      </c>
      <c r="J29" s="31">
        <f t="shared" si="8"/>
        <v>713.45064167999999</v>
      </c>
      <c r="K29" s="31">
        <v>0</v>
      </c>
      <c r="L29" s="31">
        <v>0</v>
      </c>
      <c r="M29" s="31">
        <v>0</v>
      </c>
      <c r="N29" s="31">
        <f t="shared" si="13"/>
        <v>0</v>
      </c>
      <c r="O29" s="31">
        <v>0</v>
      </c>
      <c r="P29" s="31">
        <v>0</v>
      </c>
      <c r="Q29" s="31">
        <v>0</v>
      </c>
      <c r="R29" s="31">
        <f t="shared" si="14"/>
        <v>0</v>
      </c>
      <c r="S29" s="31">
        <f t="shared" ref="S29:S34" si="15">+N29+R29</f>
        <v>0</v>
      </c>
      <c r="T29" s="31">
        <f>+J29+S29</f>
        <v>713.45064167999999</v>
      </c>
      <c r="U29" s="3">
        <f t="shared" si="6"/>
        <v>713.45064167999999</v>
      </c>
      <c r="V29" s="3">
        <f t="shared" si="7"/>
        <v>0</v>
      </c>
    </row>
    <row r="30" spans="1:37" x14ac:dyDescent="0.3">
      <c r="A30" s="9" t="s">
        <v>44</v>
      </c>
      <c r="B30" s="31"/>
      <c r="C30" s="31"/>
      <c r="D30" s="31"/>
      <c r="E30" s="31"/>
      <c r="F30" s="31"/>
      <c r="G30" s="31"/>
      <c r="H30" s="31"/>
      <c r="I30" s="31"/>
      <c r="J30" s="31">
        <f t="shared" si="8"/>
        <v>0</v>
      </c>
      <c r="K30" s="31"/>
      <c r="L30" s="31"/>
      <c r="M30" s="31"/>
      <c r="N30" s="31"/>
      <c r="O30" s="31"/>
      <c r="P30" s="31"/>
      <c r="Q30" s="31"/>
      <c r="R30" s="31"/>
      <c r="S30" s="31">
        <f t="shared" si="15"/>
        <v>0</v>
      </c>
      <c r="T30" s="31"/>
      <c r="U30" s="3">
        <f t="shared" si="6"/>
        <v>0</v>
      </c>
      <c r="V30" s="3">
        <f t="shared" si="7"/>
        <v>0</v>
      </c>
    </row>
    <row r="31" spans="1:37" x14ac:dyDescent="0.3">
      <c r="A31" s="9" t="s">
        <v>45</v>
      </c>
      <c r="B31" s="5">
        <v>157.0989621600001</v>
      </c>
      <c r="C31" s="5">
        <v>111.22213257000001</v>
      </c>
      <c r="D31" s="5">
        <v>135.37818475999995</v>
      </c>
      <c r="E31" s="5">
        <f t="shared" si="11"/>
        <v>403.69927949000009</v>
      </c>
      <c r="F31" s="5">
        <v>186.68667861000017</v>
      </c>
      <c r="G31" s="5">
        <v>126.62899036000007</v>
      </c>
      <c r="H31" s="5">
        <v>113.51046518000005</v>
      </c>
      <c r="I31" s="5">
        <f t="shared" si="12"/>
        <v>426.82613415000031</v>
      </c>
      <c r="J31" s="5">
        <f t="shared" si="8"/>
        <v>830.52541364000035</v>
      </c>
      <c r="K31" s="5">
        <v>0</v>
      </c>
      <c r="L31" s="5">
        <v>0</v>
      </c>
      <c r="M31" s="5">
        <v>0</v>
      </c>
      <c r="N31" s="5">
        <f t="shared" si="13"/>
        <v>0</v>
      </c>
      <c r="O31" s="5">
        <v>0</v>
      </c>
      <c r="P31" s="5">
        <v>0</v>
      </c>
      <c r="Q31" s="5">
        <v>0</v>
      </c>
      <c r="R31" s="5">
        <f t="shared" si="14"/>
        <v>0</v>
      </c>
      <c r="S31" s="5">
        <f t="shared" si="15"/>
        <v>0</v>
      </c>
      <c r="T31" s="5">
        <f>+J31+S31</f>
        <v>830.52541364000035</v>
      </c>
      <c r="U31" s="3">
        <f t="shared" si="6"/>
        <v>830.52541364000047</v>
      </c>
      <c r="V31" s="3">
        <f t="shared" si="7"/>
        <v>0</v>
      </c>
    </row>
    <row r="32" spans="1:37" x14ac:dyDescent="0.3">
      <c r="A32" s="9" t="s">
        <v>46</v>
      </c>
      <c r="B32" s="5">
        <v>41.363754959999987</v>
      </c>
      <c r="C32" s="5">
        <v>38.265896039999994</v>
      </c>
      <c r="D32" s="5">
        <v>35.38836361000002</v>
      </c>
      <c r="E32" s="5">
        <f t="shared" si="11"/>
        <v>115.01801460999999</v>
      </c>
      <c r="F32" s="5">
        <v>57.401909930000024</v>
      </c>
      <c r="G32" s="5">
        <v>49.370352050000022</v>
      </c>
      <c r="H32" s="5">
        <v>45.997909040000003</v>
      </c>
      <c r="I32" s="5">
        <f t="shared" si="12"/>
        <v>152.77017102000005</v>
      </c>
      <c r="J32" s="5">
        <f t="shared" si="8"/>
        <v>267.78818563000004</v>
      </c>
      <c r="K32" s="5">
        <v>0</v>
      </c>
      <c r="L32" s="5">
        <v>0</v>
      </c>
      <c r="M32" s="5">
        <v>0</v>
      </c>
      <c r="N32" s="5">
        <f t="shared" si="13"/>
        <v>0</v>
      </c>
      <c r="O32" s="5">
        <v>0</v>
      </c>
      <c r="P32" s="5">
        <v>0</v>
      </c>
      <c r="Q32" s="5">
        <v>0</v>
      </c>
      <c r="R32" s="5">
        <f t="shared" si="14"/>
        <v>0</v>
      </c>
      <c r="S32" s="5">
        <f t="shared" si="15"/>
        <v>0</v>
      </c>
      <c r="T32" s="5">
        <f>+J32+S32</f>
        <v>267.78818563000004</v>
      </c>
      <c r="U32" s="3">
        <f t="shared" si="6"/>
        <v>267.78818563000004</v>
      </c>
      <c r="V32" s="3">
        <f t="shared" si="7"/>
        <v>0</v>
      </c>
    </row>
    <row r="33" spans="1:37" x14ac:dyDescent="0.3">
      <c r="A33" s="9" t="s">
        <v>47</v>
      </c>
      <c r="B33" s="5">
        <v>69.878107319999984</v>
      </c>
      <c r="C33" s="5">
        <v>40.47699613999999</v>
      </c>
      <c r="D33" s="5">
        <v>37.914199860000004</v>
      </c>
      <c r="E33" s="5">
        <f t="shared" si="11"/>
        <v>148.26930331999998</v>
      </c>
      <c r="F33" s="5">
        <v>59.703038630000009</v>
      </c>
      <c r="G33" s="5">
        <v>55.00498486999998</v>
      </c>
      <c r="H33" s="5">
        <v>55.184706679999991</v>
      </c>
      <c r="I33" s="5">
        <f t="shared" si="12"/>
        <v>169.89273018</v>
      </c>
      <c r="J33" s="5">
        <f t="shared" si="8"/>
        <v>318.16203350000001</v>
      </c>
      <c r="K33" s="5">
        <v>0</v>
      </c>
      <c r="L33" s="5">
        <v>0</v>
      </c>
      <c r="M33" s="5">
        <v>0</v>
      </c>
      <c r="N33" s="5">
        <f t="shared" si="13"/>
        <v>0</v>
      </c>
      <c r="O33" s="5">
        <v>0</v>
      </c>
      <c r="P33" s="5">
        <v>0</v>
      </c>
      <c r="Q33" s="5">
        <v>0</v>
      </c>
      <c r="R33" s="5">
        <f t="shared" si="14"/>
        <v>0</v>
      </c>
      <c r="S33" s="5">
        <f t="shared" si="15"/>
        <v>0</v>
      </c>
      <c r="T33" s="5">
        <f>+J33+S33</f>
        <v>318.16203350000001</v>
      </c>
      <c r="U33" s="3">
        <f t="shared" si="6"/>
        <v>318.16203349999995</v>
      </c>
      <c r="V33" s="3">
        <f t="shared" si="7"/>
        <v>0</v>
      </c>
    </row>
    <row r="34" spans="1:37" x14ac:dyDescent="0.3">
      <c r="A34" s="9" t="s">
        <v>48</v>
      </c>
      <c r="B34" s="5">
        <v>554.00038585999914</v>
      </c>
      <c r="C34" s="5">
        <v>278.96189893999986</v>
      </c>
      <c r="D34" s="5">
        <v>320.82710397999989</v>
      </c>
      <c r="E34" s="5">
        <f t="shared" si="11"/>
        <v>1153.7893887799989</v>
      </c>
      <c r="F34" s="5">
        <v>576.51949798999829</v>
      </c>
      <c r="G34" s="5">
        <v>392.87155918999923</v>
      </c>
      <c r="H34" s="5">
        <v>309.79605135499997</v>
      </c>
      <c r="I34" s="5">
        <f t="shared" si="12"/>
        <v>1279.1871085349974</v>
      </c>
      <c r="J34" s="5">
        <f t="shared" si="8"/>
        <v>2432.9764973149963</v>
      </c>
      <c r="K34" s="5">
        <v>0</v>
      </c>
      <c r="L34" s="5">
        <v>0</v>
      </c>
      <c r="M34" s="5">
        <v>0</v>
      </c>
      <c r="N34" s="5">
        <f t="shared" si="13"/>
        <v>0</v>
      </c>
      <c r="O34" s="5">
        <v>0</v>
      </c>
      <c r="P34" s="5">
        <v>0</v>
      </c>
      <c r="Q34" s="5">
        <v>0</v>
      </c>
      <c r="R34" s="5">
        <f t="shared" si="14"/>
        <v>0</v>
      </c>
      <c r="S34" s="5">
        <f t="shared" si="15"/>
        <v>0</v>
      </c>
      <c r="T34" s="5">
        <f>+J34+S34</f>
        <v>2432.9764973149963</v>
      </c>
      <c r="U34" s="3">
        <f t="shared" si="6"/>
        <v>2432.9764973149963</v>
      </c>
      <c r="V34" s="3">
        <f t="shared" si="7"/>
        <v>0</v>
      </c>
    </row>
    <row r="35" spans="1:37" x14ac:dyDescent="0.3">
      <c r="U35" s="3">
        <f t="shared" si="6"/>
        <v>0</v>
      </c>
      <c r="V35" s="3">
        <f t="shared" si="7"/>
        <v>0</v>
      </c>
    </row>
    <row r="36" spans="1:37" s="13" customFormat="1" x14ac:dyDescent="0.3">
      <c r="A36" s="13" t="s">
        <v>49</v>
      </c>
      <c r="B36" s="2">
        <f>SUM(B37:B40)</f>
        <v>2330.1285006090002</v>
      </c>
      <c r="C36" s="2">
        <f t="shared" ref="C36:T36" si="16">SUM(C37:C40)</f>
        <v>1547.3492629800003</v>
      </c>
      <c r="D36" s="2">
        <f t="shared" si="16"/>
        <v>1599.7606926000003</v>
      </c>
      <c r="E36" s="2">
        <f t="shared" si="16"/>
        <v>5477.2384561890012</v>
      </c>
      <c r="F36" s="2">
        <f t="shared" si="16"/>
        <v>2628.8623867599999</v>
      </c>
      <c r="G36" s="2">
        <f t="shared" si="16"/>
        <v>1887.3640265299998</v>
      </c>
      <c r="H36" s="2">
        <f t="shared" si="16"/>
        <v>1481.4778027399993</v>
      </c>
      <c r="I36" s="2">
        <f t="shared" si="16"/>
        <v>5997.7042160299989</v>
      </c>
      <c r="J36" s="2">
        <f t="shared" si="16"/>
        <v>11474.942672219</v>
      </c>
      <c r="K36" s="2">
        <f t="shared" si="16"/>
        <v>0</v>
      </c>
      <c r="L36" s="2">
        <f t="shared" si="16"/>
        <v>0</v>
      </c>
      <c r="M36" s="2">
        <f t="shared" si="16"/>
        <v>0</v>
      </c>
      <c r="N36" s="2">
        <f t="shared" si="16"/>
        <v>0</v>
      </c>
      <c r="O36" s="2">
        <f t="shared" si="16"/>
        <v>0</v>
      </c>
      <c r="P36" s="2">
        <f t="shared" si="16"/>
        <v>0</v>
      </c>
      <c r="Q36" s="2">
        <f t="shared" si="16"/>
        <v>0</v>
      </c>
      <c r="R36" s="2">
        <f t="shared" si="16"/>
        <v>0</v>
      </c>
      <c r="S36" s="2">
        <f t="shared" si="16"/>
        <v>0</v>
      </c>
      <c r="T36" s="2">
        <f t="shared" si="16"/>
        <v>11474.942672219</v>
      </c>
      <c r="U36" s="3">
        <f t="shared" si="6"/>
        <v>11474.942672219</v>
      </c>
      <c r="V36" s="3">
        <f t="shared" si="7"/>
        <v>0</v>
      </c>
      <c r="W36" s="2"/>
      <c r="X36" s="2"/>
      <c r="Y36" s="2"/>
      <c r="Z36" s="2"/>
      <c r="AA36" s="2"/>
      <c r="AB36" s="2"/>
      <c r="AC36" s="2"/>
      <c r="AD36" s="2"/>
      <c r="AE36" s="2"/>
      <c r="AF36" s="2"/>
      <c r="AG36" s="2"/>
      <c r="AH36" s="2"/>
      <c r="AI36" s="2"/>
      <c r="AJ36" s="2"/>
      <c r="AK36" s="2"/>
    </row>
    <row r="37" spans="1:37" x14ac:dyDescent="0.3">
      <c r="A37" s="9" t="s">
        <v>50</v>
      </c>
      <c r="B37" s="5">
        <v>333.87699580400005</v>
      </c>
      <c r="C37" s="5">
        <v>179.52341949000032</v>
      </c>
      <c r="D37" s="5">
        <v>229.03654002000027</v>
      </c>
      <c r="E37" s="5">
        <f t="shared" ref="E37:E40" si="17">+B37+C37+D37</f>
        <v>742.43695531400067</v>
      </c>
      <c r="F37" s="5">
        <v>337.50433663000013</v>
      </c>
      <c r="G37" s="5">
        <v>287.72740154000007</v>
      </c>
      <c r="H37" s="5">
        <v>184.93825934499992</v>
      </c>
      <c r="I37" s="5">
        <f t="shared" ref="I37:I40" si="18">+F37+G37+H37</f>
        <v>810.16999751500009</v>
      </c>
      <c r="J37" s="5">
        <f t="shared" si="8"/>
        <v>1552.6069528290009</v>
      </c>
      <c r="K37" s="5">
        <v>0</v>
      </c>
      <c r="L37" s="5">
        <v>0</v>
      </c>
      <c r="M37" s="5">
        <v>0</v>
      </c>
      <c r="N37" s="5">
        <f t="shared" ref="N37:N40" si="19">+K37+L37+M37</f>
        <v>0</v>
      </c>
      <c r="O37" s="5">
        <v>0</v>
      </c>
      <c r="P37" s="5">
        <v>0</v>
      </c>
      <c r="Q37" s="5">
        <v>0</v>
      </c>
      <c r="R37" s="5">
        <f t="shared" ref="R37:R40" si="20">+O37+P37+Q37</f>
        <v>0</v>
      </c>
      <c r="S37" s="5">
        <f t="shared" ref="S37:S40" si="21">+N37+R37</f>
        <v>0</v>
      </c>
      <c r="T37" s="5">
        <f>+J37+S37</f>
        <v>1552.6069528290009</v>
      </c>
      <c r="U37" s="3">
        <f t="shared" si="6"/>
        <v>1552.6069528290009</v>
      </c>
      <c r="V37" s="3">
        <f t="shared" si="7"/>
        <v>0</v>
      </c>
    </row>
    <row r="38" spans="1:37" x14ac:dyDescent="0.3">
      <c r="A38" s="9" t="s">
        <v>51</v>
      </c>
      <c r="B38" s="5">
        <v>390.65737437399997</v>
      </c>
      <c r="C38" s="5">
        <v>235.63575146999989</v>
      </c>
      <c r="D38" s="5">
        <v>206.25098127999999</v>
      </c>
      <c r="E38" s="5">
        <f t="shared" si="17"/>
        <v>832.54410712399988</v>
      </c>
      <c r="F38" s="5">
        <v>371.34409950999992</v>
      </c>
      <c r="G38" s="5">
        <v>233.11753931999999</v>
      </c>
      <c r="H38" s="5">
        <v>198.77168402999979</v>
      </c>
      <c r="I38" s="5">
        <f t="shared" si="18"/>
        <v>803.23332285999959</v>
      </c>
      <c r="J38" s="5">
        <f t="shared" si="8"/>
        <v>1635.7774299839994</v>
      </c>
      <c r="K38" s="5">
        <v>0</v>
      </c>
      <c r="L38" s="5">
        <v>0</v>
      </c>
      <c r="M38" s="5">
        <v>0</v>
      </c>
      <c r="N38" s="5">
        <f t="shared" si="19"/>
        <v>0</v>
      </c>
      <c r="O38" s="5">
        <v>0</v>
      </c>
      <c r="P38" s="5">
        <v>0</v>
      </c>
      <c r="Q38" s="5">
        <v>0</v>
      </c>
      <c r="R38" s="5">
        <f t="shared" si="20"/>
        <v>0</v>
      </c>
      <c r="S38" s="5">
        <f t="shared" si="21"/>
        <v>0</v>
      </c>
      <c r="T38" s="5">
        <f>+J38+S38</f>
        <v>1635.7774299839994</v>
      </c>
      <c r="U38" s="3">
        <f t="shared" si="6"/>
        <v>1635.7774299839996</v>
      </c>
      <c r="V38" s="3">
        <f t="shared" si="7"/>
        <v>0</v>
      </c>
    </row>
    <row r="39" spans="1:37" x14ac:dyDescent="0.3">
      <c r="A39" s="9" t="s">
        <v>52</v>
      </c>
      <c r="B39" s="5">
        <v>477.14510504100002</v>
      </c>
      <c r="C39" s="5">
        <v>352.98162107000002</v>
      </c>
      <c r="D39" s="5">
        <v>327.3579037099999</v>
      </c>
      <c r="E39" s="5">
        <f t="shared" si="17"/>
        <v>1157.484629821</v>
      </c>
      <c r="F39" s="5">
        <v>518.87507531000074</v>
      </c>
      <c r="G39" s="5">
        <v>379.88308079000012</v>
      </c>
      <c r="H39" s="5">
        <v>406.83997752499988</v>
      </c>
      <c r="I39" s="5">
        <f t="shared" si="18"/>
        <v>1305.5981336250006</v>
      </c>
      <c r="J39" s="5">
        <f t="shared" si="8"/>
        <v>2463.0827634460006</v>
      </c>
      <c r="K39" s="5">
        <v>0</v>
      </c>
      <c r="L39" s="5">
        <v>0</v>
      </c>
      <c r="M39" s="5">
        <v>0</v>
      </c>
      <c r="N39" s="5">
        <f t="shared" si="19"/>
        <v>0</v>
      </c>
      <c r="O39" s="5">
        <v>0</v>
      </c>
      <c r="P39" s="5">
        <v>0</v>
      </c>
      <c r="Q39" s="5">
        <v>0</v>
      </c>
      <c r="R39" s="5">
        <f t="shared" si="20"/>
        <v>0</v>
      </c>
      <c r="S39" s="5">
        <f t="shared" si="21"/>
        <v>0</v>
      </c>
      <c r="T39" s="5">
        <f>+J39+S39</f>
        <v>2463.0827634460006</v>
      </c>
      <c r="U39" s="3">
        <f t="shared" si="6"/>
        <v>2463.0827634460011</v>
      </c>
      <c r="V39" s="3">
        <f t="shared" si="7"/>
        <v>0</v>
      </c>
    </row>
    <row r="40" spans="1:37" x14ac:dyDescent="0.3">
      <c r="A40" s="9" t="s">
        <v>53</v>
      </c>
      <c r="B40" s="5">
        <v>1128.4490253900003</v>
      </c>
      <c r="C40" s="5">
        <v>779.20847094999999</v>
      </c>
      <c r="D40" s="5">
        <v>837.11526759000003</v>
      </c>
      <c r="E40" s="5">
        <f t="shared" si="17"/>
        <v>2744.7727639300001</v>
      </c>
      <c r="F40" s="5">
        <v>1401.1388753099989</v>
      </c>
      <c r="G40" s="5">
        <v>986.63600487999963</v>
      </c>
      <c r="H40" s="5">
        <v>690.92788183999971</v>
      </c>
      <c r="I40" s="5">
        <f t="shared" si="18"/>
        <v>3078.7027620299982</v>
      </c>
      <c r="J40" s="5">
        <f t="shared" si="8"/>
        <v>5823.4755259599988</v>
      </c>
      <c r="K40" s="5">
        <v>0</v>
      </c>
      <c r="L40" s="5">
        <v>0</v>
      </c>
      <c r="M40" s="5">
        <v>0</v>
      </c>
      <c r="N40" s="5">
        <f t="shared" si="19"/>
        <v>0</v>
      </c>
      <c r="O40" s="5">
        <v>0</v>
      </c>
      <c r="P40" s="5">
        <v>0</v>
      </c>
      <c r="Q40" s="5">
        <v>0</v>
      </c>
      <c r="R40" s="5">
        <f t="shared" si="20"/>
        <v>0</v>
      </c>
      <c r="S40" s="5">
        <f t="shared" si="21"/>
        <v>0</v>
      </c>
      <c r="T40" s="5">
        <f>+J40+S40</f>
        <v>5823.4755259599988</v>
      </c>
      <c r="U40" s="3">
        <f t="shared" si="6"/>
        <v>5823.4755259599988</v>
      </c>
      <c r="V40" s="3">
        <f t="shared" si="7"/>
        <v>0</v>
      </c>
    </row>
    <row r="41" spans="1:37" x14ac:dyDescent="0.3">
      <c r="U41" s="3">
        <f t="shared" si="6"/>
        <v>0</v>
      </c>
      <c r="V41" s="3">
        <f t="shared" si="7"/>
        <v>0</v>
      </c>
    </row>
    <row r="42" spans="1:37" s="13" customFormat="1" x14ac:dyDescent="0.3">
      <c r="A42" s="13" t="s">
        <v>54</v>
      </c>
      <c r="B42" s="2">
        <f>SUM(B43:B47)</f>
        <v>1492.4306411899963</v>
      </c>
      <c r="C42" s="2">
        <f t="shared" ref="C42:T42" si="22">SUM(C43:C47)</f>
        <v>1069.5204078399997</v>
      </c>
      <c r="D42" s="2">
        <f t="shared" si="22"/>
        <v>1180.9816533299993</v>
      </c>
      <c r="E42" s="2">
        <f t="shared" si="22"/>
        <v>3742.9327023599958</v>
      </c>
      <c r="F42" s="2">
        <f t="shared" si="22"/>
        <v>1655.2811916299995</v>
      </c>
      <c r="G42" s="2">
        <f t="shared" si="22"/>
        <v>1259.3790281200008</v>
      </c>
      <c r="H42" s="2">
        <f t="shared" si="22"/>
        <v>1097.7166479999994</v>
      </c>
      <c r="I42" s="2">
        <f t="shared" si="22"/>
        <v>4012.3768677499997</v>
      </c>
      <c r="J42" s="2">
        <f t="shared" si="22"/>
        <v>7755.3095701099955</v>
      </c>
      <c r="K42" s="2">
        <f t="shared" si="22"/>
        <v>0</v>
      </c>
      <c r="L42" s="2">
        <f t="shared" si="22"/>
        <v>0</v>
      </c>
      <c r="M42" s="2">
        <f t="shared" si="22"/>
        <v>0</v>
      </c>
      <c r="N42" s="2">
        <f t="shared" si="22"/>
        <v>0</v>
      </c>
      <c r="O42" s="2">
        <f t="shared" si="22"/>
        <v>0</v>
      </c>
      <c r="P42" s="2">
        <f t="shared" si="22"/>
        <v>0</v>
      </c>
      <c r="Q42" s="2">
        <f t="shared" si="22"/>
        <v>0</v>
      </c>
      <c r="R42" s="2">
        <f t="shared" si="22"/>
        <v>0</v>
      </c>
      <c r="S42" s="2">
        <f t="shared" si="22"/>
        <v>0</v>
      </c>
      <c r="T42" s="2">
        <f t="shared" si="22"/>
        <v>7755.3095701099955</v>
      </c>
      <c r="U42" s="3">
        <f t="shared" si="6"/>
        <v>7755.3095701099955</v>
      </c>
      <c r="V42" s="3">
        <f t="shared" si="7"/>
        <v>0</v>
      </c>
      <c r="W42" s="2"/>
      <c r="X42" s="2"/>
      <c r="Y42" s="2"/>
      <c r="Z42" s="2"/>
      <c r="AA42" s="2"/>
      <c r="AB42" s="2"/>
      <c r="AC42" s="2"/>
      <c r="AD42" s="2"/>
      <c r="AE42" s="2"/>
      <c r="AF42" s="2"/>
      <c r="AG42" s="2"/>
      <c r="AH42" s="2"/>
      <c r="AI42" s="2"/>
      <c r="AJ42" s="2"/>
      <c r="AK42" s="2"/>
    </row>
    <row r="43" spans="1:37" x14ac:dyDescent="0.3">
      <c r="A43" s="9" t="s">
        <v>55</v>
      </c>
      <c r="B43" s="31">
        <v>585.44391002999771</v>
      </c>
      <c r="C43" s="31">
        <v>438.40392005999985</v>
      </c>
      <c r="D43" s="31">
        <v>466.6646458300001</v>
      </c>
      <c r="E43" s="31">
        <f t="shared" ref="E43:E47" si="23">+B43+C43+D43</f>
        <v>1490.5124759199978</v>
      </c>
      <c r="F43" s="31">
        <v>608.15494288000048</v>
      </c>
      <c r="G43" s="31">
        <v>485.22950948000027</v>
      </c>
      <c r="H43" s="31">
        <v>440.16234307000008</v>
      </c>
      <c r="I43" s="31">
        <f t="shared" ref="I43:I47" si="24">+F43+G43+H43</f>
        <v>1533.5467954300009</v>
      </c>
      <c r="J43" s="31">
        <f t="shared" si="8"/>
        <v>3024.0592713499987</v>
      </c>
      <c r="K43" s="31">
        <v>0</v>
      </c>
      <c r="L43" s="31">
        <v>0</v>
      </c>
      <c r="M43" s="31">
        <v>0</v>
      </c>
      <c r="N43" s="31">
        <f t="shared" ref="N43:N47" si="25">+K43+L43+M43</f>
        <v>0</v>
      </c>
      <c r="O43" s="31">
        <v>0</v>
      </c>
      <c r="P43" s="31">
        <v>0</v>
      </c>
      <c r="Q43" s="31">
        <v>0</v>
      </c>
      <c r="R43" s="31">
        <f t="shared" ref="R43:R47" si="26">+O43+P43+Q43</f>
        <v>0</v>
      </c>
      <c r="S43" s="31">
        <f>+N43+R43</f>
        <v>0</v>
      </c>
      <c r="T43" s="31">
        <f>+J43+S43</f>
        <v>3024.0592713499987</v>
      </c>
      <c r="U43" s="3">
        <f t="shared" si="6"/>
        <v>3024.0592713499987</v>
      </c>
      <c r="V43" s="3">
        <f t="shared" si="7"/>
        <v>0</v>
      </c>
    </row>
    <row r="44" spans="1:37" x14ac:dyDescent="0.3">
      <c r="A44" s="9" t="s">
        <v>56</v>
      </c>
      <c r="B44" s="31"/>
      <c r="C44" s="31"/>
      <c r="D44" s="31"/>
      <c r="E44" s="31"/>
      <c r="F44" s="31"/>
      <c r="G44" s="31"/>
      <c r="H44" s="31"/>
      <c r="I44" s="31"/>
      <c r="J44" s="31">
        <f t="shared" si="8"/>
        <v>0</v>
      </c>
      <c r="K44" s="31"/>
      <c r="L44" s="31"/>
      <c r="M44" s="31"/>
      <c r="N44" s="31"/>
      <c r="O44" s="31"/>
      <c r="P44" s="31"/>
      <c r="Q44" s="31"/>
      <c r="R44" s="31"/>
      <c r="S44" s="31"/>
      <c r="T44" s="31"/>
      <c r="U44" s="3">
        <f t="shared" si="6"/>
        <v>0</v>
      </c>
      <c r="V44" s="3">
        <f t="shared" si="7"/>
        <v>0</v>
      </c>
    </row>
    <row r="45" spans="1:37" x14ac:dyDescent="0.3">
      <c r="A45" s="9" t="s">
        <v>57</v>
      </c>
      <c r="B45" s="5">
        <v>642.51740257999847</v>
      </c>
      <c r="C45" s="5">
        <v>463.67527195999992</v>
      </c>
      <c r="D45" s="5">
        <v>495.1787822999994</v>
      </c>
      <c r="E45" s="5">
        <f t="shared" si="23"/>
        <v>1601.3714568399978</v>
      </c>
      <c r="F45" s="5">
        <v>775.55091369999866</v>
      </c>
      <c r="G45" s="5">
        <v>565.50801396000054</v>
      </c>
      <c r="H45" s="5">
        <v>476.73945545999948</v>
      </c>
      <c r="I45" s="5">
        <f t="shared" si="24"/>
        <v>1817.7983831199986</v>
      </c>
      <c r="J45" s="5">
        <f t="shared" si="8"/>
        <v>3419.1698399599964</v>
      </c>
      <c r="K45" s="5">
        <v>0</v>
      </c>
      <c r="L45" s="5">
        <v>0</v>
      </c>
      <c r="M45" s="5">
        <v>0</v>
      </c>
      <c r="N45" s="5">
        <f t="shared" si="25"/>
        <v>0</v>
      </c>
      <c r="O45" s="5">
        <v>0</v>
      </c>
      <c r="P45" s="5">
        <v>0</v>
      </c>
      <c r="Q45" s="5">
        <v>0</v>
      </c>
      <c r="R45" s="5">
        <f t="shared" si="26"/>
        <v>0</v>
      </c>
      <c r="S45" s="5">
        <f t="shared" ref="S45:S47" si="27">+N45+R45</f>
        <v>0</v>
      </c>
      <c r="T45" s="5">
        <f>+J45+S45</f>
        <v>3419.1698399599964</v>
      </c>
      <c r="U45" s="3">
        <f t="shared" si="6"/>
        <v>3419.1698399599964</v>
      </c>
      <c r="V45" s="3">
        <f t="shared" si="7"/>
        <v>0</v>
      </c>
    </row>
    <row r="46" spans="1:37" x14ac:dyDescent="0.3">
      <c r="A46" s="9" t="s">
        <v>58</v>
      </c>
      <c r="B46" s="5">
        <v>188.56109845000006</v>
      </c>
      <c r="C46" s="5">
        <v>133.41407425999998</v>
      </c>
      <c r="D46" s="5">
        <v>169.37129704000006</v>
      </c>
      <c r="E46" s="5">
        <f t="shared" si="23"/>
        <v>491.3464697500001</v>
      </c>
      <c r="F46" s="5">
        <v>205.29148791000026</v>
      </c>
      <c r="G46" s="5">
        <v>155.54318771000004</v>
      </c>
      <c r="H46" s="5">
        <v>119.79159250999997</v>
      </c>
      <c r="I46" s="5">
        <f t="shared" si="24"/>
        <v>480.62626813000031</v>
      </c>
      <c r="J46" s="5">
        <f t="shared" si="8"/>
        <v>971.97273788000041</v>
      </c>
      <c r="K46" s="5">
        <v>0</v>
      </c>
      <c r="L46" s="5">
        <v>0</v>
      </c>
      <c r="M46" s="5">
        <v>0</v>
      </c>
      <c r="N46" s="5">
        <f t="shared" si="25"/>
        <v>0</v>
      </c>
      <c r="O46" s="5">
        <v>0</v>
      </c>
      <c r="P46" s="5">
        <v>0</v>
      </c>
      <c r="Q46" s="5">
        <v>0</v>
      </c>
      <c r="R46" s="5">
        <f t="shared" si="26"/>
        <v>0</v>
      </c>
      <c r="S46" s="5">
        <f t="shared" si="27"/>
        <v>0</v>
      </c>
      <c r="T46" s="5">
        <f>+J46+S46</f>
        <v>971.97273788000041</v>
      </c>
      <c r="U46" s="3">
        <f t="shared" si="6"/>
        <v>971.97273788000041</v>
      </c>
      <c r="V46" s="3">
        <f t="shared" si="7"/>
        <v>0</v>
      </c>
    </row>
    <row r="47" spans="1:37" x14ac:dyDescent="0.3">
      <c r="A47" s="9" t="s">
        <v>59</v>
      </c>
      <c r="B47" s="5">
        <v>75.908230129999964</v>
      </c>
      <c r="C47" s="5">
        <v>34.027141560000004</v>
      </c>
      <c r="D47" s="5">
        <v>49.766928159999999</v>
      </c>
      <c r="E47" s="5">
        <f t="shared" si="23"/>
        <v>159.70229984999997</v>
      </c>
      <c r="F47" s="5">
        <v>66.283847140000034</v>
      </c>
      <c r="G47" s="5">
        <v>53.098316970000042</v>
      </c>
      <c r="H47" s="5">
        <v>61.023256960000012</v>
      </c>
      <c r="I47" s="5">
        <f t="shared" si="24"/>
        <v>180.4054210700001</v>
      </c>
      <c r="J47" s="5">
        <f t="shared" si="8"/>
        <v>340.10772092000008</v>
      </c>
      <c r="K47" s="5">
        <v>0</v>
      </c>
      <c r="L47" s="5">
        <v>0</v>
      </c>
      <c r="M47" s="5">
        <v>0</v>
      </c>
      <c r="N47" s="5">
        <f t="shared" si="25"/>
        <v>0</v>
      </c>
      <c r="O47" s="5">
        <v>0</v>
      </c>
      <c r="P47" s="5">
        <v>0</v>
      </c>
      <c r="Q47" s="5">
        <v>0</v>
      </c>
      <c r="R47" s="5">
        <f t="shared" si="26"/>
        <v>0</v>
      </c>
      <c r="S47" s="5">
        <f t="shared" si="27"/>
        <v>0</v>
      </c>
      <c r="T47" s="5">
        <f>+J47+S47</f>
        <v>340.10772092000008</v>
      </c>
      <c r="U47" s="3">
        <f t="shared" si="6"/>
        <v>340.10772092000008</v>
      </c>
      <c r="V47" s="3">
        <f t="shared" si="7"/>
        <v>0</v>
      </c>
    </row>
    <row r="48" spans="1:37" x14ac:dyDescent="0.3">
      <c r="U48" s="3">
        <f t="shared" si="6"/>
        <v>0</v>
      </c>
      <c r="V48" s="3">
        <f t="shared" si="7"/>
        <v>0</v>
      </c>
    </row>
    <row r="49" spans="1:37" s="13" customFormat="1" x14ac:dyDescent="0.3">
      <c r="A49" s="13" t="s">
        <v>60</v>
      </c>
      <c r="B49" s="2">
        <f>SUM(B50:B58)</f>
        <v>9380.1189373400011</v>
      </c>
      <c r="C49" s="2">
        <f t="shared" ref="C49:T49" si="28">SUM(C50:C58)</f>
        <v>4798.2856270199982</v>
      </c>
      <c r="D49" s="2">
        <f t="shared" si="28"/>
        <v>6107.5142327099948</v>
      </c>
      <c r="E49" s="2">
        <f t="shared" si="28"/>
        <v>20285.918797069993</v>
      </c>
      <c r="F49" s="2">
        <f t="shared" si="28"/>
        <v>11525.6905016</v>
      </c>
      <c r="G49" s="2">
        <f t="shared" si="28"/>
        <v>8620.3531637099968</v>
      </c>
      <c r="H49" s="2">
        <f t="shared" si="28"/>
        <v>5285.9833148999978</v>
      </c>
      <c r="I49" s="2">
        <f t="shared" si="28"/>
        <v>25432.026980209994</v>
      </c>
      <c r="J49" s="2">
        <f t="shared" si="28"/>
        <v>45717.945777280001</v>
      </c>
      <c r="K49" s="2">
        <f t="shared" si="28"/>
        <v>0</v>
      </c>
      <c r="L49" s="2">
        <f t="shared" si="28"/>
        <v>0</v>
      </c>
      <c r="M49" s="2">
        <f t="shared" si="28"/>
        <v>0</v>
      </c>
      <c r="N49" s="2">
        <f t="shared" si="28"/>
        <v>0</v>
      </c>
      <c r="O49" s="2">
        <f t="shared" si="28"/>
        <v>0</v>
      </c>
      <c r="P49" s="2">
        <f t="shared" si="28"/>
        <v>0</v>
      </c>
      <c r="Q49" s="2">
        <f t="shared" si="28"/>
        <v>0</v>
      </c>
      <c r="R49" s="2">
        <f t="shared" si="28"/>
        <v>0</v>
      </c>
      <c r="S49" s="2">
        <f t="shared" si="28"/>
        <v>0</v>
      </c>
      <c r="T49" s="2">
        <f t="shared" si="28"/>
        <v>45717.945777280001</v>
      </c>
      <c r="U49" s="3">
        <f t="shared" si="6"/>
        <v>45717.945777279987</v>
      </c>
      <c r="V49" s="3">
        <f t="shared" si="7"/>
        <v>0</v>
      </c>
      <c r="W49" s="2"/>
      <c r="X49" s="2"/>
      <c r="Y49" s="2"/>
      <c r="Z49" s="2"/>
      <c r="AA49" s="2"/>
      <c r="AB49" s="2"/>
      <c r="AC49" s="2"/>
      <c r="AD49" s="2"/>
      <c r="AE49" s="2"/>
      <c r="AF49" s="2"/>
      <c r="AG49" s="2"/>
      <c r="AH49" s="2"/>
      <c r="AI49" s="2"/>
      <c r="AJ49" s="2"/>
      <c r="AK49" s="2"/>
    </row>
    <row r="50" spans="1:37" x14ac:dyDescent="0.3">
      <c r="A50" s="9" t="s">
        <v>61</v>
      </c>
      <c r="B50" s="5">
        <v>113.58244856999995</v>
      </c>
      <c r="C50" s="5">
        <v>29.526369070000005</v>
      </c>
      <c r="D50" s="5">
        <v>43.971773569999996</v>
      </c>
      <c r="E50" s="5">
        <f t="shared" ref="E50:E58" si="29">+B50+C50+D50</f>
        <v>187.08059120999997</v>
      </c>
      <c r="F50" s="5">
        <v>95.837161770000023</v>
      </c>
      <c r="G50" s="5">
        <v>56.603728579999981</v>
      </c>
      <c r="H50" s="5">
        <v>45.001073110000014</v>
      </c>
      <c r="I50" s="5">
        <f t="shared" ref="I50:I58" si="30">+F50+G50+H50</f>
        <v>197.44196346000004</v>
      </c>
      <c r="J50" s="5">
        <f t="shared" si="8"/>
        <v>384.52255466999998</v>
      </c>
      <c r="K50" s="5">
        <v>0</v>
      </c>
      <c r="L50" s="5">
        <v>0</v>
      </c>
      <c r="M50" s="5">
        <v>0</v>
      </c>
      <c r="N50" s="5">
        <f t="shared" ref="N50:N58" si="31">+K50+L50+M50</f>
        <v>0</v>
      </c>
      <c r="O50" s="5">
        <v>0</v>
      </c>
      <c r="P50" s="5">
        <v>0</v>
      </c>
      <c r="Q50" s="5">
        <v>0</v>
      </c>
      <c r="R50" s="5">
        <f t="shared" ref="R50:R58" si="32">+O50+P50+Q50</f>
        <v>0</v>
      </c>
      <c r="S50" s="5">
        <f t="shared" ref="S50:S58" si="33">+N50+R50</f>
        <v>0</v>
      </c>
      <c r="T50" s="5">
        <f t="shared" ref="T50:T58" si="34">+J50+S50</f>
        <v>384.52255466999998</v>
      </c>
      <c r="U50" s="3">
        <f t="shared" si="6"/>
        <v>384.52255466999998</v>
      </c>
      <c r="V50" s="3">
        <f t="shared" si="7"/>
        <v>0</v>
      </c>
    </row>
    <row r="51" spans="1:37" x14ac:dyDescent="0.3">
      <c r="A51" s="9" t="s">
        <v>62</v>
      </c>
      <c r="B51" s="5">
        <v>690.53681366999842</v>
      </c>
      <c r="C51" s="5">
        <v>357.29751035000021</v>
      </c>
      <c r="D51" s="5">
        <v>371.46076379999965</v>
      </c>
      <c r="E51" s="5">
        <f t="shared" si="29"/>
        <v>1419.2950878199981</v>
      </c>
      <c r="F51" s="5">
        <v>703.88447146999908</v>
      </c>
      <c r="G51" s="5">
        <v>480.08858776999972</v>
      </c>
      <c r="H51" s="5">
        <v>354.24963815999962</v>
      </c>
      <c r="I51" s="5">
        <f t="shared" si="30"/>
        <v>1538.2226973999984</v>
      </c>
      <c r="J51" s="5">
        <f t="shared" si="8"/>
        <v>2957.5177852199968</v>
      </c>
      <c r="K51" s="5">
        <v>0</v>
      </c>
      <c r="L51" s="5">
        <v>0</v>
      </c>
      <c r="M51" s="5">
        <v>0</v>
      </c>
      <c r="N51" s="5">
        <f t="shared" si="31"/>
        <v>0</v>
      </c>
      <c r="O51" s="5">
        <v>0</v>
      </c>
      <c r="P51" s="5">
        <v>0</v>
      </c>
      <c r="Q51" s="5">
        <v>0</v>
      </c>
      <c r="R51" s="5">
        <f t="shared" si="32"/>
        <v>0</v>
      </c>
      <c r="S51" s="5">
        <f t="shared" si="33"/>
        <v>0</v>
      </c>
      <c r="T51" s="5">
        <f t="shared" si="34"/>
        <v>2957.5177852199968</v>
      </c>
      <c r="U51" s="3">
        <f t="shared" si="6"/>
        <v>2957.5177852199963</v>
      </c>
      <c r="V51" s="3">
        <f t="shared" si="7"/>
        <v>0</v>
      </c>
    </row>
    <row r="52" spans="1:37" x14ac:dyDescent="0.3">
      <c r="A52" s="9" t="s">
        <v>63</v>
      </c>
      <c r="B52" s="5">
        <v>2424.2859520799962</v>
      </c>
      <c r="C52" s="5">
        <v>1041.1519914999999</v>
      </c>
      <c r="D52" s="5">
        <v>1303.6615349999984</v>
      </c>
      <c r="E52" s="5">
        <f t="shared" si="29"/>
        <v>4769.099478579994</v>
      </c>
      <c r="F52" s="5">
        <v>2977.3220200300002</v>
      </c>
      <c r="G52" s="5">
        <v>1688.585589429998</v>
      </c>
      <c r="H52" s="5">
        <v>1305.3887262000003</v>
      </c>
      <c r="I52" s="5">
        <f t="shared" si="30"/>
        <v>5971.2963356599994</v>
      </c>
      <c r="J52" s="5">
        <f t="shared" si="8"/>
        <v>10740.395814239993</v>
      </c>
      <c r="K52" s="5">
        <v>0</v>
      </c>
      <c r="L52" s="5">
        <v>0</v>
      </c>
      <c r="M52" s="5">
        <v>0</v>
      </c>
      <c r="N52" s="5">
        <f t="shared" si="31"/>
        <v>0</v>
      </c>
      <c r="O52" s="5">
        <v>0</v>
      </c>
      <c r="P52" s="5">
        <v>0</v>
      </c>
      <c r="Q52" s="5">
        <v>0</v>
      </c>
      <c r="R52" s="5">
        <f t="shared" si="32"/>
        <v>0</v>
      </c>
      <c r="S52" s="5">
        <f t="shared" si="33"/>
        <v>0</v>
      </c>
      <c r="T52" s="5">
        <f t="shared" si="34"/>
        <v>10740.395814239993</v>
      </c>
      <c r="U52" s="3">
        <f t="shared" si="6"/>
        <v>10740.395814239993</v>
      </c>
      <c r="V52" s="3">
        <f t="shared" si="7"/>
        <v>0</v>
      </c>
    </row>
    <row r="53" spans="1:37" x14ac:dyDescent="0.3">
      <c r="A53" s="9" t="s">
        <v>64</v>
      </c>
      <c r="B53" s="5">
        <v>923.75127774999908</v>
      </c>
      <c r="C53" s="5">
        <v>569.80914128999996</v>
      </c>
      <c r="D53" s="5">
        <v>566.83390612000017</v>
      </c>
      <c r="E53" s="5">
        <f t="shared" si="29"/>
        <v>2060.3943251599994</v>
      </c>
      <c r="F53" s="5">
        <v>996.83843899000203</v>
      </c>
      <c r="G53" s="5">
        <v>656.95709977999991</v>
      </c>
      <c r="H53" s="5">
        <v>619.19869131999963</v>
      </c>
      <c r="I53" s="5">
        <f t="shared" si="30"/>
        <v>2272.9942300900016</v>
      </c>
      <c r="J53" s="5">
        <f t="shared" si="8"/>
        <v>4333.3885552500014</v>
      </c>
      <c r="K53" s="5">
        <v>0</v>
      </c>
      <c r="L53" s="5">
        <v>0</v>
      </c>
      <c r="M53" s="5">
        <v>0</v>
      </c>
      <c r="N53" s="5">
        <f t="shared" si="31"/>
        <v>0</v>
      </c>
      <c r="O53" s="5">
        <v>0</v>
      </c>
      <c r="P53" s="5">
        <v>0</v>
      </c>
      <c r="Q53" s="5">
        <v>0</v>
      </c>
      <c r="R53" s="5">
        <f t="shared" si="32"/>
        <v>0</v>
      </c>
      <c r="S53" s="5">
        <f t="shared" si="33"/>
        <v>0</v>
      </c>
      <c r="T53" s="5">
        <f t="shared" si="34"/>
        <v>4333.3885552500014</v>
      </c>
      <c r="U53" s="3">
        <f t="shared" si="6"/>
        <v>4333.3885552500014</v>
      </c>
      <c r="V53" s="3">
        <f t="shared" si="7"/>
        <v>0</v>
      </c>
    </row>
    <row r="54" spans="1:37" ht="16.5" x14ac:dyDescent="0.3">
      <c r="A54" s="9" t="s">
        <v>65</v>
      </c>
      <c r="B54" s="5">
        <v>2321.2335630500074</v>
      </c>
      <c r="C54" s="5">
        <v>1293.5658339599991</v>
      </c>
      <c r="D54" s="5">
        <v>1318.2901956099981</v>
      </c>
      <c r="E54" s="5">
        <f t="shared" si="29"/>
        <v>4933.0895926200046</v>
      </c>
      <c r="F54" s="5">
        <v>2614.5326961100031</v>
      </c>
      <c r="G54" s="5">
        <v>2000.2217481100008</v>
      </c>
      <c r="H54" s="5">
        <v>1295.8682028599987</v>
      </c>
      <c r="I54" s="5">
        <f t="shared" si="30"/>
        <v>5910.6226470800029</v>
      </c>
      <c r="J54" s="5">
        <f t="shared" si="8"/>
        <v>10843.712239700008</v>
      </c>
      <c r="K54" s="5">
        <v>0</v>
      </c>
      <c r="L54" s="5">
        <v>0</v>
      </c>
      <c r="M54" s="5">
        <v>0</v>
      </c>
      <c r="N54" s="5">
        <f t="shared" si="31"/>
        <v>0</v>
      </c>
      <c r="O54" s="5">
        <v>0</v>
      </c>
      <c r="P54" s="5">
        <v>0</v>
      </c>
      <c r="Q54" s="5">
        <v>0</v>
      </c>
      <c r="R54" s="5">
        <f t="shared" si="32"/>
        <v>0</v>
      </c>
      <c r="S54" s="5">
        <f t="shared" si="33"/>
        <v>0</v>
      </c>
      <c r="T54" s="5">
        <f t="shared" si="34"/>
        <v>10843.712239700008</v>
      </c>
      <c r="U54" s="3">
        <f t="shared" si="6"/>
        <v>10843.712239700009</v>
      </c>
      <c r="V54" s="3">
        <f t="shared" si="7"/>
        <v>0</v>
      </c>
    </row>
    <row r="55" spans="1:37" x14ac:dyDescent="0.3">
      <c r="A55" s="9" t="s">
        <v>66</v>
      </c>
      <c r="B55" s="5">
        <v>704.3520418199995</v>
      </c>
      <c r="C55" s="5">
        <v>463.1155903299998</v>
      </c>
      <c r="D55" s="5">
        <v>480.11731163000007</v>
      </c>
      <c r="E55" s="5">
        <f t="shared" si="29"/>
        <v>1647.5849437799993</v>
      </c>
      <c r="F55" s="5">
        <v>769.85672665999959</v>
      </c>
      <c r="G55" s="5">
        <v>561.39797937999992</v>
      </c>
      <c r="H55" s="5">
        <v>422.01983340999988</v>
      </c>
      <c r="I55" s="5">
        <f t="shared" si="30"/>
        <v>1753.2745394499993</v>
      </c>
      <c r="J55" s="5">
        <f t="shared" si="8"/>
        <v>3400.8594832299987</v>
      </c>
      <c r="K55" s="5">
        <v>0</v>
      </c>
      <c r="L55" s="5">
        <v>0</v>
      </c>
      <c r="M55" s="5">
        <v>0</v>
      </c>
      <c r="N55" s="5">
        <f t="shared" si="31"/>
        <v>0</v>
      </c>
      <c r="O55" s="5">
        <v>0</v>
      </c>
      <c r="P55" s="5">
        <v>0</v>
      </c>
      <c r="Q55" s="5">
        <v>0</v>
      </c>
      <c r="R55" s="5">
        <f t="shared" si="32"/>
        <v>0</v>
      </c>
      <c r="S55" s="5">
        <f t="shared" si="33"/>
        <v>0</v>
      </c>
      <c r="T55" s="5">
        <f t="shared" si="34"/>
        <v>3400.8594832299987</v>
      </c>
      <c r="U55" s="3">
        <f t="shared" si="6"/>
        <v>3400.8594832299991</v>
      </c>
      <c r="V55" s="3">
        <f t="shared" si="7"/>
        <v>0</v>
      </c>
    </row>
    <row r="56" spans="1:37" ht="16.5" x14ac:dyDescent="0.3">
      <c r="A56" s="9" t="s">
        <v>67</v>
      </c>
      <c r="B56" s="5">
        <v>383.67339713999996</v>
      </c>
      <c r="C56" s="5">
        <v>181.94668612999993</v>
      </c>
      <c r="D56" s="5">
        <v>219.2060157199997</v>
      </c>
      <c r="E56" s="5">
        <f t="shared" si="29"/>
        <v>784.82609898999954</v>
      </c>
      <c r="F56" s="5">
        <v>629.43401716000005</v>
      </c>
      <c r="G56" s="5">
        <v>471.78693712000006</v>
      </c>
      <c r="H56" s="5">
        <v>230.94085555000004</v>
      </c>
      <c r="I56" s="5">
        <f t="shared" si="30"/>
        <v>1332.16180983</v>
      </c>
      <c r="J56" s="5">
        <f t="shared" si="8"/>
        <v>2116.9879088199996</v>
      </c>
      <c r="K56" s="5">
        <v>0</v>
      </c>
      <c r="L56" s="5">
        <v>0</v>
      </c>
      <c r="M56" s="5">
        <v>0</v>
      </c>
      <c r="N56" s="5">
        <f t="shared" si="31"/>
        <v>0</v>
      </c>
      <c r="O56" s="5">
        <v>0</v>
      </c>
      <c r="P56" s="5">
        <v>0</v>
      </c>
      <c r="Q56" s="5">
        <v>0</v>
      </c>
      <c r="R56" s="5">
        <f t="shared" si="32"/>
        <v>0</v>
      </c>
      <c r="S56" s="5">
        <f t="shared" si="33"/>
        <v>0</v>
      </c>
      <c r="T56" s="5">
        <f t="shared" si="34"/>
        <v>2116.9879088199996</v>
      </c>
      <c r="U56" s="3">
        <f t="shared" si="6"/>
        <v>2116.9879088199996</v>
      </c>
      <c r="V56" s="3">
        <f t="shared" si="7"/>
        <v>0</v>
      </c>
    </row>
    <row r="57" spans="1:37" ht="16.5" x14ac:dyDescent="0.3">
      <c r="A57" s="9" t="s">
        <v>68</v>
      </c>
      <c r="B57" s="5">
        <v>1497.2384338900006</v>
      </c>
      <c r="C57" s="5">
        <v>641.76258780000012</v>
      </c>
      <c r="D57" s="5">
        <v>1467.2490813299992</v>
      </c>
      <c r="E57" s="5">
        <f t="shared" si="29"/>
        <v>3606.2501030200001</v>
      </c>
      <c r="F57" s="5">
        <v>2307.0366184099958</v>
      </c>
      <c r="G57" s="5">
        <v>2403.4383495899983</v>
      </c>
      <c r="H57" s="5">
        <v>733.30947036000009</v>
      </c>
      <c r="I57" s="5">
        <f t="shared" si="30"/>
        <v>5443.7844383599941</v>
      </c>
      <c r="J57" s="5">
        <f t="shared" si="8"/>
        <v>9050.0345413799951</v>
      </c>
      <c r="K57" s="5">
        <v>0</v>
      </c>
      <c r="L57" s="5">
        <v>0</v>
      </c>
      <c r="M57" s="5">
        <v>0</v>
      </c>
      <c r="N57" s="5">
        <f t="shared" si="31"/>
        <v>0</v>
      </c>
      <c r="O57" s="5">
        <v>0</v>
      </c>
      <c r="P57" s="5">
        <v>0</v>
      </c>
      <c r="Q57" s="5">
        <v>0</v>
      </c>
      <c r="R57" s="5">
        <f t="shared" si="32"/>
        <v>0</v>
      </c>
      <c r="S57" s="5">
        <f t="shared" si="33"/>
        <v>0</v>
      </c>
      <c r="T57" s="5">
        <f t="shared" si="34"/>
        <v>9050.0345413799951</v>
      </c>
      <c r="U57" s="3">
        <f t="shared" si="6"/>
        <v>9050.0345413799951</v>
      </c>
      <c r="V57" s="3">
        <f t="shared" si="7"/>
        <v>0</v>
      </c>
    </row>
    <row r="58" spans="1:37" ht="16.5" x14ac:dyDescent="0.3">
      <c r="A58" s="9" t="s">
        <v>69</v>
      </c>
      <c r="B58" s="5">
        <v>321.46500936999928</v>
      </c>
      <c r="C58" s="5">
        <v>220.10991658999995</v>
      </c>
      <c r="D58" s="5">
        <v>336.72364992999997</v>
      </c>
      <c r="E58" s="5">
        <f t="shared" si="29"/>
        <v>878.29857588999926</v>
      </c>
      <c r="F58" s="5">
        <v>430.94835100000114</v>
      </c>
      <c r="G58" s="5">
        <v>301.27314394999996</v>
      </c>
      <c r="H58" s="5">
        <v>280.00682392999983</v>
      </c>
      <c r="I58" s="5">
        <f t="shared" si="30"/>
        <v>1012.2283188800009</v>
      </c>
      <c r="J58" s="5">
        <f t="shared" si="8"/>
        <v>1890.5268947700001</v>
      </c>
      <c r="K58" s="5">
        <v>0</v>
      </c>
      <c r="L58" s="5">
        <v>0</v>
      </c>
      <c r="M58" s="5">
        <v>0</v>
      </c>
      <c r="N58" s="5">
        <f t="shared" si="31"/>
        <v>0</v>
      </c>
      <c r="O58" s="5">
        <v>0</v>
      </c>
      <c r="P58" s="5">
        <v>0</v>
      </c>
      <c r="Q58" s="5">
        <v>0</v>
      </c>
      <c r="R58" s="5">
        <f t="shared" si="32"/>
        <v>0</v>
      </c>
      <c r="S58" s="5">
        <f t="shared" si="33"/>
        <v>0</v>
      </c>
      <c r="T58" s="5">
        <f t="shared" si="34"/>
        <v>1890.5268947700001</v>
      </c>
      <c r="U58" s="3">
        <f t="shared" si="6"/>
        <v>1890.5268947700001</v>
      </c>
      <c r="V58" s="3">
        <f t="shared" si="7"/>
        <v>0</v>
      </c>
    </row>
    <row r="59" spans="1:37" x14ac:dyDescent="0.3">
      <c r="U59" s="3">
        <f t="shared" si="6"/>
        <v>0</v>
      </c>
      <c r="V59" s="3">
        <f t="shared" si="7"/>
        <v>0</v>
      </c>
    </row>
    <row r="60" spans="1:37" s="13" customFormat="1" x14ac:dyDescent="0.3">
      <c r="A60" s="13" t="s">
        <v>70</v>
      </c>
      <c r="B60" s="2">
        <f>SUM(B61:B66)</f>
        <v>13864.728134930019</v>
      </c>
      <c r="C60" s="2">
        <f t="shared" ref="C60:T60" si="35">SUM(C61:C66)</f>
        <v>6629.5697539199964</v>
      </c>
      <c r="D60" s="2">
        <f t="shared" si="35"/>
        <v>8135.9079413600002</v>
      </c>
      <c r="E60" s="2">
        <f t="shared" si="35"/>
        <v>28630.205830210016</v>
      </c>
      <c r="F60" s="2">
        <f t="shared" si="35"/>
        <v>16062.486828709998</v>
      </c>
      <c r="G60" s="2">
        <f t="shared" si="35"/>
        <v>10097.912258750002</v>
      </c>
      <c r="H60" s="2">
        <f t="shared" si="35"/>
        <v>7985.388547259995</v>
      </c>
      <c r="I60" s="2">
        <f t="shared" si="35"/>
        <v>34145.78763472</v>
      </c>
      <c r="J60" s="2">
        <f t="shared" si="35"/>
        <v>62775.993464930012</v>
      </c>
      <c r="K60" s="2">
        <f t="shared" si="35"/>
        <v>0</v>
      </c>
      <c r="L60" s="2">
        <f t="shared" si="35"/>
        <v>0</v>
      </c>
      <c r="M60" s="2">
        <f t="shared" si="35"/>
        <v>0</v>
      </c>
      <c r="N60" s="2">
        <f t="shared" si="35"/>
        <v>0</v>
      </c>
      <c r="O60" s="2">
        <f t="shared" si="35"/>
        <v>0</v>
      </c>
      <c r="P60" s="2">
        <f t="shared" si="35"/>
        <v>0</v>
      </c>
      <c r="Q60" s="2">
        <f t="shared" si="35"/>
        <v>0</v>
      </c>
      <c r="R60" s="2">
        <f t="shared" si="35"/>
        <v>0</v>
      </c>
      <c r="S60" s="2">
        <f t="shared" si="35"/>
        <v>0</v>
      </c>
      <c r="T60" s="2">
        <f t="shared" si="35"/>
        <v>62775.993464930012</v>
      </c>
      <c r="U60" s="3">
        <f t="shared" si="6"/>
        <v>62775.993464930012</v>
      </c>
      <c r="V60" s="3">
        <f t="shared" si="7"/>
        <v>0</v>
      </c>
      <c r="W60" s="2"/>
      <c r="X60" s="2"/>
      <c r="Y60" s="2"/>
      <c r="Z60" s="2"/>
      <c r="AA60" s="2"/>
      <c r="AB60" s="2"/>
      <c r="AC60" s="2"/>
      <c r="AD60" s="2"/>
      <c r="AE60" s="2"/>
      <c r="AF60" s="2"/>
      <c r="AG60" s="2"/>
      <c r="AH60" s="2"/>
      <c r="AI60" s="2"/>
      <c r="AJ60" s="2"/>
      <c r="AK60" s="2"/>
    </row>
    <row r="61" spans="1:37" x14ac:dyDescent="0.3">
      <c r="A61" s="9" t="s">
        <v>71</v>
      </c>
      <c r="B61" s="5">
        <v>2516.8643261699967</v>
      </c>
      <c r="C61" s="5">
        <v>1466.4462280300013</v>
      </c>
      <c r="D61" s="5">
        <v>1656.2254218900016</v>
      </c>
      <c r="E61" s="5">
        <f t="shared" ref="E61:E66" si="36">+B61+C61+D61</f>
        <v>5639.5359760899992</v>
      </c>
      <c r="F61" s="5">
        <v>3092.3483852400059</v>
      </c>
      <c r="G61" s="5">
        <v>2054.92802256</v>
      </c>
      <c r="H61" s="5">
        <v>1711.7492976400017</v>
      </c>
      <c r="I61" s="5">
        <f t="shared" ref="I61:I66" si="37">+F61+G61+H61</f>
        <v>6859.0257054400072</v>
      </c>
      <c r="J61" s="5">
        <f t="shared" si="8"/>
        <v>12498.561681530005</v>
      </c>
      <c r="K61" s="5">
        <v>0</v>
      </c>
      <c r="L61" s="5">
        <v>0</v>
      </c>
      <c r="M61" s="5">
        <v>0</v>
      </c>
      <c r="N61" s="5">
        <f t="shared" ref="N61:N66" si="38">+K61+L61+M61</f>
        <v>0</v>
      </c>
      <c r="O61" s="5">
        <v>0</v>
      </c>
      <c r="P61" s="5">
        <v>0</v>
      </c>
      <c r="Q61" s="5">
        <v>0</v>
      </c>
      <c r="R61" s="5">
        <f t="shared" ref="R61:R66" si="39">+O61+P61+Q61</f>
        <v>0</v>
      </c>
      <c r="S61" s="5">
        <f t="shared" ref="S61:S66" si="40">+N61+R61</f>
        <v>0</v>
      </c>
      <c r="T61" s="5">
        <f t="shared" ref="T61:T66" si="41">+J61+S61</f>
        <v>12498.561681530005</v>
      </c>
      <c r="U61" s="3">
        <f t="shared" si="6"/>
        <v>12498.561681530005</v>
      </c>
      <c r="V61" s="3">
        <f t="shared" si="7"/>
        <v>0</v>
      </c>
    </row>
    <row r="62" spans="1:37" x14ac:dyDescent="0.3">
      <c r="A62" s="9" t="s">
        <v>72</v>
      </c>
      <c r="B62" s="5">
        <v>4040.8496140800162</v>
      </c>
      <c r="C62" s="5">
        <v>1905.3773861999971</v>
      </c>
      <c r="D62" s="5">
        <v>2299.9065691799997</v>
      </c>
      <c r="E62" s="5">
        <f t="shared" si="36"/>
        <v>8246.133569460013</v>
      </c>
      <c r="F62" s="5">
        <v>4469.9054133999807</v>
      </c>
      <c r="G62" s="5">
        <v>2702.0795073700015</v>
      </c>
      <c r="H62" s="5">
        <v>2492.3497611099956</v>
      </c>
      <c r="I62" s="5">
        <f t="shared" si="37"/>
        <v>9664.3346818799782</v>
      </c>
      <c r="J62" s="5">
        <f t="shared" si="8"/>
        <v>17910.468251339989</v>
      </c>
      <c r="K62" s="5">
        <v>0</v>
      </c>
      <c r="L62" s="5">
        <v>0</v>
      </c>
      <c r="M62" s="5">
        <v>0</v>
      </c>
      <c r="N62" s="5">
        <f t="shared" si="38"/>
        <v>0</v>
      </c>
      <c r="O62" s="5">
        <v>0</v>
      </c>
      <c r="P62" s="5">
        <v>0</v>
      </c>
      <c r="Q62" s="5">
        <v>0</v>
      </c>
      <c r="R62" s="5">
        <f t="shared" si="39"/>
        <v>0</v>
      </c>
      <c r="S62" s="5">
        <f t="shared" si="40"/>
        <v>0</v>
      </c>
      <c r="T62" s="5">
        <f t="shared" si="41"/>
        <v>17910.468251339989</v>
      </c>
      <c r="U62" s="3">
        <f t="shared" si="6"/>
        <v>17910.468251339989</v>
      </c>
      <c r="V62" s="3">
        <f t="shared" si="7"/>
        <v>0</v>
      </c>
    </row>
    <row r="63" spans="1:37" x14ac:dyDescent="0.3">
      <c r="A63" s="9" t="s">
        <v>73</v>
      </c>
      <c r="B63" s="5">
        <v>4942.04462874</v>
      </c>
      <c r="C63" s="5">
        <v>2197.3624924099977</v>
      </c>
      <c r="D63" s="5">
        <v>3009.8979049999998</v>
      </c>
      <c r="E63" s="5">
        <f t="shared" si="36"/>
        <v>10149.305026149998</v>
      </c>
      <c r="F63" s="5">
        <v>6011.1322747300092</v>
      </c>
      <c r="G63" s="5">
        <v>3788.6374870199979</v>
      </c>
      <c r="H63" s="5">
        <v>2596.0341684799978</v>
      </c>
      <c r="I63" s="5">
        <f t="shared" si="37"/>
        <v>12395.803930230006</v>
      </c>
      <c r="J63" s="5">
        <f t="shared" si="8"/>
        <v>22545.108956380005</v>
      </c>
      <c r="K63" s="5">
        <v>0</v>
      </c>
      <c r="L63" s="5">
        <v>0</v>
      </c>
      <c r="M63" s="5">
        <v>0</v>
      </c>
      <c r="N63" s="5">
        <f t="shared" si="38"/>
        <v>0</v>
      </c>
      <c r="O63" s="5">
        <v>0</v>
      </c>
      <c r="P63" s="5">
        <v>0</v>
      </c>
      <c r="Q63" s="5">
        <v>0</v>
      </c>
      <c r="R63" s="5">
        <f t="shared" si="39"/>
        <v>0</v>
      </c>
      <c r="S63" s="5">
        <f t="shared" si="40"/>
        <v>0</v>
      </c>
      <c r="T63" s="5">
        <f t="shared" si="41"/>
        <v>22545.108956380005</v>
      </c>
      <c r="U63" s="3">
        <f t="shared" si="6"/>
        <v>22545.108956380001</v>
      </c>
      <c r="V63" s="3">
        <f t="shared" si="7"/>
        <v>0</v>
      </c>
    </row>
    <row r="64" spans="1:37" ht="16.5" x14ac:dyDescent="0.3">
      <c r="A64" s="9" t="s">
        <v>74</v>
      </c>
      <c r="B64" s="5">
        <v>191.86106287999979</v>
      </c>
      <c r="C64" s="5">
        <v>106.44325393000015</v>
      </c>
      <c r="D64" s="5">
        <v>81.54762309000003</v>
      </c>
      <c r="E64" s="5">
        <f t="shared" si="36"/>
        <v>379.85193989999993</v>
      </c>
      <c r="F64" s="5">
        <v>145.18261598000026</v>
      </c>
      <c r="G64" s="5">
        <v>91.235420020000007</v>
      </c>
      <c r="H64" s="5">
        <v>91.624633209999885</v>
      </c>
      <c r="I64" s="5">
        <f t="shared" si="37"/>
        <v>328.04266921000016</v>
      </c>
      <c r="J64" s="5">
        <f t="shared" si="8"/>
        <v>707.89460911000015</v>
      </c>
      <c r="K64" s="5">
        <v>0</v>
      </c>
      <c r="L64" s="5">
        <v>0</v>
      </c>
      <c r="M64" s="5">
        <v>0</v>
      </c>
      <c r="N64" s="5">
        <f t="shared" si="38"/>
        <v>0</v>
      </c>
      <c r="O64" s="5">
        <v>0</v>
      </c>
      <c r="P64" s="5">
        <v>0</v>
      </c>
      <c r="Q64" s="5">
        <v>0</v>
      </c>
      <c r="R64" s="5">
        <f t="shared" si="39"/>
        <v>0</v>
      </c>
      <c r="S64" s="5">
        <f t="shared" si="40"/>
        <v>0</v>
      </c>
      <c r="T64" s="5">
        <f t="shared" si="41"/>
        <v>707.89460911000015</v>
      </c>
      <c r="U64" s="3">
        <f t="shared" si="6"/>
        <v>707.89460911000003</v>
      </c>
      <c r="V64" s="3">
        <f t="shared" si="7"/>
        <v>0</v>
      </c>
    </row>
    <row r="65" spans="1:37" ht="16.5" x14ac:dyDescent="0.3">
      <c r="A65" s="9" t="s">
        <v>75</v>
      </c>
      <c r="B65" s="5">
        <v>1281.0607102300066</v>
      </c>
      <c r="C65" s="5">
        <v>547.08962530999975</v>
      </c>
      <c r="D65" s="5">
        <v>558.2642370399991</v>
      </c>
      <c r="E65" s="5">
        <f t="shared" si="36"/>
        <v>2386.4145725800054</v>
      </c>
      <c r="F65" s="5">
        <v>1519.3355475200055</v>
      </c>
      <c r="G65" s="5">
        <v>886.41414834000136</v>
      </c>
      <c r="H65" s="5">
        <v>591.65762833999975</v>
      </c>
      <c r="I65" s="5">
        <f t="shared" si="37"/>
        <v>2997.4073242000068</v>
      </c>
      <c r="J65" s="5">
        <f t="shared" si="8"/>
        <v>5383.8218967800121</v>
      </c>
      <c r="K65" s="5">
        <v>0</v>
      </c>
      <c r="L65" s="5">
        <v>0</v>
      </c>
      <c r="M65" s="5">
        <v>0</v>
      </c>
      <c r="N65" s="5">
        <f t="shared" si="38"/>
        <v>0</v>
      </c>
      <c r="O65" s="5">
        <v>0</v>
      </c>
      <c r="P65" s="5">
        <v>0</v>
      </c>
      <c r="Q65" s="5">
        <v>0</v>
      </c>
      <c r="R65" s="5">
        <f t="shared" si="39"/>
        <v>0</v>
      </c>
      <c r="S65" s="5">
        <f t="shared" si="40"/>
        <v>0</v>
      </c>
      <c r="T65" s="5">
        <f t="shared" si="41"/>
        <v>5383.8218967800121</v>
      </c>
      <c r="U65" s="3">
        <f t="shared" si="6"/>
        <v>5383.8218967800121</v>
      </c>
      <c r="V65" s="3">
        <f t="shared" si="7"/>
        <v>0</v>
      </c>
    </row>
    <row r="66" spans="1:37" ht="16.5" x14ac:dyDescent="0.3">
      <c r="A66" s="9" t="s">
        <v>76</v>
      </c>
      <c r="B66" s="5">
        <v>892.0477928300013</v>
      </c>
      <c r="C66" s="5">
        <v>406.85076804000005</v>
      </c>
      <c r="D66" s="5">
        <v>530.06618515999946</v>
      </c>
      <c r="E66" s="5">
        <f t="shared" si="36"/>
        <v>1828.9647460300007</v>
      </c>
      <c r="F66" s="5">
        <v>824.58259183999746</v>
      </c>
      <c r="G66" s="5">
        <v>574.61767344000054</v>
      </c>
      <c r="H66" s="5">
        <v>501.97305848000019</v>
      </c>
      <c r="I66" s="5">
        <f t="shared" si="37"/>
        <v>1901.1733237599981</v>
      </c>
      <c r="J66" s="5">
        <f t="shared" si="8"/>
        <v>3730.1380697899986</v>
      </c>
      <c r="K66" s="5">
        <v>0</v>
      </c>
      <c r="L66" s="5">
        <v>0</v>
      </c>
      <c r="M66" s="5">
        <v>0</v>
      </c>
      <c r="N66" s="5">
        <f t="shared" si="38"/>
        <v>0</v>
      </c>
      <c r="O66" s="5">
        <v>0</v>
      </c>
      <c r="P66" s="5">
        <v>0</v>
      </c>
      <c r="Q66" s="5">
        <v>0</v>
      </c>
      <c r="R66" s="5">
        <f t="shared" si="39"/>
        <v>0</v>
      </c>
      <c r="S66" s="5">
        <f t="shared" si="40"/>
        <v>0</v>
      </c>
      <c r="T66" s="5">
        <f t="shared" si="41"/>
        <v>3730.1380697899986</v>
      </c>
      <c r="U66" s="3">
        <f t="shared" si="6"/>
        <v>3730.1380697899986</v>
      </c>
      <c r="V66" s="3">
        <f t="shared" si="7"/>
        <v>0</v>
      </c>
    </row>
    <row r="67" spans="1:37" x14ac:dyDescent="0.3">
      <c r="U67" s="3">
        <f t="shared" si="6"/>
        <v>0</v>
      </c>
      <c r="V67" s="3">
        <f t="shared" si="7"/>
        <v>0</v>
      </c>
    </row>
    <row r="68" spans="1:37" s="13" customFormat="1" x14ac:dyDescent="0.3">
      <c r="A68" s="13" t="s">
        <v>77</v>
      </c>
      <c r="B68" s="2">
        <f>SUM(B69:B74)</f>
        <v>1333.965358820001</v>
      </c>
      <c r="C68" s="2">
        <f t="shared" ref="C68:T68" si="42">SUM(C69:C74)</f>
        <v>667.55381847000001</v>
      </c>
      <c r="D68" s="2">
        <f t="shared" si="42"/>
        <v>738.16849257000024</v>
      </c>
      <c r="E68" s="2">
        <f t="shared" si="42"/>
        <v>2739.6876698600013</v>
      </c>
      <c r="F68" s="2">
        <f t="shared" si="42"/>
        <v>1367.8923470199993</v>
      </c>
      <c r="G68" s="2">
        <f t="shared" si="42"/>
        <v>771.77700756000058</v>
      </c>
      <c r="H68" s="2">
        <f t="shared" si="42"/>
        <v>737.13717211000017</v>
      </c>
      <c r="I68" s="2">
        <f t="shared" si="42"/>
        <v>2876.8065266899998</v>
      </c>
      <c r="J68" s="2">
        <f t="shared" si="42"/>
        <v>5616.4941965500011</v>
      </c>
      <c r="K68" s="2">
        <f t="shared" si="42"/>
        <v>0</v>
      </c>
      <c r="L68" s="2">
        <f t="shared" si="42"/>
        <v>0</v>
      </c>
      <c r="M68" s="2">
        <f t="shared" si="42"/>
        <v>0</v>
      </c>
      <c r="N68" s="2">
        <f t="shared" si="42"/>
        <v>0</v>
      </c>
      <c r="O68" s="2">
        <f t="shared" si="42"/>
        <v>0</v>
      </c>
      <c r="P68" s="2">
        <f t="shared" si="42"/>
        <v>0</v>
      </c>
      <c r="Q68" s="2">
        <f t="shared" si="42"/>
        <v>0</v>
      </c>
      <c r="R68" s="2">
        <f t="shared" si="42"/>
        <v>0</v>
      </c>
      <c r="S68" s="2">
        <f t="shared" si="42"/>
        <v>0</v>
      </c>
      <c r="T68" s="2">
        <f t="shared" si="42"/>
        <v>5616.4941965500011</v>
      </c>
      <c r="U68" s="3">
        <f t="shared" si="6"/>
        <v>5616.494196550002</v>
      </c>
      <c r="V68" s="3">
        <f t="shared" si="7"/>
        <v>0</v>
      </c>
      <c r="W68" s="2"/>
      <c r="X68" s="2"/>
      <c r="Y68" s="2"/>
      <c r="Z68" s="2"/>
      <c r="AA68" s="2"/>
      <c r="AB68" s="2"/>
      <c r="AC68" s="2"/>
      <c r="AD68" s="2"/>
      <c r="AE68" s="2"/>
      <c r="AF68" s="2"/>
      <c r="AG68" s="2"/>
      <c r="AH68" s="2"/>
      <c r="AI68" s="2"/>
      <c r="AJ68" s="2"/>
      <c r="AK68" s="2"/>
    </row>
    <row r="69" spans="1:37" x14ac:dyDescent="0.3">
      <c r="A69" s="9" t="s">
        <v>78</v>
      </c>
      <c r="B69" s="5">
        <v>71.347389129999968</v>
      </c>
      <c r="C69" s="5">
        <v>24.13553211</v>
      </c>
      <c r="D69" s="5">
        <v>35.659125380000013</v>
      </c>
      <c r="E69" s="5">
        <f t="shared" ref="E69:E74" si="43">+B69+C69+D69</f>
        <v>131.14204661999997</v>
      </c>
      <c r="F69" s="5">
        <v>53.895638339999991</v>
      </c>
      <c r="G69" s="5">
        <v>38.165548730000012</v>
      </c>
      <c r="H69" s="5">
        <v>37.121562340000011</v>
      </c>
      <c r="I69" s="5">
        <f t="shared" ref="I69:I74" si="44">+F69+G69+H69</f>
        <v>129.18274941000001</v>
      </c>
      <c r="J69" s="5">
        <f t="shared" si="8"/>
        <v>260.32479603000002</v>
      </c>
      <c r="K69" s="5">
        <v>0</v>
      </c>
      <c r="L69" s="5">
        <v>0</v>
      </c>
      <c r="M69" s="5">
        <v>0</v>
      </c>
      <c r="N69" s="5">
        <f t="shared" ref="N69:N74" si="45">+K69+L69+M69</f>
        <v>0</v>
      </c>
      <c r="O69" s="5">
        <v>0</v>
      </c>
      <c r="P69" s="5">
        <v>0</v>
      </c>
      <c r="Q69" s="5">
        <v>0</v>
      </c>
      <c r="R69" s="5">
        <f t="shared" ref="R69:R74" si="46">+O69+P69+Q69</f>
        <v>0</v>
      </c>
      <c r="S69" s="5">
        <f t="shared" ref="S69:S129" si="47">+N69+R69</f>
        <v>0</v>
      </c>
      <c r="T69" s="5">
        <f>+J69+S69</f>
        <v>260.32479603000002</v>
      </c>
      <c r="U69" s="3">
        <f t="shared" si="6"/>
        <v>260.32479603000002</v>
      </c>
      <c r="V69" s="3">
        <f t="shared" si="7"/>
        <v>0</v>
      </c>
    </row>
    <row r="70" spans="1:37" x14ac:dyDescent="0.3">
      <c r="A70" s="9" t="s">
        <v>79</v>
      </c>
      <c r="B70" s="5">
        <v>139.53383717000006</v>
      </c>
      <c r="C70" s="5">
        <v>72.88048723</v>
      </c>
      <c r="D70" s="5">
        <v>74.194414620000003</v>
      </c>
      <c r="E70" s="5">
        <f t="shared" si="43"/>
        <v>286.60873902000003</v>
      </c>
      <c r="F70" s="5">
        <v>133.0444023799995</v>
      </c>
      <c r="G70" s="5">
        <v>80.821713980000013</v>
      </c>
      <c r="H70" s="5">
        <v>71.431389219999971</v>
      </c>
      <c r="I70" s="5">
        <f t="shared" si="44"/>
        <v>285.29750557999949</v>
      </c>
      <c r="J70" s="5">
        <f t="shared" si="8"/>
        <v>571.90624459999958</v>
      </c>
      <c r="K70" s="5">
        <v>0</v>
      </c>
      <c r="L70" s="5">
        <v>0</v>
      </c>
      <c r="M70" s="5">
        <v>0</v>
      </c>
      <c r="N70" s="5">
        <f t="shared" si="45"/>
        <v>0</v>
      </c>
      <c r="O70" s="5">
        <v>0</v>
      </c>
      <c r="P70" s="5">
        <v>0</v>
      </c>
      <c r="Q70" s="5">
        <v>0</v>
      </c>
      <c r="R70" s="5">
        <f t="shared" si="46"/>
        <v>0</v>
      </c>
      <c r="S70" s="5">
        <f t="shared" si="47"/>
        <v>0</v>
      </c>
      <c r="T70" s="5">
        <f>+J70+S70</f>
        <v>571.90624459999958</v>
      </c>
      <c r="U70" s="3">
        <f t="shared" si="6"/>
        <v>571.90624459999958</v>
      </c>
      <c r="V70" s="3">
        <f t="shared" si="7"/>
        <v>0</v>
      </c>
    </row>
    <row r="71" spans="1:37" x14ac:dyDescent="0.3">
      <c r="A71" s="9" t="s">
        <v>80</v>
      </c>
      <c r="B71" s="5">
        <v>367.32705632000034</v>
      </c>
      <c r="C71" s="5">
        <v>204.78315718000013</v>
      </c>
      <c r="D71" s="5">
        <v>207.39739047999996</v>
      </c>
      <c r="E71" s="5">
        <f t="shared" si="43"/>
        <v>779.50760398000034</v>
      </c>
      <c r="F71" s="5">
        <v>349.46167266999947</v>
      </c>
      <c r="G71" s="5">
        <v>229.81285384000003</v>
      </c>
      <c r="H71" s="5">
        <v>204.73300288999971</v>
      </c>
      <c r="I71" s="5">
        <f t="shared" si="44"/>
        <v>784.00752939999927</v>
      </c>
      <c r="J71" s="5">
        <f t="shared" si="8"/>
        <v>1563.5151333799995</v>
      </c>
      <c r="K71" s="5">
        <v>0</v>
      </c>
      <c r="L71" s="5">
        <v>0</v>
      </c>
      <c r="M71" s="5">
        <v>0</v>
      </c>
      <c r="N71" s="5">
        <f t="shared" si="45"/>
        <v>0</v>
      </c>
      <c r="O71" s="5">
        <v>0</v>
      </c>
      <c r="P71" s="5">
        <v>0</v>
      </c>
      <c r="Q71" s="5">
        <v>0</v>
      </c>
      <c r="R71" s="5">
        <f t="shared" si="46"/>
        <v>0</v>
      </c>
      <c r="S71" s="5">
        <f t="shared" si="47"/>
        <v>0</v>
      </c>
      <c r="T71" s="5">
        <f>+J71+S71</f>
        <v>1563.5151333799995</v>
      </c>
      <c r="U71" s="3">
        <f t="shared" si="6"/>
        <v>1563.5151333799995</v>
      </c>
      <c r="V71" s="3">
        <f t="shared" si="7"/>
        <v>0</v>
      </c>
    </row>
    <row r="72" spans="1:37" x14ac:dyDescent="0.3">
      <c r="A72" s="9" t="s">
        <v>81</v>
      </c>
      <c r="B72" s="31">
        <v>664.26614017000077</v>
      </c>
      <c r="C72" s="31">
        <v>323.45757210999994</v>
      </c>
      <c r="D72" s="31">
        <v>345.39430250000032</v>
      </c>
      <c r="E72" s="31">
        <f t="shared" si="43"/>
        <v>1333.118014780001</v>
      </c>
      <c r="F72" s="31">
        <v>748.7315372500002</v>
      </c>
      <c r="G72" s="31">
        <v>373.59043405000045</v>
      </c>
      <c r="H72" s="31">
        <v>367.13078849000055</v>
      </c>
      <c r="I72" s="31">
        <f t="shared" si="44"/>
        <v>1489.4527597900014</v>
      </c>
      <c r="J72" s="31">
        <f t="shared" si="8"/>
        <v>2822.5707745700024</v>
      </c>
      <c r="K72" s="31">
        <v>0</v>
      </c>
      <c r="L72" s="31">
        <v>0</v>
      </c>
      <c r="M72" s="31">
        <v>0</v>
      </c>
      <c r="N72" s="31">
        <f t="shared" si="45"/>
        <v>0</v>
      </c>
      <c r="O72" s="31">
        <v>0</v>
      </c>
      <c r="P72" s="31">
        <v>0</v>
      </c>
      <c r="Q72" s="31">
        <v>0</v>
      </c>
      <c r="R72" s="31">
        <f t="shared" si="46"/>
        <v>0</v>
      </c>
      <c r="S72" s="31">
        <f t="shared" si="47"/>
        <v>0</v>
      </c>
      <c r="T72" s="31">
        <f>+J72+S72</f>
        <v>2822.5707745700024</v>
      </c>
      <c r="U72" s="3">
        <f t="shared" ref="U72:U135" si="48">+B72+C72+D72+F72+G72+H72+K72+L72+M72+O72+P72+Q72</f>
        <v>2822.5707745700024</v>
      </c>
      <c r="V72" s="3">
        <f t="shared" ref="V72:V135" si="49">+U72-T72</f>
        <v>0</v>
      </c>
    </row>
    <row r="73" spans="1:37" x14ac:dyDescent="0.3">
      <c r="A73" s="9" t="s">
        <v>82</v>
      </c>
      <c r="B73" s="31"/>
      <c r="C73" s="31"/>
      <c r="D73" s="31"/>
      <c r="E73" s="31"/>
      <c r="F73" s="31"/>
      <c r="G73" s="31"/>
      <c r="H73" s="31"/>
      <c r="I73" s="31"/>
      <c r="J73" s="31">
        <f t="shared" si="8"/>
        <v>0</v>
      </c>
      <c r="K73" s="31"/>
      <c r="L73" s="31"/>
      <c r="M73" s="31"/>
      <c r="N73" s="31"/>
      <c r="O73" s="31"/>
      <c r="P73" s="31"/>
      <c r="Q73" s="31"/>
      <c r="R73" s="31"/>
      <c r="S73" s="31"/>
      <c r="T73" s="31"/>
      <c r="U73" s="3">
        <f t="shared" si="48"/>
        <v>0</v>
      </c>
      <c r="V73" s="3">
        <f t="shared" si="49"/>
        <v>0</v>
      </c>
    </row>
    <row r="74" spans="1:37" x14ac:dyDescent="0.3">
      <c r="A74" s="9" t="s">
        <v>83</v>
      </c>
      <c r="B74" s="5">
        <v>91.490936030000015</v>
      </c>
      <c r="C74" s="5">
        <v>42.297069839999992</v>
      </c>
      <c r="D74" s="5">
        <v>75.523259589999981</v>
      </c>
      <c r="E74" s="5">
        <f t="shared" si="43"/>
        <v>209.31126545999999</v>
      </c>
      <c r="F74" s="5">
        <v>82.759096379999974</v>
      </c>
      <c r="G74" s="5">
        <v>49.386456959999983</v>
      </c>
      <c r="H74" s="5">
        <v>56.720429170000003</v>
      </c>
      <c r="I74" s="5">
        <f t="shared" si="44"/>
        <v>188.86598250999998</v>
      </c>
      <c r="J74" s="5">
        <f t="shared" si="8"/>
        <v>398.17724796999994</v>
      </c>
      <c r="K74" s="5">
        <v>0</v>
      </c>
      <c r="L74" s="5">
        <v>0</v>
      </c>
      <c r="M74" s="5">
        <v>0</v>
      </c>
      <c r="N74" s="5">
        <f t="shared" si="45"/>
        <v>0</v>
      </c>
      <c r="O74" s="5">
        <v>0</v>
      </c>
      <c r="P74" s="5">
        <v>0</v>
      </c>
      <c r="Q74" s="5">
        <v>0</v>
      </c>
      <c r="R74" s="5">
        <f t="shared" si="46"/>
        <v>0</v>
      </c>
      <c r="S74" s="5">
        <f t="shared" si="47"/>
        <v>0</v>
      </c>
      <c r="T74" s="5">
        <f>+J74+S74</f>
        <v>398.17724796999994</v>
      </c>
      <c r="U74" s="3">
        <f t="shared" si="48"/>
        <v>398.17724796999994</v>
      </c>
      <c r="V74" s="3">
        <f t="shared" si="49"/>
        <v>0</v>
      </c>
    </row>
    <row r="75" spans="1:37" x14ac:dyDescent="0.3">
      <c r="U75" s="3">
        <f t="shared" si="48"/>
        <v>0</v>
      </c>
      <c r="V75" s="3">
        <f t="shared" si="49"/>
        <v>0</v>
      </c>
    </row>
    <row r="76" spans="1:37" s="13" customFormat="1" x14ac:dyDescent="0.3">
      <c r="A76" s="13" t="s">
        <v>84</v>
      </c>
      <c r="B76" s="2">
        <f>SUM(B77:B82)</f>
        <v>2239.4767295300007</v>
      </c>
      <c r="C76" s="2">
        <f t="shared" ref="C76:T76" si="50">SUM(C77:C82)</f>
        <v>1297.5879582600003</v>
      </c>
      <c r="D76" s="2">
        <f t="shared" si="50"/>
        <v>1295.3277009900003</v>
      </c>
      <c r="E76" s="2">
        <f t="shared" si="50"/>
        <v>4832.3923887800011</v>
      </c>
      <c r="F76" s="2">
        <f t="shared" si="50"/>
        <v>2124.7725703999999</v>
      </c>
      <c r="G76" s="2">
        <f t="shared" si="50"/>
        <v>1522.0385100999997</v>
      </c>
      <c r="H76" s="2">
        <f t="shared" si="50"/>
        <v>1512.77933631</v>
      </c>
      <c r="I76" s="2">
        <f t="shared" si="50"/>
        <v>5159.5904168099996</v>
      </c>
      <c r="J76" s="2">
        <f t="shared" si="50"/>
        <v>9991.9828055899998</v>
      </c>
      <c r="K76" s="2">
        <f t="shared" si="50"/>
        <v>0</v>
      </c>
      <c r="L76" s="2">
        <f t="shared" si="50"/>
        <v>0</v>
      </c>
      <c r="M76" s="2">
        <f t="shared" si="50"/>
        <v>0</v>
      </c>
      <c r="N76" s="2">
        <f t="shared" si="50"/>
        <v>0</v>
      </c>
      <c r="O76" s="2">
        <f t="shared" si="50"/>
        <v>0</v>
      </c>
      <c r="P76" s="2">
        <f t="shared" si="50"/>
        <v>0</v>
      </c>
      <c r="Q76" s="2">
        <f t="shared" si="50"/>
        <v>0</v>
      </c>
      <c r="R76" s="2">
        <f t="shared" si="50"/>
        <v>0</v>
      </c>
      <c r="S76" s="2">
        <f t="shared" si="50"/>
        <v>0</v>
      </c>
      <c r="T76" s="2">
        <f t="shared" si="50"/>
        <v>9991.9828055899998</v>
      </c>
      <c r="U76" s="3">
        <f t="shared" si="48"/>
        <v>9991.9828055899998</v>
      </c>
      <c r="V76" s="3">
        <f t="shared" si="49"/>
        <v>0</v>
      </c>
      <c r="W76" s="2"/>
      <c r="X76" s="2"/>
      <c r="Y76" s="2"/>
      <c r="Z76" s="2"/>
      <c r="AA76" s="2"/>
      <c r="AB76" s="2"/>
      <c r="AC76" s="2"/>
      <c r="AD76" s="2"/>
      <c r="AE76" s="2"/>
      <c r="AF76" s="2"/>
      <c r="AG76" s="2"/>
      <c r="AH76" s="2"/>
      <c r="AI76" s="2"/>
      <c r="AJ76" s="2"/>
      <c r="AK76" s="2"/>
    </row>
    <row r="77" spans="1:37" x14ac:dyDescent="0.3">
      <c r="A77" s="9" t="s">
        <v>85</v>
      </c>
      <c r="B77" s="5">
        <v>665.55720645000054</v>
      </c>
      <c r="C77" s="5">
        <v>523.70322064000015</v>
      </c>
      <c r="D77" s="5">
        <v>450.33409207999995</v>
      </c>
      <c r="E77" s="5">
        <f t="shared" ref="E77:E82" si="51">+B77+C77+D77</f>
        <v>1639.5945191700005</v>
      </c>
      <c r="F77" s="5">
        <v>718.54227226000216</v>
      </c>
      <c r="G77" s="5">
        <v>463.21463116000007</v>
      </c>
      <c r="H77" s="5">
        <v>512.49847402</v>
      </c>
      <c r="I77" s="5">
        <f t="shared" ref="I77:I82" si="52">+F77+G77+H77</f>
        <v>1694.2553774400023</v>
      </c>
      <c r="J77" s="5">
        <f t="shared" ref="J77:J129" si="53">+E77+I77</f>
        <v>3333.8498966100028</v>
      </c>
      <c r="K77" s="5">
        <v>0</v>
      </c>
      <c r="L77" s="5">
        <v>0</v>
      </c>
      <c r="M77" s="5">
        <v>0</v>
      </c>
      <c r="N77" s="5">
        <f t="shared" ref="N77:N82" si="54">+K77+L77+M77</f>
        <v>0</v>
      </c>
      <c r="O77" s="5">
        <v>0</v>
      </c>
      <c r="P77" s="5">
        <v>0</v>
      </c>
      <c r="Q77" s="5">
        <v>0</v>
      </c>
      <c r="R77" s="5">
        <f t="shared" ref="R77:R82" si="55">+O77+P77+Q77</f>
        <v>0</v>
      </c>
      <c r="S77" s="5">
        <f t="shared" si="47"/>
        <v>0</v>
      </c>
      <c r="T77" s="5">
        <f t="shared" ref="T77:T82" si="56">+J77+S77</f>
        <v>3333.8498966100028</v>
      </c>
      <c r="U77" s="3">
        <f t="shared" si="48"/>
        <v>3333.8498966100024</v>
      </c>
      <c r="V77" s="3">
        <f t="shared" si="49"/>
        <v>0</v>
      </c>
    </row>
    <row r="78" spans="1:37" x14ac:dyDescent="0.3">
      <c r="A78" s="9" t="s">
        <v>86</v>
      </c>
      <c r="B78" s="5">
        <v>181.03765265000024</v>
      </c>
      <c r="C78" s="5">
        <v>101.04321590000002</v>
      </c>
      <c r="D78" s="5">
        <v>125.76129216000008</v>
      </c>
      <c r="E78" s="5">
        <f t="shared" si="51"/>
        <v>407.84216071000037</v>
      </c>
      <c r="F78" s="5">
        <v>166.79530257000022</v>
      </c>
      <c r="G78" s="5">
        <v>120.25034534</v>
      </c>
      <c r="H78" s="5">
        <v>102.53014653999995</v>
      </c>
      <c r="I78" s="5">
        <f t="shared" si="52"/>
        <v>389.5757944500001</v>
      </c>
      <c r="J78" s="5">
        <f t="shared" si="53"/>
        <v>797.41795516000047</v>
      </c>
      <c r="K78" s="5">
        <v>0</v>
      </c>
      <c r="L78" s="5">
        <v>0</v>
      </c>
      <c r="M78" s="5">
        <v>0</v>
      </c>
      <c r="N78" s="5">
        <f t="shared" si="54"/>
        <v>0</v>
      </c>
      <c r="O78" s="5">
        <v>0</v>
      </c>
      <c r="P78" s="5">
        <v>0</v>
      </c>
      <c r="Q78" s="5">
        <v>0</v>
      </c>
      <c r="R78" s="5">
        <f t="shared" si="55"/>
        <v>0</v>
      </c>
      <c r="S78" s="5">
        <f t="shared" si="47"/>
        <v>0</v>
      </c>
      <c r="T78" s="5">
        <f t="shared" si="56"/>
        <v>797.41795516000047</v>
      </c>
      <c r="U78" s="3">
        <f t="shared" si="48"/>
        <v>797.41795516000047</v>
      </c>
      <c r="V78" s="3">
        <f t="shared" si="49"/>
        <v>0</v>
      </c>
    </row>
    <row r="79" spans="1:37" x14ac:dyDescent="0.3">
      <c r="A79" s="9" t="s">
        <v>87</v>
      </c>
      <c r="B79" s="5">
        <v>851.32985163999979</v>
      </c>
      <c r="C79" s="5">
        <v>371.51881488000021</v>
      </c>
      <c r="D79" s="5">
        <v>414.07236072000012</v>
      </c>
      <c r="E79" s="5">
        <f t="shared" si="51"/>
        <v>1636.9210272400001</v>
      </c>
      <c r="F79" s="5">
        <v>727.59348038999747</v>
      </c>
      <c r="G79" s="5">
        <v>572.23979098999962</v>
      </c>
      <c r="H79" s="5">
        <v>522.68680179999956</v>
      </c>
      <c r="I79" s="5">
        <f t="shared" si="52"/>
        <v>1822.5200731799966</v>
      </c>
      <c r="J79" s="5">
        <f t="shared" si="53"/>
        <v>3459.4411004199965</v>
      </c>
      <c r="K79" s="5">
        <v>0</v>
      </c>
      <c r="L79" s="5">
        <v>0</v>
      </c>
      <c r="M79" s="5">
        <v>0</v>
      </c>
      <c r="N79" s="5">
        <f t="shared" si="54"/>
        <v>0</v>
      </c>
      <c r="O79" s="5">
        <v>0</v>
      </c>
      <c r="P79" s="5">
        <v>0</v>
      </c>
      <c r="Q79" s="5">
        <v>0</v>
      </c>
      <c r="R79" s="5">
        <f t="shared" si="55"/>
        <v>0</v>
      </c>
      <c r="S79" s="5">
        <f t="shared" si="47"/>
        <v>0</v>
      </c>
      <c r="T79" s="5">
        <f t="shared" si="56"/>
        <v>3459.4411004199965</v>
      </c>
      <c r="U79" s="3">
        <f t="shared" si="48"/>
        <v>3459.4411004199969</v>
      </c>
      <c r="V79" s="3">
        <f t="shared" si="49"/>
        <v>0</v>
      </c>
    </row>
    <row r="80" spans="1:37" x14ac:dyDescent="0.3">
      <c r="A80" s="9" t="s">
        <v>88</v>
      </c>
      <c r="B80" s="5">
        <v>129.51520966999993</v>
      </c>
      <c r="C80" s="5">
        <v>57.565214539999943</v>
      </c>
      <c r="D80" s="5">
        <v>60.836999989999967</v>
      </c>
      <c r="E80" s="5">
        <f t="shared" si="51"/>
        <v>247.91742419999986</v>
      </c>
      <c r="F80" s="5">
        <v>163.04883176000004</v>
      </c>
      <c r="G80" s="5">
        <v>102.35222414000008</v>
      </c>
      <c r="H80" s="5">
        <v>90.256385159999965</v>
      </c>
      <c r="I80" s="5">
        <f t="shared" si="52"/>
        <v>355.65744106000011</v>
      </c>
      <c r="J80" s="5">
        <f t="shared" si="53"/>
        <v>603.57486526000002</v>
      </c>
      <c r="K80" s="5">
        <v>0</v>
      </c>
      <c r="L80" s="5">
        <v>0</v>
      </c>
      <c r="M80" s="5">
        <v>0</v>
      </c>
      <c r="N80" s="5">
        <f t="shared" si="54"/>
        <v>0</v>
      </c>
      <c r="O80" s="5">
        <v>0</v>
      </c>
      <c r="P80" s="5">
        <v>0</v>
      </c>
      <c r="Q80" s="5">
        <v>0</v>
      </c>
      <c r="R80" s="5">
        <f t="shared" si="55"/>
        <v>0</v>
      </c>
      <c r="S80" s="5">
        <f t="shared" si="47"/>
        <v>0</v>
      </c>
      <c r="T80" s="5">
        <f t="shared" si="56"/>
        <v>603.57486526000002</v>
      </c>
      <c r="U80" s="3">
        <f t="shared" si="48"/>
        <v>603.57486525999991</v>
      </c>
      <c r="V80" s="3">
        <f t="shared" si="49"/>
        <v>0</v>
      </c>
    </row>
    <row r="81" spans="1:37" x14ac:dyDescent="0.3">
      <c r="A81" s="9" t="s">
        <v>89</v>
      </c>
      <c r="B81" s="5">
        <v>179.22897128000002</v>
      </c>
      <c r="C81" s="5">
        <v>130.54320712999996</v>
      </c>
      <c r="D81" s="5">
        <v>115.29244592000003</v>
      </c>
      <c r="E81" s="5">
        <f t="shared" si="51"/>
        <v>425.06462433000002</v>
      </c>
      <c r="F81" s="5">
        <v>151.98786387999982</v>
      </c>
      <c r="G81" s="5">
        <v>121.93757622</v>
      </c>
      <c r="H81" s="5">
        <v>111.70022586000002</v>
      </c>
      <c r="I81" s="5">
        <f t="shared" si="52"/>
        <v>385.62566595999988</v>
      </c>
      <c r="J81" s="5">
        <f t="shared" si="53"/>
        <v>810.69029028999989</v>
      </c>
      <c r="K81" s="5">
        <v>0</v>
      </c>
      <c r="L81" s="5">
        <v>0</v>
      </c>
      <c r="M81" s="5">
        <v>0</v>
      </c>
      <c r="N81" s="5">
        <f t="shared" si="54"/>
        <v>0</v>
      </c>
      <c r="O81" s="5">
        <v>0</v>
      </c>
      <c r="P81" s="5">
        <v>0</v>
      </c>
      <c r="Q81" s="5">
        <v>0</v>
      </c>
      <c r="R81" s="5">
        <f t="shared" si="55"/>
        <v>0</v>
      </c>
      <c r="S81" s="5">
        <f t="shared" si="47"/>
        <v>0</v>
      </c>
      <c r="T81" s="5">
        <f t="shared" si="56"/>
        <v>810.69029028999989</v>
      </c>
      <c r="U81" s="3">
        <f t="shared" si="48"/>
        <v>810.69029028999989</v>
      </c>
      <c r="V81" s="3">
        <f t="shared" si="49"/>
        <v>0</v>
      </c>
    </row>
    <row r="82" spans="1:37" x14ac:dyDescent="0.3">
      <c r="A82" s="9" t="s">
        <v>90</v>
      </c>
      <c r="B82" s="5">
        <v>232.80783784000016</v>
      </c>
      <c r="C82" s="5">
        <v>113.21428516999998</v>
      </c>
      <c r="D82" s="5">
        <v>129.03051012000006</v>
      </c>
      <c r="E82" s="5">
        <f t="shared" si="51"/>
        <v>475.05263313000023</v>
      </c>
      <c r="F82" s="5">
        <v>196.80481954000007</v>
      </c>
      <c r="G82" s="5">
        <v>142.04394225000004</v>
      </c>
      <c r="H82" s="5">
        <v>173.10730293000026</v>
      </c>
      <c r="I82" s="5">
        <f t="shared" si="52"/>
        <v>511.95606472000043</v>
      </c>
      <c r="J82" s="5">
        <f t="shared" si="53"/>
        <v>987.00869785000066</v>
      </c>
      <c r="K82" s="5">
        <v>0</v>
      </c>
      <c r="L82" s="5">
        <v>0</v>
      </c>
      <c r="M82" s="5">
        <v>0</v>
      </c>
      <c r="N82" s="5">
        <f t="shared" si="54"/>
        <v>0</v>
      </c>
      <c r="O82" s="5">
        <v>0</v>
      </c>
      <c r="P82" s="5">
        <v>0</v>
      </c>
      <c r="Q82" s="5">
        <v>0</v>
      </c>
      <c r="R82" s="5">
        <f t="shared" si="55"/>
        <v>0</v>
      </c>
      <c r="S82" s="5">
        <f t="shared" si="47"/>
        <v>0</v>
      </c>
      <c r="T82" s="5">
        <f t="shared" si="56"/>
        <v>987.00869785000066</v>
      </c>
      <c r="U82" s="3">
        <f t="shared" si="48"/>
        <v>987.00869785000054</v>
      </c>
      <c r="V82" s="3">
        <f t="shared" si="49"/>
        <v>0</v>
      </c>
    </row>
    <row r="83" spans="1:37" x14ac:dyDescent="0.3">
      <c r="U83" s="3">
        <f t="shared" si="48"/>
        <v>0</v>
      </c>
      <c r="V83" s="3">
        <f t="shared" si="49"/>
        <v>0</v>
      </c>
    </row>
    <row r="84" spans="1:37" s="13" customFormat="1" x14ac:dyDescent="0.3">
      <c r="A84" s="13" t="s">
        <v>91</v>
      </c>
      <c r="B84" s="2">
        <f>SUM(B85:B89)</f>
        <v>2227.3701826099987</v>
      </c>
      <c r="C84" s="2">
        <f t="shared" ref="C84:T84" si="57">SUM(C85:C89)</f>
        <v>1263.6659528099995</v>
      </c>
      <c r="D84" s="2">
        <f t="shared" si="57"/>
        <v>1372.4060893199999</v>
      </c>
      <c r="E84" s="2">
        <f t="shared" si="57"/>
        <v>4863.442224739998</v>
      </c>
      <c r="F84" s="2">
        <f t="shared" si="57"/>
        <v>2518.8534442600003</v>
      </c>
      <c r="G84" s="2">
        <f t="shared" si="57"/>
        <v>1521.8139971900005</v>
      </c>
      <c r="H84" s="2">
        <f t="shared" si="57"/>
        <v>1371.7134539300005</v>
      </c>
      <c r="I84" s="2">
        <f t="shared" si="57"/>
        <v>5412.3808953800017</v>
      </c>
      <c r="J84" s="2">
        <f t="shared" si="57"/>
        <v>10275.82312012</v>
      </c>
      <c r="K84" s="2">
        <f t="shared" si="57"/>
        <v>0</v>
      </c>
      <c r="L84" s="2">
        <f t="shared" si="57"/>
        <v>0</v>
      </c>
      <c r="M84" s="2">
        <f t="shared" si="57"/>
        <v>0</v>
      </c>
      <c r="N84" s="2">
        <f t="shared" si="57"/>
        <v>0</v>
      </c>
      <c r="O84" s="2">
        <f t="shared" si="57"/>
        <v>0</v>
      </c>
      <c r="P84" s="2">
        <f t="shared" si="57"/>
        <v>0</v>
      </c>
      <c r="Q84" s="2">
        <f t="shared" si="57"/>
        <v>0</v>
      </c>
      <c r="R84" s="2">
        <f t="shared" si="57"/>
        <v>0</v>
      </c>
      <c r="S84" s="2">
        <f t="shared" si="57"/>
        <v>0</v>
      </c>
      <c r="T84" s="2">
        <f t="shared" si="57"/>
        <v>10275.82312012</v>
      </c>
      <c r="U84" s="3">
        <f t="shared" si="48"/>
        <v>10275.82312012</v>
      </c>
      <c r="V84" s="3">
        <f t="shared" si="49"/>
        <v>0</v>
      </c>
      <c r="W84" s="2"/>
      <c r="X84" s="2"/>
      <c r="Y84" s="2"/>
      <c r="Z84" s="2"/>
      <c r="AA84" s="2"/>
      <c r="AB84" s="2"/>
      <c r="AC84" s="2"/>
      <c r="AD84" s="2"/>
      <c r="AE84" s="2"/>
      <c r="AF84" s="2"/>
      <c r="AG84" s="2"/>
      <c r="AH84" s="2"/>
      <c r="AI84" s="2"/>
      <c r="AJ84" s="2"/>
      <c r="AK84" s="2"/>
    </row>
    <row r="85" spans="1:37" x14ac:dyDescent="0.3">
      <c r="A85" s="9" t="s">
        <v>92</v>
      </c>
      <c r="B85" s="5">
        <v>360.01053571000125</v>
      </c>
      <c r="C85" s="5">
        <v>186.74434359999992</v>
      </c>
      <c r="D85" s="5">
        <v>194.93651544999969</v>
      </c>
      <c r="E85" s="5">
        <f t="shared" ref="E85:E89" si="58">+B85+C85+D85</f>
        <v>741.69139476000078</v>
      </c>
      <c r="F85" s="5">
        <v>438.70364004000135</v>
      </c>
      <c r="G85" s="5">
        <v>216.42780657999998</v>
      </c>
      <c r="H85" s="5">
        <v>218.8803115599998</v>
      </c>
      <c r="I85" s="5">
        <f t="shared" ref="I85:I89" si="59">+F85+G85+H85</f>
        <v>874.01175818000104</v>
      </c>
      <c r="J85" s="5">
        <f t="shared" si="53"/>
        <v>1615.7031529400019</v>
      </c>
      <c r="K85" s="5">
        <v>0</v>
      </c>
      <c r="L85" s="5">
        <v>0</v>
      </c>
      <c r="M85" s="5">
        <v>0</v>
      </c>
      <c r="N85" s="5">
        <f t="shared" ref="N85:N89" si="60">+K85+L85+M85</f>
        <v>0</v>
      </c>
      <c r="O85" s="5">
        <v>0</v>
      </c>
      <c r="P85" s="5">
        <v>0</v>
      </c>
      <c r="Q85" s="5">
        <v>0</v>
      </c>
      <c r="R85" s="5">
        <f t="shared" ref="R85:R89" si="61">+O85+P85+Q85</f>
        <v>0</v>
      </c>
      <c r="S85" s="5">
        <f t="shared" si="47"/>
        <v>0</v>
      </c>
      <c r="T85" s="5">
        <f t="shared" ref="T85:T89" si="62">+J85+S85</f>
        <v>1615.7031529400019</v>
      </c>
      <c r="U85" s="3">
        <f t="shared" si="48"/>
        <v>1615.7031529400019</v>
      </c>
      <c r="V85" s="3">
        <f t="shared" si="49"/>
        <v>0</v>
      </c>
    </row>
    <row r="86" spans="1:37" x14ac:dyDescent="0.3">
      <c r="A86" s="9" t="s">
        <v>93</v>
      </c>
      <c r="B86" s="5">
        <v>126.62939552999985</v>
      </c>
      <c r="C86" s="5">
        <v>95.510282510000053</v>
      </c>
      <c r="D86" s="5">
        <v>77.708030319999978</v>
      </c>
      <c r="E86" s="5">
        <f t="shared" si="58"/>
        <v>299.8477083599999</v>
      </c>
      <c r="F86" s="5">
        <v>120.92419182999983</v>
      </c>
      <c r="G86" s="5">
        <v>94.824658610000014</v>
      </c>
      <c r="H86" s="5">
        <v>94.464170919999972</v>
      </c>
      <c r="I86" s="5">
        <f t="shared" si="59"/>
        <v>310.2130213599998</v>
      </c>
      <c r="J86" s="5">
        <f t="shared" si="53"/>
        <v>610.0607297199997</v>
      </c>
      <c r="K86" s="5">
        <v>0</v>
      </c>
      <c r="L86" s="5">
        <v>0</v>
      </c>
      <c r="M86" s="5">
        <v>0</v>
      </c>
      <c r="N86" s="5">
        <f t="shared" si="60"/>
        <v>0</v>
      </c>
      <c r="O86" s="5">
        <v>0</v>
      </c>
      <c r="P86" s="5">
        <v>0</v>
      </c>
      <c r="Q86" s="5">
        <v>0</v>
      </c>
      <c r="R86" s="5">
        <f t="shared" si="61"/>
        <v>0</v>
      </c>
      <c r="S86" s="5">
        <f t="shared" si="47"/>
        <v>0</v>
      </c>
      <c r="T86" s="5">
        <f t="shared" si="62"/>
        <v>610.0607297199997</v>
      </c>
      <c r="U86" s="3">
        <f t="shared" si="48"/>
        <v>610.0607297199997</v>
      </c>
      <c r="V86" s="3">
        <f t="shared" si="49"/>
        <v>0</v>
      </c>
    </row>
    <row r="87" spans="1:37" x14ac:dyDescent="0.3">
      <c r="A87" s="9" t="s">
        <v>94</v>
      </c>
      <c r="B87" s="5">
        <v>220.84666976</v>
      </c>
      <c r="C87" s="5">
        <v>140.12474213000004</v>
      </c>
      <c r="D87" s="5">
        <v>158.13667021000012</v>
      </c>
      <c r="E87" s="5">
        <f t="shared" si="58"/>
        <v>519.10808210000016</v>
      </c>
      <c r="F87" s="5">
        <v>218.59088077999985</v>
      </c>
      <c r="G87" s="5">
        <v>175.40221239999997</v>
      </c>
      <c r="H87" s="5">
        <v>173.11546177000002</v>
      </c>
      <c r="I87" s="5">
        <f t="shared" si="59"/>
        <v>567.10855494999987</v>
      </c>
      <c r="J87" s="5">
        <f t="shared" si="53"/>
        <v>1086.2166370499999</v>
      </c>
      <c r="K87" s="5">
        <v>0</v>
      </c>
      <c r="L87" s="5">
        <v>0</v>
      </c>
      <c r="M87" s="5">
        <v>0</v>
      </c>
      <c r="N87" s="5">
        <f t="shared" si="60"/>
        <v>0</v>
      </c>
      <c r="O87" s="5">
        <v>0</v>
      </c>
      <c r="P87" s="5">
        <v>0</v>
      </c>
      <c r="Q87" s="5">
        <v>0</v>
      </c>
      <c r="R87" s="5">
        <f t="shared" si="61"/>
        <v>0</v>
      </c>
      <c r="S87" s="5">
        <f t="shared" si="47"/>
        <v>0</v>
      </c>
      <c r="T87" s="5">
        <f t="shared" si="62"/>
        <v>1086.2166370499999</v>
      </c>
      <c r="U87" s="3">
        <f t="shared" si="48"/>
        <v>1086.2166370499999</v>
      </c>
      <c r="V87" s="3">
        <f t="shared" si="49"/>
        <v>0</v>
      </c>
    </row>
    <row r="88" spans="1:37" ht="16.5" x14ac:dyDescent="0.3">
      <c r="A88" s="9" t="s">
        <v>95</v>
      </c>
      <c r="B88" s="5">
        <v>191.7051701</v>
      </c>
      <c r="C88" s="5">
        <v>112.51506763000002</v>
      </c>
      <c r="D88" s="5">
        <v>165.39607064000003</v>
      </c>
      <c r="E88" s="5">
        <f t="shared" si="58"/>
        <v>469.61630837000007</v>
      </c>
      <c r="F88" s="5">
        <v>230.90746136000041</v>
      </c>
      <c r="G88" s="5">
        <v>157.71272680999999</v>
      </c>
      <c r="H88" s="5">
        <v>151.81661327000023</v>
      </c>
      <c r="I88" s="5">
        <f t="shared" si="59"/>
        <v>540.43680144000064</v>
      </c>
      <c r="J88" s="5">
        <f t="shared" si="53"/>
        <v>1010.0531098100007</v>
      </c>
      <c r="K88" s="5">
        <v>0</v>
      </c>
      <c r="L88" s="5">
        <v>0</v>
      </c>
      <c r="M88" s="5">
        <v>0</v>
      </c>
      <c r="N88" s="5">
        <f t="shared" si="60"/>
        <v>0</v>
      </c>
      <c r="O88" s="5">
        <v>0</v>
      </c>
      <c r="P88" s="5">
        <v>0</v>
      </c>
      <c r="Q88" s="5">
        <v>0</v>
      </c>
      <c r="R88" s="5">
        <f t="shared" si="61"/>
        <v>0</v>
      </c>
      <c r="S88" s="5">
        <f t="shared" si="47"/>
        <v>0</v>
      </c>
      <c r="T88" s="5">
        <f t="shared" si="62"/>
        <v>1010.0531098100007</v>
      </c>
      <c r="U88" s="3">
        <f t="shared" si="48"/>
        <v>1010.0531098100007</v>
      </c>
      <c r="V88" s="3">
        <f t="shared" si="49"/>
        <v>0</v>
      </c>
    </row>
    <row r="89" spans="1:37" ht="16.5" x14ac:dyDescent="0.3">
      <c r="A89" s="9" t="s">
        <v>96</v>
      </c>
      <c r="B89" s="31">
        <v>1328.1784115099977</v>
      </c>
      <c r="C89" s="31">
        <v>728.77151693999951</v>
      </c>
      <c r="D89" s="31">
        <v>776.22880269999985</v>
      </c>
      <c r="E89" s="31">
        <f t="shared" si="58"/>
        <v>2833.178731149997</v>
      </c>
      <c r="F89" s="31">
        <v>1509.727270249999</v>
      </c>
      <c r="G89" s="31">
        <v>877.44659279000041</v>
      </c>
      <c r="H89" s="31">
        <v>733.43689641000037</v>
      </c>
      <c r="I89" s="31">
        <f t="shared" si="59"/>
        <v>3120.6107594499999</v>
      </c>
      <c r="J89" s="31">
        <f t="shared" si="53"/>
        <v>5953.7894905999965</v>
      </c>
      <c r="K89" s="31">
        <v>0</v>
      </c>
      <c r="L89" s="31">
        <v>0</v>
      </c>
      <c r="M89" s="31">
        <v>0</v>
      </c>
      <c r="N89" s="31">
        <f t="shared" si="60"/>
        <v>0</v>
      </c>
      <c r="O89" s="31">
        <v>0</v>
      </c>
      <c r="P89" s="31">
        <v>0</v>
      </c>
      <c r="Q89" s="31">
        <v>0</v>
      </c>
      <c r="R89" s="31">
        <f t="shared" si="61"/>
        <v>0</v>
      </c>
      <c r="S89" s="31">
        <f t="shared" si="47"/>
        <v>0</v>
      </c>
      <c r="T89" s="31">
        <f t="shared" si="62"/>
        <v>5953.7894905999965</v>
      </c>
      <c r="U89" s="3">
        <f t="shared" si="48"/>
        <v>5953.7894905999965</v>
      </c>
      <c r="V89" s="3">
        <f t="shared" si="49"/>
        <v>0</v>
      </c>
    </row>
    <row r="90" spans="1:37" x14ac:dyDescent="0.3">
      <c r="A90" s="9" t="s">
        <v>97</v>
      </c>
      <c r="B90" s="31"/>
      <c r="C90" s="31"/>
      <c r="D90" s="31"/>
      <c r="E90" s="31"/>
      <c r="F90" s="31"/>
      <c r="G90" s="31"/>
      <c r="H90" s="31"/>
      <c r="I90" s="31"/>
      <c r="J90" s="31"/>
      <c r="K90" s="31"/>
      <c r="L90" s="31"/>
      <c r="M90" s="31"/>
      <c r="N90" s="31"/>
      <c r="O90" s="31"/>
      <c r="P90" s="31"/>
      <c r="Q90" s="31"/>
      <c r="R90" s="31"/>
      <c r="S90" s="31"/>
      <c r="T90" s="31"/>
      <c r="U90" s="3">
        <f t="shared" si="48"/>
        <v>0</v>
      </c>
      <c r="V90" s="3">
        <f t="shared" si="49"/>
        <v>0</v>
      </c>
    </row>
    <row r="91" spans="1:37" x14ac:dyDescent="0.3">
      <c r="U91" s="3">
        <f t="shared" si="48"/>
        <v>0</v>
      </c>
      <c r="V91" s="3">
        <f t="shared" si="49"/>
        <v>0</v>
      </c>
    </row>
    <row r="92" spans="1:37" s="13" customFormat="1" x14ac:dyDescent="0.3">
      <c r="A92" s="13" t="s">
        <v>98</v>
      </c>
      <c r="B92" s="2">
        <f>SUM(B93:B95)</f>
        <v>1996.0681458099966</v>
      </c>
      <c r="C92" s="2">
        <f t="shared" ref="C92:T92" si="63">SUM(C93:C95)</f>
        <v>1021.8465623800004</v>
      </c>
      <c r="D92" s="2">
        <f t="shared" si="63"/>
        <v>1242.9422690300003</v>
      </c>
      <c r="E92" s="2">
        <f t="shared" si="63"/>
        <v>4260.8569772199971</v>
      </c>
      <c r="F92" s="2">
        <f t="shared" si="63"/>
        <v>2202.624924650001</v>
      </c>
      <c r="G92" s="2">
        <f t="shared" si="63"/>
        <v>1305.0167277399996</v>
      </c>
      <c r="H92" s="2">
        <f t="shared" si="63"/>
        <v>1192.8431999499999</v>
      </c>
      <c r="I92" s="2">
        <f t="shared" si="63"/>
        <v>4700.4848523400005</v>
      </c>
      <c r="J92" s="2">
        <f t="shared" si="63"/>
        <v>8961.3418295599986</v>
      </c>
      <c r="K92" s="2">
        <f t="shared" si="63"/>
        <v>0</v>
      </c>
      <c r="L92" s="2">
        <f t="shared" si="63"/>
        <v>0</v>
      </c>
      <c r="M92" s="2">
        <f t="shared" si="63"/>
        <v>0</v>
      </c>
      <c r="N92" s="2">
        <f t="shared" si="63"/>
        <v>0</v>
      </c>
      <c r="O92" s="2">
        <f t="shared" si="63"/>
        <v>0</v>
      </c>
      <c r="P92" s="2">
        <f t="shared" si="63"/>
        <v>0</v>
      </c>
      <c r="Q92" s="2">
        <f t="shared" si="63"/>
        <v>0</v>
      </c>
      <c r="R92" s="2">
        <f t="shared" si="63"/>
        <v>0</v>
      </c>
      <c r="S92" s="2">
        <f t="shared" si="63"/>
        <v>0</v>
      </c>
      <c r="T92" s="2">
        <f t="shared" si="63"/>
        <v>8961.3418295599986</v>
      </c>
      <c r="U92" s="3">
        <f t="shared" si="48"/>
        <v>8961.3418295599986</v>
      </c>
      <c r="V92" s="3">
        <f t="shared" si="49"/>
        <v>0</v>
      </c>
      <c r="W92" s="2"/>
      <c r="X92" s="2"/>
      <c r="Y92" s="2"/>
      <c r="Z92" s="2"/>
      <c r="AA92" s="2"/>
      <c r="AB92" s="2"/>
      <c r="AC92" s="2"/>
      <c r="AD92" s="2"/>
      <c r="AE92" s="2"/>
      <c r="AF92" s="2"/>
      <c r="AG92" s="2"/>
      <c r="AH92" s="2"/>
      <c r="AI92" s="2"/>
      <c r="AJ92" s="2"/>
      <c r="AK92" s="2"/>
    </row>
    <row r="93" spans="1:37" x14ac:dyDescent="0.3">
      <c r="A93" s="9" t="s">
        <v>99</v>
      </c>
      <c r="B93" s="31">
        <v>1507.4715671799972</v>
      </c>
      <c r="C93" s="31">
        <v>699.95003225000016</v>
      </c>
      <c r="D93" s="31">
        <v>901.74472501999981</v>
      </c>
      <c r="E93" s="31">
        <f t="shared" ref="E93:E153" si="64">+B93+C93+D93</f>
        <v>3109.1663244499973</v>
      </c>
      <c r="F93" s="31">
        <v>1657.4566851500019</v>
      </c>
      <c r="G93" s="31">
        <v>905.04908785999964</v>
      </c>
      <c r="H93" s="31">
        <v>848.38019614000018</v>
      </c>
      <c r="I93" s="31">
        <f t="shared" ref="I93:I153" si="65">+F93+G93+H93</f>
        <v>3410.885969150002</v>
      </c>
      <c r="J93" s="31">
        <f t="shared" si="53"/>
        <v>6520.0522935999998</v>
      </c>
      <c r="K93" s="31">
        <v>0</v>
      </c>
      <c r="L93" s="31">
        <v>0</v>
      </c>
      <c r="M93" s="31">
        <v>0</v>
      </c>
      <c r="N93" s="31">
        <f t="shared" ref="N93:N153" si="66">+K93+L93+M93</f>
        <v>0</v>
      </c>
      <c r="O93" s="31">
        <v>0</v>
      </c>
      <c r="P93" s="31">
        <v>0</v>
      </c>
      <c r="Q93" s="31">
        <v>0</v>
      </c>
      <c r="R93" s="31">
        <f t="shared" ref="R93:R153" si="67">+O93+P93+Q93</f>
        <v>0</v>
      </c>
      <c r="S93" s="31">
        <f t="shared" si="47"/>
        <v>0</v>
      </c>
      <c r="T93" s="31">
        <f>+J93+S93</f>
        <v>6520.0522935999998</v>
      </c>
      <c r="U93" s="3">
        <f t="shared" si="48"/>
        <v>6520.0522935999988</v>
      </c>
      <c r="V93" s="3">
        <f t="shared" si="49"/>
        <v>0</v>
      </c>
    </row>
    <row r="94" spans="1:37" x14ac:dyDescent="0.3">
      <c r="A94" s="9" t="s">
        <v>100</v>
      </c>
      <c r="B94" s="31"/>
      <c r="C94" s="31"/>
      <c r="D94" s="31"/>
      <c r="E94" s="31"/>
      <c r="F94" s="31"/>
      <c r="G94" s="31"/>
      <c r="H94" s="31"/>
      <c r="I94" s="31"/>
      <c r="J94" s="31"/>
      <c r="K94" s="31"/>
      <c r="L94" s="31"/>
      <c r="M94" s="31"/>
      <c r="N94" s="31"/>
      <c r="O94" s="31"/>
      <c r="P94" s="31"/>
      <c r="Q94" s="31"/>
      <c r="R94" s="31"/>
      <c r="S94" s="31"/>
      <c r="T94" s="31"/>
      <c r="U94" s="3">
        <f t="shared" si="48"/>
        <v>0</v>
      </c>
      <c r="V94" s="3">
        <f t="shared" si="49"/>
        <v>0</v>
      </c>
    </row>
    <row r="95" spans="1:37" x14ac:dyDescent="0.3">
      <c r="A95" s="9" t="s">
        <v>101</v>
      </c>
      <c r="B95" s="31">
        <v>488.59657862999933</v>
      </c>
      <c r="C95" s="31">
        <v>321.8965301300002</v>
      </c>
      <c r="D95" s="31">
        <v>341.19754401000034</v>
      </c>
      <c r="E95" s="31">
        <f t="shared" si="64"/>
        <v>1151.6906527699998</v>
      </c>
      <c r="F95" s="31">
        <v>545.16823949999912</v>
      </c>
      <c r="G95" s="31">
        <v>399.96763988000009</v>
      </c>
      <c r="H95" s="31">
        <v>344.46300380999963</v>
      </c>
      <c r="I95" s="31">
        <f t="shared" si="65"/>
        <v>1289.5988831899988</v>
      </c>
      <c r="J95" s="31">
        <f t="shared" si="53"/>
        <v>2441.2895359599988</v>
      </c>
      <c r="K95" s="31">
        <v>0</v>
      </c>
      <c r="L95" s="31">
        <v>0</v>
      </c>
      <c r="M95" s="31">
        <v>0</v>
      </c>
      <c r="N95" s="31">
        <f t="shared" si="66"/>
        <v>0</v>
      </c>
      <c r="O95" s="31">
        <v>0</v>
      </c>
      <c r="P95" s="31">
        <v>0</v>
      </c>
      <c r="Q95" s="31">
        <v>0</v>
      </c>
      <c r="R95" s="31">
        <f t="shared" si="67"/>
        <v>0</v>
      </c>
      <c r="S95" s="31">
        <f t="shared" si="47"/>
        <v>0</v>
      </c>
      <c r="T95" s="31">
        <f>+J95+S95</f>
        <v>2441.2895359599988</v>
      </c>
      <c r="U95" s="3">
        <f t="shared" si="48"/>
        <v>2441.2895359599984</v>
      </c>
      <c r="V95" s="3">
        <f t="shared" si="49"/>
        <v>0</v>
      </c>
    </row>
    <row r="96" spans="1:37" x14ac:dyDescent="0.3">
      <c r="A96" s="9" t="s">
        <v>102</v>
      </c>
      <c r="B96" s="31"/>
      <c r="C96" s="31"/>
      <c r="D96" s="31"/>
      <c r="E96" s="31"/>
      <c r="F96" s="31"/>
      <c r="G96" s="31"/>
      <c r="H96" s="31"/>
      <c r="I96" s="31"/>
      <c r="J96" s="31"/>
      <c r="K96" s="31"/>
      <c r="L96" s="31"/>
      <c r="M96" s="31"/>
      <c r="N96" s="31"/>
      <c r="O96" s="31"/>
      <c r="P96" s="31"/>
      <c r="Q96" s="31"/>
      <c r="R96" s="31"/>
      <c r="S96" s="31"/>
      <c r="T96" s="31"/>
      <c r="U96" s="3">
        <f t="shared" si="48"/>
        <v>0</v>
      </c>
      <c r="V96" s="3">
        <f t="shared" si="49"/>
        <v>0</v>
      </c>
    </row>
    <row r="97" spans="1:37" x14ac:dyDescent="0.3">
      <c r="U97" s="3">
        <f t="shared" si="48"/>
        <v>0</v>
      </c>
      <c r="V97" s="3">
        <f t="shared" si="49"/>
        <v>0</v>
      </c>
    </row>
    <row r="98" spans="1:37" s="13" customFormat="1" x14ac:dyDescent="0.3">
      <c r="A98" s="13" t="s">
        <v>103</v>
      </c>
      <c r="B98" s="2">
        <f>SUM(B99:B104)</f>
        <v>11938.705290500011</v>
      </c>
      <c r="C98" s="2">
        <f t="shared" ref="C98:T98" si="68">SUM(C99:C104)</f>
        <v>5489.0039608200004</v>
      </c>
      <c r="D98" s="2">
        <f t="shared" si="68"/>
        <v>6669.5866715499997</v>
      </c>
      <c r="E98" s="2">
        <f t="shared" si="68"/>
        <v>24097.295922870013</v>
      </c>
      <c r="F98" s="2">
        <f t="shared" si="68"/>
        <v>13446.659083789998</v>
      </c>
      <c r="G98" s="2">
        <f t="shared" si="68"/>
        <v>9255.4863346899947</v>
      </c>
      <c r="H98" s="2">
        <f t="shared" si="68"/>
        <v>6295.5473443799992</v>
      </c>
      <c r="I98" s="2">
        <f t="shared" si="68"/>
        <v>28997.692762859991</v>
      </c>
      <c r="J98" s="2">
        <f t="shared" si="68"/>
        <v>53094.988685730001</v>
      </c>
      <c r="K98" s="2">
        <f t="shared" si="68"/>
        <v>0</v>
      </c>
      <c r="L98" s="2">
        <f t="shared" si="68"/>
        <v>0</v>
      </c>
      <c r="M98" s="2">
        <f t="shared" si="68"/>
        <v>0</v>
      </c>
      <c r="N98" s="2">
        <f t="shared" si="68"/>
        <v>0</v>
      </c>
      <c r="O98" s="2">
        <f t="shared" si="68"/>
        <v>0</v>
      </c>
      <c r="P98" s="2">
        <f t="shared" si="68"/>
        <v>0</v>
      </c>
      <c r="Q98" s="2">
        <f t="shared" si="68"/>
        <v>0</v>
      </c>
      <c r="R98" s="2">
        <f t="shared" si="68"/>
        <v>0</v>
      </c>
      <c r="S98" s="2">
        <f t="shared" si="68"/>
        <v>0</v>
      </c>
      <c r="T98" s="2">
        <f t="shared" si="68"/>
        <v>53094.988685730001</v>
      </c>
      <c r="U98" s="3">
        <f t="shared" si="48"/>
        <v>53094.988685730008</v>
      </c>
      <c r="V98" s="3">
        <f t="shared" si="49"/>
        <v>0</v>
      </c>
      <c r="W98" s="2"/>
      <c r="X98" s="2"/>
      <c r="Y98" s="2"/>
      <c r="Z98" s="2"/>
      <c r="AA98" s="2"/>
      <c r="AB98" s="2"/>
      <c r="AC98" s="2"/>
      <c r="AD98" s="2"/>
      <c r="AE98" s="2"/>
      <c r="AF98" s="2"/>
      <c r="AG98" s="2"/>
      <c r="AH98" s="2"/>
      <c r="AI98" s="2"/>
      <c r="AJ98" s="2"/>
      <c r="AK98" s="2"/>
    </row>
    <row r="99" spans="1:37" x14ac:dyDescent="0.3">
      <c r="A99" s="9" t="s">
        <v>104</v>
      </c>
      <c r="B99" s="5">
        <v>511.31010735000007</v>
      </c>
      <c r="C99" s="5">
        <v>288.99409894000019</v>
      </c>
      <c r="D99" s="5">
        <v>361.63238164000006</v>
      </c>
      <c r="E99" s="5">
        <f t="shared" si="64"/>
        <v>1161.9365879300003</v>
      </c>
      <c r="F99" s="5">
        <v>669.95816381000054</v>
      </c>
      <c r="G99" s="5">
        <v>389.42891520999984</v>
      </c>
      <c r="H99" s="5">
        <v>374.35601413999973</v>
      </c>
      <c r="I99" s="5">
        <f t="shared" si="65"/>
        <v>1433.7430931600002</v>
      </c>
      <c r="J99" s="5">
        <f t="shared" si="53"/>
        <v>2595.6796810900005</v>
      </c>
      <c r="K99" s="5">
        <v>0</v>
      </c>
      <c r="L99" s="5">
        <v>0</v>
      </c>
      <c r="M99" s="5">
        <v>0</v>
      </c>
      <c r="N99" s="5">
        <f t="shared" si="66"/>
        <v>0</v>
      </c>
      <c r="O99" s="5">
        <v>0</v>
      </c>
      <c r="P99" s="5">
        <v>0</v>
      </c>
      <c r="Q99" s="5">
        <v>0</v>
      </c>
      <c r="R99" s="5">
        <f t="shared" si="67"/>
        <v>0</v>
      </c>
      <c r="S99" s="5">
        <f t="shared" si="47"/>
        <v>0</v>
      </c>
      <c r="T99" s="5">
        <f>+J99+S99</f>
        <v>2595.6796810900005</v>
      </c>
      <c r="U99" s="3">
        <f t="shared" si="48"/>
        <v>2595.6796810900005</v>
      </c>
      <c r="V99" s="3">
        <f t="shared" si="49"/>
        <v>0</v>
      </c>
    </row>
    <row r="100" spans="1:37" x14ac:dyDescent="0.3">
      <c r="A100" s="9" t="s">
        <v>105</v>
      </c>
      <c r="B100" s="31">
        <v>2422.0281971100062</v>
      </c>
      <c r="C100" s="31">
        <v>1242.8906992900011</v>
      </c>
      <c r="D100" s="31">
        <v>1385.6191616299977</v>
      </c>
      <c r="E100" s="31">
        <f t="shared" si="64"/>
        <v>5050.5380580300052</v>
      </c>
      <c r="F100" s="31">
        <v>3279.4521247600028</v>
      </c>
      <c r="G100" s="31">
        <v>1835.5795034799974</v>
      </c>
      <c r="H100" s="31">
        <v>1362.7614561900004</v>
      </c>
      <c r="I100" s="31">
        <f t="shared" si="65"/>
        <v>6477.7930844300008</v>
      </c>
      <c r="J100" s="31">
        <f t="shared" si="53"/>
        <v>11528.331142460007</v>
      </c>
      <c r="K100" s="31">
        <v>0</v>
      </c>
      <c r="L100" s="31">
        <v>0</v>
      </c>
      <c r="M100" s="31">
        <v>0</v>
      </c>
      <c r="N100" s="31">
        <f t="shared" si="66"/>
        <v>0</v>
      </c>
      <c r="O100" s="31">
        <v>0</v>
      </c>
      <c r="P100" s="31">
        <v>0</v>
      </c>
      <c r="Q100" s="31">
        <v>0</v>
      </c>
      <c r="R100" s="31">
        <f t="shared" si="67"/>
        <v>0</v>
      </c>
      <c r="S100" s="31">
        <f t="shared" si="47"/>
        <v>0</v>
      </c>
      <c r="T100" s="31">
        <f>+J100+S100</f>
        <v>11528.331142460007</v>
      </c>
      <c r="U100" s="3">
        <f t="shared" si="48"/>
        <v>11528.331142460007</v>
      </c>
      <c r="V100" s="3">
        <f t="shared" si="49"/>
        <v>0</v>
      </c>
    </row>
    <row r="101" spans="1:37" x14ac:dyDescent="0.3">
      <c r="A101" s="9" t="s">
        <v>106</v>
      </c>
      <c r="B101" s="31"/>
      <c r="C101" s="31"/>
      <c r="D101" s="31"/>
      <c r="E101" s="31"/>
      <c r="F101" s="31"/>
      <c r="G101" s="31"/>
      <c r="H101" s="31"/>
      <c r="I101" s="31"/>
      <c r="J101" s="31"/>
      <c r="K101" s="31"/>
      <c r="L101" s="31"/>
      <c r="M101" s="31"/>
      <c r="N101" s="31"/>
      <c r="O101" s="31"/>
      <c r="P101" s="31"/>
      <c r="Q101" s="31"/>
      <c r="R101" s="31"/>
      <c r="S101" s="31"/>
      <c r="T101" s="31"/>
      <c r="U101" s="3">
        <f t="shared" si="48"/>
        <v>0</v>
      </c>
      <c r="V101" s="3">
        <f t="shared" si="49"/>
        <v>0</v>
      </c>
    </row>
    <row r="102" spans="1:37" x14ac:dyDescent="0.3">
      <c r="A102" s="9" t="s">
        <v>107</v>
      </c>
      <c r="B102" s="31"/>
      <c r="C102" s="31"/>
      <c r="D102" s="31"/>
      <c r="E102" s="31"/>
      <c r="F102" s="31"/>
      <c r="G102" s="31"/>
      <c r="H102" s="31"/>
      <c r="I102" s="31"/>
      <c r="J102" s="31"/>
      <c r="K102" s="31"/>
      <c r="L102" s="31"/>
      <c r="M102" s="31"/>
      <c r="N102" s="31"/>
      <c r="O102" s="31"/>
      <c r="P102" s="31"/>
      <c r="Q102" s="31"/>
      <c r="R102" s="31"/>
      <c r="S102" s="31"/>
      <c r="T102" s="31"/>
      <c r="U102" s="3">
        <f t="shared" si="48"/>
        <v>0</v>
      </c>
      <c r="V102" s="3">
        <f t="shared" si="49"/>
        <v>0</v>
      </c>
    </row>
    <row r="103" spans="1:37" x14ac:dyDescent="0.3">
      <c r="A103" s="9" t="s">
        <v>108</v>
      </c>
      <c r="B103" s="5">
        <v>2912.4754587200041</v>
      </c>
      <c r="C103" s="5">
        <v>1452.1418142099988</v>
      </c>
      <c r="D103" s="5">
        <v>1602.8582960799997</v>
      </c>
      <c r="E103" s="5">
        <f t="shared" si="64"/>
        <v>5967.4755690100028</v>
      </c>
      <c r="F103" s="5">
        <v>3323.7320637599983</v>
      </c>
      <c r="G103" s="5">
        <v>1957.2507098399988</v>
      </c>
      <c r="H103" s="5">
        <v>1547.5124892399979</v>
      </c>
      <c r="I103" s="5">
        <f t="shared" si="65"/>
        <v>6828.4952628399951</v>
      </c>
      <c r="J103" s="5">
        <f t="shared" si="53"/>
        <v>12795.970831849998</v>
      </c>
      <c r="K103" s="5">
        <v>0</v>
      </c>
      <c r="L103" s="5">
        <v>0</v>
      </c>
      <c r="M103" s="5">
        <v>0</v>
      </c>
      <c r="N103" s="5">
        <f t="shared" si="66"/>
        <v>0</v>
      </c>
      <c r="O103" s="5">
        <v>0</v>
      </c>
      <c r="P103" s="5">
        <v>0</v>
      </c>
      <c r="Q103" s="5">
        <v>0</v>
      </c>
      <c r="R103" s="5">
        <f t="shared" si="67"/>
        <v>0</v>
      </c>
      <c r="S103" s="5">
        <f t="shared" si="47"/>
        <v>0</v>
      </c>
      <c r="T103" s="5">
        <f>+J103+S103</f>
        <v>12795.970831849998</v>
      </c>
      <c r="U103" s="3">
        <f t="shared" si="48"/>
        <v>12795.970831849998</v>
      </c>
      <c r="V103" s="3">
        <f t="shared" si="49"/>
        <v>0</v>
      </c>
    </row>
    <row r="104" spans="1:37" ht="16.5" x14ac:dyDescent="0.3">
      <c r="A104" s="14" t="s">
        <v>109</v>
      </c>
      <c r="B104" s="5">
        <v>6092.89152732</v>
      </c>
      <c r="C104" s="5">
        <v>2504.9773483800004</v>
      </c>
      <c r="D104" s="5">
        <v>3319.4768322000014</v>
      </c>
      <c r="E104" s="5">
        <f t="shared" si="64"/>
        <v>11917.345707900002</v>
      </c>
      <c r="F104" s="5">
        <v>6173.5167314599967</v>
      </c>
      <c r="G104" s="5">
        <v>5073.2272061599979</v>
      </c>
      <c r="H104" s="5">
        <v>3010.9173848100008</v>
      </c>
      <c r="I104" s="5">
        <f t="shared" si="65"/>
        <v>14257.661322429994</v>
      </c>
      <c r="J104" s="5">
        <f t="shared" si="53"/>
        <v>26175.007030329994</v>
      </c>
      <c r="K104" s="5">
        <v>0</v>
      </c>
      <c r="L104" s="5">
        <v>0</v>
      </c>
      <c r="M104" s="5">
        <v>0</v>
      </c>
      <c r="N104" s="5">
        <f t="shared" si="66"/>
        <v>0</v>
      </c>
      <c r="O104" s="5">
        <v>0</v>
      </c>
      <c r="P104" s="5">
        <v>0</v>
      </c>
      <c r="Q104" s="5">
        <v>0</v>
      </c>
      <c r="R104" s="5">
        <f t="shared" si="67"/>
        <v>0</v>
      </c>
      <c r="S104" s="5">
        <f t="shared" si="47"/>
        <v>0</v>
      </c>
      <c r="T104" s="5">
        <f>+J104+S104</f>
        <v>26175.007030329994</v>
      </c>
      <c r="U104" s="3">
        <f t="shared" si="48"/>
        <v>26175.007030329994</v>
      </c>
      <c r="V104" s="3">
        <f t="shared" si="49"/>
        <v>0</v>
      </c>
    </row>
    <row r="105" spans="1:37" x14ac:dyDescent="0.3">
      <c r="U105" s="3">
        <f t="shared" si="48"/>
        <v>0</v>
      </c>
      <c r="V105" s="3">
        <f t="shared" si="49"/>
        <v>0</v>
      </c>
    </row>
    <row r="106" spans="1:37" s="13" customFormat="1" x14ac:dyDescent="0.3">
      <c r="A106" s="13" t="s">
        <v>110</v>
      </c>
      <c r="B106" s="2">
        <f>SUM(B107:B113)</f>
        <v>1474.710833690001</v>
      </c>
      <c r="C106" s="2">
        <f t="shared" ref="C106:T106" si="69">SUM(C107:C113)</f>
        <v>1094.4759539800002</v>
      </c>
      <c r="D106" s="2">
        <f t="shared" si="69"/>
        <v>1157.0423057</v>
      </c>
      <c r="E106" s="2">
        <f t="shared" si="69"/>
        <v>3726.2290933700015</v>
      </c>
      <c r="F106" s="2">
        <f t="shared" si="69"/>
        <v>1504.7700708599994</v>
      </c>
      <c r="G106" s="2">
        <f t="shared" si="69"/>
        <v>1170.4070513099998</v>
      </c>
      <c r="H106" s="2">
        <f t="shared" si="69"/>
        <v>1087.7259537800003</v>
      </c>
      <c r="I106" s="2">
        <f t="shared" si="69"/>
        <v>3762.9030759499992</v>
      </c>
      <c r="J106" s="2">
        <f t="shared" si="69"/>
        <v>7489.1321693200016</v>
      </c>
      <c r="K106" s="2">
        <f t="shared" si="69"/>
        <v>0</v>
      </c>
      <c r="L106" s="2">
        <f t="shared" si="69"/>
        <v>0</v>
      </c>
      <c r="M106" s="2">
        <f t="shared" si="69"/>
        <v>0</v>
      </c>
      <c r="N106" s="2">
        <f t="shared" si="69"/>
        <v>0</v>
      </c>
      <c r="O106" s="2">
        <f t="shared" si="69"/>
        <v>0</v>
      </c>
      <c r="P106" s="2">
        <f t="shared" si="69"/>
        <v>0</v>
      </c>
      <c r="Q106" s="2">
        <f t="shared" si="69"/>
        <v>0</v>
      </c>
      <c r="R106" s="2">
        <f t="shared" si="69"/>
        <v>0</v>
      </c>
      <c r="S106" s="2">
        <f t="shared" si="69"/>
        <v>0</v>
      </c>
      <c r="T106" s="2">
        <f t="shared" si="69"/>
        <v>7489.1321693200016</v>
      </c>
      <c r="U106" s="3">
        <f t="shared" si="48"/>
        <v>7489.1321693200007</v>
      </c>
      <c r="V106" s="3">
        <f t="shared" si="49"/>
        <v>0</v>
      </c>
      <c r="W106" s="2"/>
      <c r="X106" s="2"/>
      <c r="Y106" s="2"/>
      <c r="Z106" s="2"/>
      <c r="AA106" s="2"/>
      <c r="AB106" s="2"/>
      <c r="AC106" s="2"/>
      <c r="AD106" s="2"/>
      <c r="AE106" s="2"/>
      <c r="AF106" s="2"/>
      <c r="AG106" s="2"/>
      <c r="AH106" s="2"/>
      <c r="AI106" s="2"/>
      <c r="AJ106" s="2"/>
      <c r="AK106" s="2"/>
    </row>
    <row r="107" spans="1:37" x14ac:dyDescent="0.3">
      <c r="A107" s="9" t="s">
        <v>111</v>
      </c>
      <c r="B107" s="31">
        <v>604.30163085000038</v>
      </c>
      <c r="C107" s="31">
        <v>463.99539353000017</v>
      </c>
      <c r="D107" s="31">
        <v>473.05373464999997</v>
      </c>
      <c r="E107" s="31">
        <f t="shared" si="64"/>
        <v>1541.3507590300005</v>
      </c>
      <c r="F107" s="31">
        <v>516.12466450999966</v>
      </c>
      <c r="G107" s="31">
        <v>500.17031704999999</v>
      </c>
      <c r="H107" s="31">
        <v>426.06868433000005</v>
      </c>
      <c r="I107" s="31">
        <f t="shared" si="65"/>
        <v>1442.3636658899998</v>
      </c>
      <c r="J107" s="31">
        <f t="shared" si="53"/>
        <v>2983.7144249200001</v>
      </c>
      <c r="K107" s="31">
        <v>0</v>
      </c>
      <c r="L107" s="31">
        <v>0</v>
      </c>
      <c r="M107" s="31">
        <v>0</v>
      </c>
      <c r="N107" s="31">
        <f t="shared" si="66"/>
        <v>0</v>
      </c>
      <c r="O107" s="31">
        <v>0</v>
      </c>
      <c r="P107" s="31">
        <v>0</v>
      </c>
      <c r="Q107" s="31">
        <v>0</v>
      </c>
      <c r="R107" s="31">
        <f t="shared" si="67"/>
        <v>0</v>
      </c>
      <c r="S107" s="31">
        <f t="shared" si="47"/>
        <v>0</v>
      </c>
      <c r="T107" s="31">
        <f>+J107+S107</f>
        <v>2983.7144249200001</v>
      </c>
      <c r="U107" s="3">
        <f t="shared" si="48"/>
        <v>2983.7144249200001</v>
      </c>
      <c r="V107" s="3">
        <f t="shared" si="49"/>
        <v>0</v>
      </c>
    </row>
    <row r="108" spans="1:37" ht="16.5" x14ac:dyDescent="0.3">
      <c r="A108" s="9" t="s">
        <v>112</v>
      </c>
      <c r="B108" s="31"/>
      <c r="C108" s="31"/>
      <c r="D108" s="31"/>
      <c r="E108" s="31"/>
      <c r="F108" s="31"/>
      <c r="G108" s="31"/>
      <c r="H108" s="31"/>
      <c r="I108" s="31"/>
      <c r="J108" s="31"/>
      <c r="K108" s="31"/>
      <c r="L108" s="31"/>
      <c r="M108" s="31"/>
      <c r="N108" s="31"/>
      <c r="O108" s="31"/>
      <c r="P108" s="31"/>
      <c r="Q108" s="31"/>
      <c r="R108" s="31"/>
      <c r="S108" s="31"/>
      <c r="T108" s="31"/>
      <c r="U108" s="3">
        <f t="shared" si="48"/>
        <v>0</v>
      </c>
      <c r="V108" s="3">
        <f t="shared" si="49"/>
        <v>0</v>
      </c>
    </row>
    <row r="109" spans="1:37" ht="14.25" customHeight="1" x14ac:dyDescent="0.3">
      <c r="A109" s="9" t="s">
        <v>113</v>
      </c>
      <c r="B109" s="5">
        <v>111.44419390000016</v>
      </c>
      <c r="C109" s="5">
        <v>87.939625189999987</v>
      </c>
      <c r="D109" s="5">
        <v>122.42518871999999</v>
      </c>
      <c r="E109" s="5">
        <f t="shared" si="64"/>
        <v>321.80900781000014</v>
      </c>
      <c r="F109" s="5">
        <v>157.20957877999979</v>
      </c>
      <c r="G109" s="5">
        <v>111.13468073999998</v>
      </c>
      <c r="H109" s="5">
        <v>117.00051124000004</v>
      </c>
      <c r="I109" s="5">
        <f t="shared" si="65"/>
        <v>385.34477075999979</v>
      </c>
      <c r="J109" s="5">
        <f t="shared" si="53"/>
        <v>707.15377856999999</v>
      </c>
      <c r="K109" s="5">
        <v>0</v>
      </c>
      <c r="L109" s="5">
        <v>0</v>
      </c>
      <c r="M109" s="5">
        <v>0</v>
      </c>
      <c r="N109" s="5">
        <f t="shared" si="66"/>
        <v>0</v>
      </c>
      <c r="O109" s="5">
        <v>0</v>
      </c>
      <c r="P109" s="5">
        <v>0</v>
      </c>
      <c r="Q109" s="5">
        <v>0</v>
      </c>
      <c r="R109" s="5">
        <f t="shared" si="67"/>
        <v>0</v>
      </c>
      <c r="S109" s="5">
        <f t="shared" si="47"/>
        <v>0</v>
      </c>
      <c r="T109" s="5">
        <f>+J109+S109</f>
        <v>707.15377856999999</v>
      </c>
      <c r="U109" s="3">
        <f t="shared" si="48"/>
        <v>707.15377856999999</v>
      </c>
      <c r="V109" s="3">
        <f t="shared" si="49"/>
        <v>0</v>
      </c>
    </row>
    <row r="110" spans="1:37" ht="16.5" customHeight="1" x14ac:dyDescent="0.3">
      <c r="A110" s="9" t="s">
        <v>114</v>
      </c>
      <c r="B110" s="5">
        <v>301.84918827000013</v>
      </c>
      <c r="C110" s="5">
        <v>249.30011231000006</v>
      </c>
      <c r="D110" s="5">
        <v>258.47153041999997</v>
      </c>
      <c r="E110" s="5">
        <f t="shared" si="64"/>
        <v>809.62083100000018</v>
      </c>
      <c r="F110" s="5">
        <v>360.41750414999967</v>
      </c>
      <c r="G110" s="5">
        <v>242.92088147999976</v>
      </c>
      <c r="H110" s="5">
        <v>214.02706853000004</v>
      </c>
      <c r="I110" s="5">
        <f t="shared" si="65"/>
        <v>817.36545415999956</v>
      </c>
      <c r="J110" s="5">
        <f t="shared" si="53"/>
        <v>1626.9862851599996</v>
      </c>
      <c r="K110" s="5">
        <v>0</v>
      </c>
      <c r="L110" s="5">
        <v>0</v>
      </c>
      <c r="M110" s="5">
        <v>0</v>
      </c>
      <c r="N110" s="5">
        <f t="shared" si="66"/>
        <v>0</v>
      </c>
      <c r="O110" s="5">
        <v>0</v>
      </c>
      <c r="P110" s="5">
        <v>0</v>
      </c>
      <c r="Q110" s="5">
        <v>0</v>
      </c>
      <c r="R110" s="5">
        <f t="shared" si="67"/>
        <v>0</v>
      </c>
      <c r="S110" s="5">
        <f t="shared" si="47"/>
        <v>0</v>
      </c>
      <c r="T110" s="5">
        <f>+J110+S110</f>
        <v>1626.9862851599996</v>
      </c>
      <c r="U110" s="3">
        <f t="shared" si="48"/>
        <v>1626.9862851599996</v>
      </c>
      <c r="V110" s="3">
        <f t="shared" si="49"/>
        <v>0</v>
      </c>
    </row>
    <row r="111" spans="1:37" x14ac:dyDescent="0.3">
      <c r="A111" s="9" t="s">
        <v>115</v>
      </c>
      <c r="B111" s="5">
        <v>149.14210809999997</v>
      </c>
      <c r="C111" s="5">
        <v>109.70056735000003</v>
      </c>
      <c r="D111" s="5">
        <v>94.028650550000009</v>
      </c>
      <c r="E111" s="5">
        <f t="shared" si="64"/>
        <v>352.87132600000001</v>
      </c>
      <c r="F111" s="5">
        <v>147.85554407999993</v>
      </c>
      <c r="G111" s="5">
        <v>105.30791010000004</v>
      </c>
      <c r="H111" s="5">
        <v>115.75599173999998</v>
      </c>
      <c r="I111" s="5">
        <f t="shared" si="65"/>
        <v>368.91944591999993</v>
      </c>
      <c r="J111" s="5">
        <f t="shared" si="53"/>
        <v>721.79077192</v>
      </c>
      <c r="K111" s="5">
        <v>0</v>
      </c>
      <c r="L111" s="5">
        <v>0</v>
      </c>
      <c r="M111" s="5">
        <v>0</v>
      </c>
      <c r="N111" s="5">
        <f t="shared" si="66"/>
        <v>0</v>
      </c>
      <c r="O111" s="5">
        <v>0</v>
      </c>
      <c r="P111" s="5">
        <v>0</v>
      </c>
      <c r="Q111" s="5">
        <v>0</v>
      </c>
      <c r="R111" s="5">
        <f t="shared" si="67"/>
        <v>0</v>
      </c>
      <c r="S111" s="5">
        <f t="shared" si="47"/>
        <v>0</v>
      </c>
      <c r="T111" s="5">
        <f>+J111+S111</f>
        <v>721.79077192</v>
      </c>
      <c r="U111" s="3">
        <f t="shared" si="48"/>
        <v>721.79077192</v>
      </c>
      <c r="V111" s="3">
        <f t="shared" si="49"/>
        <v>0</v>
      </c>
    </row>
    <row r="112" spans="1:37" x14ac:dyDescent="0.3">
      <c r="A112" s="9" t="s">
        <v>116</v>
      </c>
      <c r="B112" s="5">
        <v>188.22757957000016</v>
      </c>
      <c r="C112" s="5">
        <v>105.56466596000001</v>
      </c>
      <c r="D112" s="5">
        <v>128.76909125000003</v>
      </c>
      <c r="E112" s="5">
        <f t="shared" si="64"/>
        <v>422.5613367800002</v>
      </c>
      <c r="F112" s="5">
        <v>201.12579622000027</v>
      </c>
      <c r="G112" s="5">
        <v>115.84648531000001</v>
      </c>
      <c r="H112" s="5">
        <v>132.36112450000002</v>
      </c>
      <c r="I112" s="5">
        <f t="shared" si="65"/>
        <v>449.33340603000028</v>
      </c>
      <c r="J112" s="5">
        <f t="shared" si="53"/>
        <v>871.89474281000048</v>
      </c>
      <c r="K112" s="5">
        <v>0</v>
      </c>
      <c r="L112" s="5">
        <v>0</v>
      </c>
      <c r="M112" s="5">
        <v>0</v>
      </c>
      <c r="N112" s="5">
        <f t="shared" si="66"/>
        <v>0</v>
      </c>
      <c r="O112" s="5">
        <v>0</v>
      </c>
      <c r="P112" s="5">
        <v>0</v>
      </c>
      <c r="Q112" s="5">
        <v>0</v>
      </c>
      <c r="R112" s="5">
        <f t="shared" si="67"/>
        <v>0</v>
      </c>
      <c r="S112" s="5">
        <f t="shared" si="47"/>
        <v>0</v>
      </c>
      <c r="T112" s="5">
        <f>+J112+S112</f>
        <v>871.89474281000048</v>
      </c>
      <c r="U112" s="3">
        <f t="shared" si="48"/>
        <v>871.89474281000048</v>
      </c>
      <c r="V112" s="3">
        <f t="shared" si="49"/>
        <v>0</v>
      </c>
    </row>
    <row r="113" spans="1:37" x14ac:dyDescent="0.3">
      <c r="A113" s="9" t="s">
        <v>117</v>
      </c>
      <c r="B113" s="5">
        <v>119.74613300000007</v>
      </c>
      <c r="C113" s="5">
        <v>77.975589639999981</v>
      </c>
      <c r="D113" s="5">
        <v>80.294110109999991</v>
      </c>
      <c r="E113" s="5">
        <f t="shared" si="64"/>
        <v>278.01583275000007</v>
      </c>
      <c r="F113" s="5">
        <v>122.03698312</v>
      </c>
      <c r="G113" s="5">
        <v>95.026776630000001</v>
      </c>
      <c r="H113" s="5">
        <v>82.512573440000025</v>
      </c>
      <c r="I113" s="5">
        <f t="shared" si="65"/>
        <v>299.57633319000001</v>
      </c>
      <c r="J113" s="5">
        <f t="shared" si="53"/>
        <v>577.59216594000009</v>
      </c>
      <c r="K113" s="5">
        <v>0</v>
      </c>
      <c r="L113" s="5">
        <v>0</v>
      </c>
      <c r="M113" s="5">
        <v>0</v>
      </c>
      <c r="N113" s="5">
        <f t="shared" si="66"/>
        <v>0</v>
      </c>
      <c r="O113" s="5">
        <v>0</v>
      </c>
      <c r="P113" s="5">
        <v>0</v>
      </c>
      <c r="Q113" s="5">
        <v>0</v>
      </c>
      <c r="R113" s="5">
        <f t="shared" si="67"/>
        <v>0</v>
      </c>
      <c r="S113" s="5">
        <f t="shared" si="47"/>
        <v>0</v>
      </c>
      <c r="T113" s="5">
        <f>+J113+S113</f>
        <v>577.59216594000009</v>
      </c>
      <c r="U113" s="3">
        <f t="shared" si="48"/>
        <v>577.59216594000009</v>
      </c>
      <c r="V113" s="3">
        <f t="shared" si="49"/>
        <v>0</v>
      </c>
    </row>
    <row r="114" spans="1:37" x14ac:dyDescent="0.3">
      <c r="U114" s="3">
        <f t="shared" si="48"/>
        <v>0</v>
      </c>
      <c r="V114" s="3">
        <f t="shared" si="49"/>
        <v>0</v>
      </c>
    </row>
    <row r="115" spans="1:37" s="13" customFormat="1" x14ac:dyDescent="0.3">
      <c r="A115" s="13" t="s">
        <v>118</v>
      </c>
      <c r="B115" s="2">
        <f>SUM(B116:B120)</f>
        <v>1295.7818279000005</v>
      </c>
      <c r="C115" s="2">
        <f t="shared" ref="C115:T115" si="70">SUM(C116:C120)</f>
        <v>703.2903623499999</v>
      </c>
      <c r="D115" s="2">
        <f t="shared" si="70"/>
        <v>855.55326066999987</v>
      </c>
      <c r="E115" s="2">
        <f t="shared" si="70"/>
        <v>2854.6254509200003</v>
      </c>
      <c r="F115" s="2">
        <f t="shared" si="70"/>
        <v>1294.1320823000005</v>
      </c>
      <c r="G115" s="2">
        <f t="shared" si="70"/>
        <v>816.97083703999988</v>
      </c>
      <c r="H115" s="2">
        <f t="shared" si="70"/>
        <v>787.26110443999971</v>
      </c>
      <c r="I115" s="2">
        <f t="shared" si="70"/>
        <v>2898.36402378</v>
      </c>
      <c r="J115" s="2">
        <f t="shared" si="70"/>
        <v>5752.9894746999998</v>
      </c>
      <c r="K115" s="2">
        <f t="shared" si="70"/>
        <v>0</v>
      </c>
      <c r="L115" s="2">
        <f t="shared" si="70"/>
        <v>0</v>
      </c>
      <c r="M115" s="2">
        <f t="shared" si="70"/>
        <v>0</v>
      </c>
      <c r="N115" s="2">
        <f t="shared" si="70"/>
        <v>0</v>
      </c>
      <c r="O115" s="2">
        <f t="shared" si="70"/>
        <v>0</v>
      </c>
      <c r="P115" s="2">
        <f t="shared" si="70"/>
        <v>0</v>
      </c>
      <c r="Q115" s="2">
        <f t="shared" si="70"/>
        <v>0</v>
      </c>
      <c r="R115" s="2">
        <f t="shared" si="70"/>
        <v>0</v>
      </c>
      <c r="S115" s="2">
        <f t="shared" si="70"/>
        <v>0</v>
      </c>
      <c r="T115" s="2">
        <f t="shared" si="70"/>
        <v>5752.9894746999998</v>
      </c>
      <c r="U115" s="3">
        <f t="shared" si="48"/>
        <v>5752.9894747000017</v>
      </c>
      <c r="V115" s="3">
        <f t="shared" si="49"/>
        <v>0</v>
      </c>
      <c r="W115" s="2"/>
      <c r="X115" s="2"/>
      <c r="Y115" s="2"/>
      <c r="Z115" s="2"/>
      <c r="AA115" s="2"/>
      <c r="AB115" s="2"/>
      <c r="AC115" s="2"/>
      <c r="AD115" s="2"/>
      <c r="AE115" s="2"/>
      <c r="AF115" s="2"/>
      <c r="AG115" s="2"/>
      <c r="AH115" s="2"/>
      <c r="AI115" s="2"/>
      <c r="AJ115" s="2"/>
      <c r="AK115" s="2"/>
    </row>
    <row r="116" spans="1:37" x14ac:dyDescent="0.3">
      <c r="A116" s="9" t="s">
        <v>119</v>
      </c>
      <c r="B116" s="5">
        <v>44.665124870000007</v>
      </c>
      <c r="C116" s="5">
        <v>34.413868709999996</v>
      </c>
      <c r="D116" s="5">
        <v>32.65685178999999</v>
      </c>
      <c r="E116" s="5">
        <f t="shared" si="64"/>
        <v>111.73584536999999</v>
      </c>
      <c r="F116" s="5">
        <v>41.022668070000023</v>
      </c>
      <c r="G116" s="5">
        <v>24.66499936000001</v>
      </c>
      <c r="H116" s="5">
        <v>31.119640350000008</v>
      </c>
      <c r="I116" s="5">
        <f t="shared" si="65"/>
        <v>96.807307780000045</v>
      </c>
      <c r="J116" s="5">
        <f t="shared" si="53"/>
        <v>208.54315315000002</v>
      </c>
      <c r="K116" s="5">
        <v>0</v>
      </c>
      <c r="L116" s="5">
        <v>0</v>
      </c>
      <c r="M116" s="5">
        <v>0</v>
      </c>
      <c r="N116" s="5">
        <f t="shared" si="66"/>
        <v>0</v>
      </c>
      <c r="O116" s="5">
        <v>0</v>
      </c>
      <c r="P116" s="5">
        <v>0</v>
      </c>
      <c r="Q116" s="5">
        <v>0</v>
      </c>
      <c r="R116" s="5">
        <f t="shared" si="67"/>
        <v>0</v>
      </c>
      <c r="S116" s="5">
        <f t="shared" si="47"/>
        <v>0</v>
      </c>
      <c r="T116" s="5">
        <f t="shared" ref="T116:T120" si="71">+J116+S116</f>
        <v>208.54315315000002</v>
      </c>
      <c r="U116" s="3">
        <f t="shared" si="48"/>
        <v>208.54315315000002</v>
      </c>
      <c r="V116" s="3">
        <f t="shared" si="49"/>
        <v>0</v>
      </c>
    </row>
    <row r="117" spans="1:37" x14ac:dyDescent="0.3">
      <c r="A117" s="9" t="s">
        <v>120</v>
      </c>
      <c r="B117" s="5">
        <v>313.98990865000042</v>
      </c>
      <c r="C117" s="5">
        <v>205.93459248999994</v>
      </c>
      <c r="D117" s="5">
        <v>197.26923509999997</v>
      </c>
      <c r="E117" s="5">
        <f t="shared" si="64"/>
        <v>717.19373624000025</v>
      </c>
      <c r="F117" s="5">
        <v>387.2797520499999</v>
      </c>
      <c r="G117" s="5">
        <v>257.3764513000001</v>
      </c>
      <c r="H117" s="5">
        <v>215.52179273999991</v>
      </c>
      <c r="I117" s="5">
        <f t="shared" si="65"/>
        <v>860.17799608999985</v>
      </c>
      <c r="J117" s="5">
        <f t="shared" si="53"/>
        <v>1577.3717323300002</v>
      </c>
      <c r="K117" s="5">
        <v>0</v>
      </c>
      <c r="L117" s="5">
        <v>0</v>
      </c>
      <c r="M117" s="5">
        <v>0</v>
      </c>
      <c r="N117" s="5">
        <f t="shared" si="66"/>
        <v>0</v>
      </c>
      <c r="O117" s="5">
        <v>0</v>
      </c>
      <c r="P117" s="5">
        <v>0</v>
      </c>
      <c r="Q117" s="5">
        <v>0</v>
      </c>
      <c r="R117" s="5">
        <f t="shared" si="67"/>
        <v>0</v>
      </c>
      <c r="S117" s="5">
        <f t="shared" si="47"/>
        <v>0</v>
      </c>
      <c r="T117" s="5">
        <f t="shared" si="71"/>
        <v>1577.3717323300002</v>
      </c>
      <c r="U117" s="3">
        <f t="shared" si="48"/>
        <v>1577.3717323300002</v>
      </c>
      <c r="V117" s="3">
        <f t="shared" si="49"/>
        <v>0</v>
      </c>
    </row>
    <row r="118" spans="1:37" x14ac:dyDescent="0.3">
      <c r="A118" s="9" t="s">
        <v>121</v>
      </c>
      <c r="B118" s="5">
        <v>274.74236223000014</v>
      </c>
      <c r="C118" s="5">
        <v>153.53606284999995</v>
      </c>
      <c r="D118" s="5">
        <v>178.32900600999997</v>
      </c>
      <c r="E118" s="5">
        <f t="shared" si="64"/>
        <v>606.60743109000009</v>
      </c>
      <c r="F118" s="5">
        <v>270.97839203999996</v>
      </c>
      <c r="G118" s="5">
        <v>138.81939955999985</v>
      </c>
      <c r="H118" s="5">
        <v>205.67264127000007</v>
      </c>
      <c r="I118" s="5">
        <f t="shared" si="65"/>
        <v>615.47043286999985</v>
      </c>
      <c r="J118" s="5">
        <f t="shared" si="53"/>
        <v>1222.0778639599998</v>
      </c>
      <c r="K118" s="5">
        <v>0</v>
      </c>
      <c r="L118" s="5">
        <v>0</v>
      </c>
      <c r="M118" s="5">
        <v>0</v>
      </c>
      <c r="N118" s="5">
        <f t="shared" si="66"/>
        <v>0</v>
      </c>
      <c r="O118" s="5">
        <v>0</v>
      </c>
      <c r="P118" s="5">
        <v>0</v>
      </c>
      <c r="Q118" s="5">
        <v>0</v>
      </c>
      <c r="R118" s="5">
        <f t="shared" si="67"/>
        <v>0</v>
      </c>
      <c r="S118" s="5">
        <f t="shared" si="47"/>
        <v>0</v>
      </c>
      <c r="T118" s="5">
        <f t="shared" si="71"/>
        <v>1222.0778639599998</v>
      </c>
      <c r="U118" s="3">
        <f t="shared" si="48"/>
        <v>1222.0778639600001</v>
      </c>
      <c r="V118" s="3">
        <f t="shared" si="49"/>
        <v>0</v>
      </c>
    </row>
    <row r="119" spans="1:37" x14ac:dyDescent="0.3">
      <c r="A119" s="9" t="s">
        <v>122</v>
      </c>
      <c r="B119" s="5">
        <v>114.19766772999984</v>
      </c>
      <c r="C119" s="5">
        <v>56.465731519999999</v>
      </c>
      <c r="D119" s="5">
        <v>96.673387150000011</v>
      </c>
      <c r="E119" s="5">
        <f t="shared" si="64"/>
        <v>267.33678639999982</v>
      </c>
      <c r="F119" s="5">
        <v>88.917490020000017</v>
      </c>
      <c r="G119" s="5">
        <v>77.192041270000047</v>
      </c>
      <c r="H119" s="5">
        <v>74.13464737999999</v>
      </c>
      <c r="I119" s="5">
        <f t="shared" si="65"/>
        <v>240.24417867000005</v>
      </c>
      <c r="J119" s="5">
        <f t="shared" si="53"/>
        <v>507.58096506999988</v>
      </c>
      <c r="K119" s="5">
        <v>0</v>
      </c>
      <c r="L119" s="5">
        <v>0</v>
      </c>
      <c r="M119" s="5">
        <v>0</v>
      </c>
      <c r="N119" s="5">
        <f t="shared" si="66"/>
        <v>0</v>
      </c>
      <c r="O119" s="5">
        <v>0</v>
      </c>
      <c r="P119" s="5">
        <v>0</v>
      </c>
      <c r="Q119" s="5">
        <v>0</v>
      </c>
      <c r="R119" s="5">
        <f t="shared" si="67"/>
        <v>0</v>
      </c>
      <c r="S119" s="5">
        <f t="shared" si="47"/>
        <v>0</v>
      </c>
      <c r="T119" s="5">
        <f t="shared" si="71"/>
        <v>507.58096506999988</v>
      </c>
      <c r="U119" s="3">
        <f t="shared" si="48"/>
        <v>507.58096506999988</v>
      </c>
      <c r="V119" s="3">
        <f t="shared" si="49"/>
        <v>0</v>
      </c>
    </row>
    <row r="120" spans="1:37" x14ac:dyDescent="0.3">
      <c r="A120" s="9" t="s">
        <v>123</v>
      </c>
      <c r="B120" s="5">
        <v>548.18676442000015</v>
      </c>
      <c r="C120" s="5">
        <v>252.94010677999998</v>
      </c>
      <c r="D120" s="5">
        <v>350.62478061999991</v>
      </c>
      <c r="E120" s="5">
        <f t="shared" si="64"/>
        <v>1151.75165182</v>
      </c>
      <c r="F120" s="5">
        <v>505.93378012000051</v>
      </c>
      <c r="G120" s="5">
        <v>318.91794554999979</v>
      </c>
      <c r="H120" s="5">
        <v>260.81238269999983</v>
      </c>
      <c r="I120" s="5">
        <f t="shared" si="65"/>
        <v>1085.6641083700001</v>
      </c>
      <c r="J120" s="5">
        <f t="shared" si="53"/>
        <v>2237.4157601900001</v>
      </c>
      <c r="K120" s="5">
        <v>0</v>
      </c>
      <c r="L120" s="5">
        <v>0</v>
      </c>
      <c r="M120" s="5">
        <v>0</v>
      </c>
      <c r="N120" s="5">
        <f t="shared" si="66"/>
        <v>0</v>
      </c>
      <c r="O120" s="5">
        <v>0</v>
      </c>
      <c r="P120" s="5">
        <v>0</v>
      </c>
      <c r="Q120" s="5">
        <v>0</v>
      </c>
      <c r="R120" s="5">
        <f t="shared" si="67"/>
        <v>0</v>
      </c>
      <c r="S120" s="5">
        <f t="shared" si="47"/>
        <v>0</v>
      </c>
      <c r="T120" s="5">
        <f t="shared" si="71"/>
        <v>2237.4157601900001</v>
      </c>
      <c r="U120" s="3">
        <f t="shared" si="48"/>
        <v>2237.4157601900001</v>
      </c>
      <c r="V120" s="3">
        <f t="shared" si="49"/>
        <v>0</v>
      </c>
    </row>
    <row r="121" spans="1:37" x14ac:dyDescent="0.3">
      <c r="U121" s="3">
        <f t="shared" si="48"/>
        <v>0</v>
      </c>
      <c r="V121" s="3">
        <f t="shared" si="49"/>
        <v>0</v>
      </c>
    </row>
    <row r="122" spans="1:37" s="13" customFormat="1" x14ac:dyDescent="0.3">
      <c r="A122" s="13" t="s">
        <v>124</v>
      </c>
      <c r="B122" s="2">
        <f>SUM(B123:B129)</f>
        <v>2156.1428488599986</v>
      </c>
      <c r="C122" s="2">
        <f t="shared" ref="C122:T122" si="72">SUM(C123:C129)</f>
        <v>1228.5402520700002</v>
      </c>
      <c r="D122" s="2">
        <f t="shared" si="72"/>
        <v>1606.9549883</v>
      </c>
      <c r="E122" s="2">
        <f t="shared" si="72"/>
        <v>4991.6380892299985</v>
      </c>
      <c r="F122" s="2">
        <f t="shared" si="72"/>
        <v>2183.4242315899983</v>
      </c>
      <c r="G122" s="2">
        <f t="shared" si="72"/>
        <v>1477.0725484999987</v>
      </c>
      <c r="H122" s="2">
        <f t="shared" si="72"/>
        <v>1506.5850039399995</v>
      </c>
      <c r="I122" s="2">
        <f t="shared" si="72"/>
        <v>5167.0817840299969</v>
      </c>
      <c r="J122" s="2">
        <f t="shared" si="72"/>
        <v>10158.719873259995</v>
      </c>
      <c r="K122" s="2">
        <f t="shared" si="72"/>
        <v>0</v>
      </c>
      <c r="L122" s="2">
        <f t="shared" si="72"/>
        <v>0</v>
      </c>
      <c r="M122" s="2">
        <f t="shared" si="72"/>
        <v>0</v>
      </c>
      <c r="N122" s="2">
        <f t="shared" si="72"/>
        <v>0</v>
      </c>
      <c r="O122" s="2">
        <f t="shared" si="72"/>
        <v>0</v>
      </c>
      <c r="P122" s="2">
        <f t="shared" si="72"/>
        <v>0</v>
      </c>
      <c r="Q122" s="2">
        <f t="shared" si="72"/>
        <v>0</v>
      </c>
      <c r="R122" s="2">
        <f t="shared" si="72"/>
        <v>0</v>
      </c>
      <c r="S122" s="2">
        <f t="shared" si="72"/>
        <v>0</v>
      </c>
      <c r="T122" s="2">
        <f t="shared" si="72"/>
        <v>10158.719873259995</v>
      </c>
      <c r="U122" s="3">
        <f t="shared" si="48"/>
        <v>10158.719873259995</v>
      </c>
      <c r="V122" s="3">
        <f t="shared" si="49"/>
        <v>0</v>
      </c>
      <c r="W122" s="2"/>
      <c r="X122" s="2"/>
      <c r="Y122" s="2"/>
      <c r="Z122" s="2"/>
      <c r="AA122" s="2"/>
      <c r="AB122" s="2"/>
      <c r="AC122" s="2"/>
      <c r="AD122" s="2"/>
      <c r="AE122" s="2"/>
      <c r="AF122" s="2"/>
      <c r="AG122" s="2"/>
      <c r="AH122" s="2"/>
      <c r="AI122" s="2"/>
      <c r="AJ122" s="2"/>
      <c r="AK122" s="2"/>
    </row>
    <row r="123" spans="1:37" x14ac:dyDescent="0.3">
      <c r="A123" s="9" t="s">
        <v>125</v>
      </c>
      <c r="B123" s="5">
        <v>398.40859832000041</v>
      </c>
      <c r="C123" s="5">
        <v>196.72866848999999</v>
      </c>
      <c r="D123" s="5">
        <v>283.1211178600002</v>
      </c>
      <c r="E123" s="5">
        <f t="shared" si="64"/>
        <v>878.25838467000062</v>
      </c>
      <c r="F123" s="5">
        <v>463.58706284999806</v>
      </c>
      <c r="G123" s="5">
        <v>281.75887166000001</v>
      </c>
      <c r="H123" s="5">
        <v>294.64238281000013</v>
      </c>
      <c r="I123" s="5">
        <f t="shared" si="65"/>
        <v>1039.9883173199983</v>
      </c>
      <c r="J123" s="5">
        <f t="shared" si="53"/>
        <v>1918.2467019899989</v>
      </c>
      <c r="K123" s="5">
        <v>0</v>
      </c>
      <c r="L123" s="5">
        <v>0</v>
      </c>
      <c r="M123" s="5">
        <v>0</v>
      </c>
      <c r="N123" s="5">
        <f t="shared" si="66"/>
        <v>0</v>
      </c>
      <c r="O123" s="5">
        <v>0</v>
      </c>
      <c r="P123" s="5">
        <v>0</v>
      </c>
      <c r="Q123" s="5">
        <v>0</v>
      </c>
      <c r="R123" s="5">
        <f t="shared" si="67"/>
        <v>0</v>
      </c>
      <c r="S123" s="5">
        <f t="shared" si="47"/>
        <v>0</v>
      </c>
      <c r="T123" s="5">
        <f>+J123+S123</f>
        <v>1918.2467019899989</v>
      </c>
      <c r="U123" s="3">
        <f t="shared" si="48"/>
        <v>1918.2467019899989</v>
      </c>
      <c r="V123" s="3">
        <f t="shared" si="49"/>
        <v>0</v>
      </c>
    </row>
    <row r="124" spans="1:37" ht="16.5" x14ac:dyDescent="0.3">
      <c r="A124" s="9" t="s">
        <v>126</v>
      </c>
      <c r="B124" s="31">
        <v>101.98694741000003</v>
      </c>
      <c r="C124" s="31">
        <v>88.832798269999998</v>
      </c>
      <c r="D124" s="31">
        <v>80.887748799999997</v>
      </c>
      <c r="E124" s="31">
        <f t="shared" si="64"/>
        <v>271.70749448000004</v>
      </c>
      <c r="F124" s="31">
        <v>122.18528372999998</v>
      </c>
      <c r="G124" s="31">
        <v>104.17089117999994</v>
      </c>
      <c r="H124" s="31">
        <v>90.684582910000032</v>
      </c>
      <c r="I124" s="31">
        <f t="shared" si="65"/>
        <v>317.04075781999995</v>
      </c>
      <c r="J124" s="31">
        <f t="shared" si="53"/>
        <v>588.74825229999999</v>
      </c>
      <c r="K124" s="31">
        <v>0</v>
      </c>
      <c r="L124" s="31">
        <v>0</v>
      </c>
      <c r="M124" s="31">
        <v>0</v>
      </c>
      <c r="N124" s="31">
        <f t="shared" si="66"/>
        <v>0</v>
      </c>
      <c r="O124" s="31">
        <v>0</v>
      </c>
      <c r="P124" s="31">
        <v>0</v>
      </c>
      <c r="Q124" s="31">
        <v>0</v>
      </c>
      <c r="R124" s="31">
        <f t="shared" si="67"/>
        <v>0</v>
      </c>
      <c r="S124" s="31">
        <f t="shared" si="47"/>
        <v>0</v>
      </c>
      <c r="T124" s="31">
        <f>+J124+S124</f>
        <v>588.74825229999999</v>
      </c>
      <c r="U124" s="3">
        <f t="shared" si="48"/>
        <v>588.74825229999999</v>
      </c>
      <c r="V124" s="3">
        <f t="shared" si="49"/>
        <v>0</v>
      </c>
    </row>
    <row r="125" spans="1:37" x14ac:dyDescent="0.3">
      <c r="A125" s="9" t="s">
        <v>127</v>
      </c>
      <c r="B125" s="31"/>
      <c r="C125" s="31"/>
      <c r="D125" s="31"/>
      <c r="E125" s="31"/>
      <c r="F125" s="31"/>
      <c r="G125" s="31"/>
      <c r="H125" s="31"/>
      <c r="I125" s="31"/>
      <c r="J125" s="31"/>
      <c r="K125" s="31"/>
      <c r="L125" s="31"/>
      <c r="M125" s="31"/>
      <c r="N125" s="31"/>
      <c r="O125" s="31"/>
      <c r="P125" s="31"/>
      <c r="Q125" s="31"/>
      <c r="R125" s="31"/>
      <c r="S125" s="31"/>
      <c r="T125" s="31"/>
      <c r="U125" s="3">
        <f t="shared" si="48"/>
        <v>0</v>
      </c>
      <c r="V125" s="3">
        <f t="shared" si="49"/>
        <v>0</v>
      </c>
    </row>
    <row r="126" spans="1:37" ht="16.5" x14ac:dyDescent="0.3">
      <c r="A126" s="9" t="s">
        <v>128</v>
      </c>
      <c r="B126" s="5">
        <v>1091.1361925499984</v>
      </c>
      <c r="C126" s="5">
        <v>645.94961767000007</v>
      </c>
      <c r="D126" s="5">
        <v>903.07480532999989</v>
      </c>
      <c r="E126" s="5">
        <f t="shared" si="64"/>
        <v>2640.1606155499985</v>
      </c>
      <c r="F126" s="5">
        <v>1071.0714270800006</v>
      </c>
      <c r="G126" s="5">
        <v>743.02648728999895</v>
      </c>
      <c r="H126" s="5">
        <v>814.61155186999963</v>
      </c>
      <c r="I126" s="5">
        <f t="shared" si="65"/>
        <v>2628.7094662399995</v>
      </c>
      <c r="J126" s="5">
        <f t="shared" si="53"/>
        <v>5268.870081789998</v>
      </c>
      <c r="K126" s="5">
        <v>0</v>
      </c>
      <c r="L126" s="5">
        <v>0</v>
      </c>
      <c r="M126" s="5">
        <v>0</v>
      </c>
      <c r="N126" s="5">
        <f t="shared" si="66"/>
        <v>0</v>
      </c>
      <c r="O126" s="5">
        <v>0</v>
      </c>
      <c r="P126" s="5">
        <v>0</v>
      </c>
      <c r="Q126" s="5">
        <v>0</v>
      </c>
      <c r="R126" s="5">
        <f t="shared" si="67"/>
        <v>0</v>
      </c>
      <c r="S126" s="5">
        <f t="shared" si="47"/>
        <v>0</v>
      </c>
      <c r="T126" s="5">
        <f>+J126+S126</f>
        <v>5268.870081789998</v>
      </c>
      <c r="U126" s="3">
        <f t="shared" si="48"/>
        <v>5268.870081789998</v>
      </c>
      <c r="V126" s="3">
        <f t="shared" si="49"/>
        <v>0</v>
      </c>
    </row>
    <row r="127" spans="1:37" x14ac:dyDescent="0.3">
      <c r="A127" s="9" t="s">
        <v>129</v>
      </c>
      <c r="B127" s="31">
        <v>310.61619580999974</v>
      </c>
      <c r="C127" s="31">
        <v>160.02926265000016</v>
      </c>
      <c r="D127" s="31">
        <v>166.81978354999993</v>
      </c>
      <c r="E127" s="31">
        <f t="shared" si="64"/>
        <v>637.46524200999977</v>
      </c>
      <c r="F127" s="31">
        <v>294.22400981999994</v>
      </c>
      <c r="G127" s="31">
        <v>191.3966730299999</v>
      </c>
      <c r="H127" s="31">
        <v>162.02552283999998</v>
      </c>
      <c r="I127" s="31">
        <f t="shared" si="65"/>
        <v>647.64620568999987</v>
      </c>
      <c r="J127" s="31">
        <f t="shared" si="53"/>
        <v>1285.1114476999996</v>
      </c>
      <c r="K127" s="31">
        <v>0</v>
      </c>
      <c r="L127" s="31">
        <v>0</v>
      </c>
      <c r="M127" s="31">
        <v>0</v>
      </c>
      <c r="N127" s="31">
        <f t="shared" si="66"/>
        <v>0</v>
      </c>
      <c r="O127" s="31">
        <v>0</v>
      </c>
      <c r="P127" s="31">
        <v>0</v>
      </c>
      <c r="Q127" s="31">
        <v>0</v>
      </c>
      <c r="R127" s="31">
        <f t="shared" si="67"/>
        <v>0</v>
      </c>
      <c r="S127" s="31">
        <f t="shared" si="47"/>
        <v>0</v>
      </c>
      <c r="T127" s="31">
        <f>+J127+S127</f>
        <v>1285.1114476999996</v>
      </c>
      <c r="U127" s="3">
        <f t="shared" si="48"/>
        <v>1285.1114476999994</v>
      </c>
      <c r="V127" s="3">
        <f t="shared" si="49"/>
        <v>0</v>
      </c>
    </row>
    <row r="128" spans="1:37" x14ac:dyDescent="0.3">
      <c r="A128" s="9" t="s">
        <v>130</v>
      </c>
      <c r="B128" s="31"/>
      <c r="C128" s="31"/>
      <c r="D128" s="31"/>
      <c r="E128" s="31"/>
      <c r="F128" s="31"/>
      <c r="G128" s="31"/>
      <c r="H128" s="31"/>
      <c r="I128" s="31"/>
      <c r="J128" s="31"/>
      <c r="K128" s="31"/>
      <c r="L128" s="31"/>
      <c r="M128" s="31"/>
      <c r="N128" s="31"/>
      <c r="O128" s="31"/>
      <c r="P128" s="31"/>
      <c r="Q128" s="31"/>
      <c r="R128" s="31"/>
      <c r="S128" s="31"/>
      <c r="T128" s="31"/>
      <c r="U128" s="3">
        <f t="shared" si="48"/>
        <v>0</v>
      </c>
      <c r="V128" s="3">
        <f t="shared" si="49"/>
        <v>0</v>
      </c>
    </row>
    <row r="129" spans="1:37" x14ac:dyDescent="0.3">
      <c r="A129" s="9" t="s">
        <v>131</v>
      </c>
      <c r="B129" s="5">
        <v>253.99491476999981</v>
      </c>
      <c r="C129" s="5">
        <v>136.99990499000003</v>
      </c>
      <c r="D129" s="5">
        <v>173.05153275999999</v>
      </c>
      <c r="E129" s="5">
        <f t="shared" si="64"/>
        <v>564.0463525199998</v>
      </c>
      <c r="F129" s="5">
        <v>232.35644810999983</v>
      </c>
      <c r="G129" s="5">
        <v>156.71962533999996</v>
      </c>
      <c r="H129" s="5">
        <v>144.62096350999994</v>
      </c>
      <c r="I129" s="5">
        <f t="shared" si="65"/>
        <v>533.69703695999976</v>
      </c>
      <c r="J129" s="5">
        <f t="shared" si="53"/>
        <v>1097.7433894799997</v>
      </c>
      <c r="K129" s="5">
        <v>0</v>
      </c>
      <c r="L129" s="5">
        <v>0</v>
      </c>
      <c r="M129" s="5">
        <v>0</v>
      </c>
      <c r="N129" s="5">
        <f t="shared" si="66"/>
        <v>0</v>
      </c>
      <c r="O129" s="5">
        <v>0</v>
      </c>
      <c r="P129" s="5">
        <v>0</v>
      </c>
      <c r="Q129" s="5">
        <v>0</v>
      </c>
      <c r="R129" s="5">
        <f t="shared" si="67"/>
        <v>0</v>
      </c>
      <c r="S129" s="5">
        <f t="shared" si="47"/>
        <v>0</v>
      </c>
      <c r="T129" s="5">
        <f>+J129+S129</f>
        <v>1097.7433894799997</v>
      </c>
      <c r="U129" s="3">
        <f t="shared" si="48"/>
        <v>1097.7433894799997</v>
      </c>
      <c r="V129" s="3">
        <f t="shared" si="49"/>
        <v>0</v>
      </c>
    </row>
    <row r="130" spans="1:37" x14ac:dyDescent="0.3">
      <c r="U130" s="3">
        <f t="shared" si="48"/>
        <v>0</v>
      </c>
      <c r="V130" s="3">
        <f t="shared" si="49"/>
        <v>0</v>
      </c>
    </row>
    <row r="131" spans="1:37" s="13" customFormat="1" x14ac:dyDescent="0.3">
      <c r="A131" s="13" t="s">
        <v>132</v>
      </c>
      <c r="B131" s="2">
        <f>SUM(B132:B138)</f>
        <v>6248.2436301259986</v>
      </c>
      <c r="C131" s="2">
        <f t="shared" ref="C131:T131" si="73">SUM(C132:C138)</f>
        <v>3429.4449767900005</v>
      </c>
      <c r="D131" s="2">
        <f t="shared" si="73"/>
        <v>3391.0957126299986</v>
      </c>
      <c r="E131" s="2">
        <f t="shared" si="73"/>
        <v>13068.784319545997</v>
      </c>
      <c r="F131" s="2">
        <f t="shared" si="73"/>
        <v>7773.4642643899888</v>
      </c>
      <c r="G131" s="2">
        <f t="shared" si="73"/>
        <v>4967.1607569400003</v>
      </c>
      <c r="H131" s="2">
        <f t="shared" si="73"/>
        <v>3899.6845116299978</v>
      </c>
      <c r="I131" s="2">
        <f t="shared" si="73"/>
        <v>16640.309532959989</v>
      </c>
      <c r="J131" s="2">
        <f t="shared" si="73"/>
        <v>29709.093852505986</v>
      </c>
      <c r="K131" s="2">
        <f t="shared" si="73"/>
        <v>0</v>
      </c>
      <c r="L131" s="2">
        <f t="shared" si="73"/>
        <v>0</v>
      </c>
      <c r="M131" s="2">
        <f t="shared" si="73"/>
        <v>0</v>
      </c>
      <c r="N131" s="2">
        <f t="shared" si="73"/>
        <v>0</v>
      </c>
      <c r="O131" s="2">
        <f t="shared" si="73"/>
        <v>0</v>
      </c>
      <c r="P131" s="2">
        <f t="shared" si="73"/>
        <v>0</v>
      </c>
      <c r="Q131" s="2">
        <f t="shared" si="73"/>
        <v>0</v>
      </c>
      <c r="R131" s="2">
        <f t="shared" si="73"/>
        <v>0</v>
      </c>
      <c r="S131" s="2">
        <f t="shared" si="73"/>
        <v>0</v>
      </c>
      <c r="T131" s="2">
        <f t="shared" si="73"/>
        <v>29709.093852505986</v>
      </c>
      <c r="U131" s="3">
        <f t="shared" si="48"/>
        <v>29709.093852505986</v>
      </c>
      <c r="V131" s="3">
        <f t="shared" si="49"/>
        <v>0</v>
      </c>
      <c r="W131" s="2"/>
      <c r="X131" s="2"/>
      <c r="Y131" s="2"/>
      <c r="Z131" s="2"/>
      <c r="AA131" s="2"/>
      <c r="AB131" s="2"/>
      <c r="AC131" s="2"/>
      <c r="AD131" s="2"/>
      <c r="AE131" s="2"/>
      <c r="AF131" s="2"/>
      <c r="AG131" s="2"/>
      <c r="AH131" s="2"/>
      <c r="AI131" s="2"/>
      <c r="AJ131" s="2"/>
      <c r="AK131" s="2"/>
    </row>
    <row r="132" spans="1:37" x14ac:dyDescent="0.3">
      <c r="A132" s="9" t="s">
        <v>133</v>
      </c>
      <c r="B132" s="31">
        <v>579.68236132599691</v>
      </c>
      <c r="C132" s="31">
        <v>323.36887814999972</v>
      </c>
      <c r="D132" s="31">
        <v>385.45799250999909</v>
      </c>
      <c r="E132" s="31">
        <f t="shared" si="64"/>
        <v>1288.5092319859957</v>
      </c>
      <c r="F132" s="31">
        <v>528.19821817000104</v>
      </c>
      <c r="G132" s="31">
        <v>483.61502297000004</v>
      </c>
      <c r="H132" s="31">
        <v>385.31566116999949</v>
      </c>
      <c r="I132" s="31">
        <f t="shared" si="65"/>
        <v>1397.1289023100005</v>
      </c>
      <c r="J132" s="31">
        <f>+E132+I132</f>
        <v>2685.6381342959962</v>
      </c>
      <c r="K132" s="31">
        <v>0</v>
      </c>
      <c r="L132" s="31">
        <v>0</v>
      </c>
      <c r="M132" s="31">
        <v>0</v>
      </c>
      <c r="N132" s="31">
        <f t="shared" si="66"/>
        <v>0</v>
      </c>
      <c r="O132" s="31">
        <v>0</v>
      </c>
      <c r="P132" s="31">
        <v>0</v>
      </c>
      <c r="Q132" s="31">
        <v>0</v>
      </c>
      <c r="R132" s="31">
        <f t="shared" si="67"/>
        <v>0</v>
      </c>
      <c r="S132" s="31">
        <f t="shared" ref="S132:S172" si="74">+N132+R132</f>
        <v>0</v>
      </c>
      <c r="T132" s="31">
        <f>+J132+S132</f>
        <v>2685.6381342959962</v>
      </c>
      <c r="U132" s="3">
        <f t="shared" si="48"/>
        <v>2685.6381342959967</v>
      </c>
      <c r="V132" s="3">
        <f t="shared" si="49"/>
        <v>0</v>
      </c>
    </row>
    <row r="133" spans="1:37" x14ac:dyDescent="0.3">
      <c r="A133" s="9" t="s">
        <v>134</v>
      </c>
      <c r="B133" s="31"/>
      <c r="C133" s="31"/>
      <c r="D133" s="31"/>
      <c r="E133" s="31"/>
      <c r="F133" s="31"/>
      <c r="G133" s="31"/>
      <c r="H133" s="31"/>
      <c r="I133" s="31"/>
      <c r="J133" s="31"/>
      <c r="K133" s="31"/>
      <c r="L133" s="31"/>
      <c r="M133" s="31"/>
      <c r="N133" s="31"/>
      <c r="O133" s="31"/>
      <c r="P133" s="31"/>
      <c r="Q133" s="31"/>
      <c r="R133" s="31"/>
      <c r="S133" s="31"/>
      <c r="T133" s="31"/>
      <c r="U133" s="3">
        <f t="shared" si="48"/>
        <v>0</v>
      </c>
      <c r="V133" s="3">
        <f t="shared" si="49"/>
        <v>0</v>
      </c>
    </row>
    <row r="134" spans="1:37" x14ac:dyDescent="0.3">
      <c r="A134" s="9" t="s">
        <v>135</v>
      </c>
      <c r="B134" s="31">
        <v>235.0620369600002</v>
      </c>
      <c r="C134" s="31">
        <v>123.88979300000001</v>
      </c>
      <c r="D134" s="31">
        <v>209.73245230999996</v>
      </c>
      <c r="E134" s="31">
        <f t="shared" si="64"/>
        <v>568.68428227000015</v>
      </c>
      <c r="F134" s="31">
        <v>253.88574425999963</v>
      </c>
      <c r="G134" s="31">
        <v>170.3361771600002</v>
      </c>
      <c r="H134" s="31">
        <v>139.84706819000004</v>
      </c>
      <c r="I134" s="31">
        <f t="shared" si="65"/>
        <v>564.0689896099999</v>
      </c>
      <c r="J134" s="31">
        <f>+E134+I134</f>
        <v>1132.7532718800001</v>
      </c>
      <c r="K134" s="31">
        <v>0</v>
      </c>
      <c r="L134" s="31">
        <v>0</v>
      </c>
      <c r="M134" s="31">
        <v>0</v>
      </c>
      <c r="N134" s="31">
        <f t="shared" si="66"/>
        <v>0</v>
      </c>
      <c r="O134" s="31">
        <v>0</v>
      </c>
      <c r="P134" s="31">
        <v>0</v>
      </c>
      <c r="Q134" s="31">
        <v>0</v>
      </c>
      <c r="R134" s="31">
        <f t="shared" si="67"/>
        <v>0</v>
      </c>
      <c r="S134" s="31">
        <f t="shared" si="74"/>
        <v>0</v>
      </c>
      <c r="T134" s="31">
        <f>+J134+S134</f>
        <v>1132.7532718800001</v>
      </c>
      <c r="U134" s="3">
        <f t="shared" si="48"/>
        <v>1132.7532718800001</v>
      </c>
      <c r="V134" s="3">
        <f t="shared" si="49"/>
        <v>0</v>
      </c>
    </row>
    <row r="135" spans="1:37" x14ac:dyDescent="0.3">
      <c r="A135" s="9" t="s">
        <v>136</v>
      </c>
      <c r="B135" s="31"/>
      <c r="C135" s="31"/>
      <c r="D135" s="31"/>
      <c r="E135" s="31"/>
      <c r="F135" s="31"/>
      <c r="G135" s="31"/>
      <c r="H135" s="31"/>
      <c r="I135" s="31"/>
      <c r="J135" s="31"/>
      <c r="K135" s="31"/>
      <c r="L135" s="31"/>
      <c r="M135" s="31"/>
      <c r="N135" s="31"/>
      <c r="O135" s="31"/>
      <c r="P135" s="31"/>
      <c r="Q135" s="31"/>
      <c r="R135" s="31"/>
      <c r="S135" s="31"/>
      <c r="T135" s="31"/>
      <c r="U135" s="3">
        <f t="shared" si="48"/>
        <v>0</v>
      </c>
      <c r="V135" s="3">
        <f t="shared" si="49"/>
        <v>0</v>
      </c>
    </row>
    <row r="136" spans="1:37" x14ac:dyDescent="0.3">
      <c r="A136" s="9" t="s">
        <v>137</v>
      </c>
      <c r="B136" s="5">
        <v>102.94997256000001</v>
      </c>
      <c r="C136" s="5">
        <v>98.906866879999953</v>
      </c>
      <c r="D136" s="5">
        <v>103.78256859999995</v>
      </c>
      <c r="E136" s="5">
        <f t="shared" si="64"/>
        <v>305.63940803999992</v>
      </c>
      <c r="F136" s="5">
        <v>159.62988497999996</v>
      </c>
      <c r="G136" s="5">
        <v>88.755727800000017</v>
      </c>
      <c r="H136" s="5">
        <v>79.240476639999955</v>
      </c>
      <c r="I136" s="5">
        <f t="shared" si="65"/>
        <v>327.62608941999991</v>
      </c>
      <c r="J136" s="5">
        <f>+E136+I136</f>
        <v>633.26549745999978</v>
      </c>
      <c r="K136" s="5">
        <v>0</v>
      </c>
      <c r="L136" s="5">
        <v>0</v>
      </c>
      <c r="M136" s="5">
        <v>0</v>
      </c>
      <c r="N136" s="5">
        <f t="shared" si="66"/>
        <v>0</v>
      </c>
      <c r="O136" s="5">
        <v>0</v>
      </c>
      <c r="P136" s="5">
        <v>0</v>
      </c>
      <c r="Q136" s="5">
        <v>0</v>
      </c>
      <c r="R136" s="5">
        <f t="shared" si="67"/>
        <v>0</v>
      </c>
      <c r="S136" s="5">
        <f t="shared" si="74"/>
        <v>0</v>
      </c>
      <c r="T136" s="5">
        <f>+J136+S136</f>
        <v>633.26549745999978</v>
      </c>
      <c r="U136" s="3">
        <f t="shared" ref="U136:U174" si="75">+B136+C136+D136+F136+G136+H136+K136+L136+M136+O136+P136+Q136</f>
        <v>633.26549745999989</v>
      </c>
      <c r="V136" s="3">
        <f t="shared" ref="V136:V174" si="76">+U136-T136</f>
        <v>0</v>
      </c>
    </row>
    <row r="137" spans="1:37" x14ac:dyDescent="0.3">
      <c r="A137" s="9" t="s">
        <v>138</v>
      </c>
      <c r="B137" s="5">
        <v>1869.4689921200006</v>
      </c>
      <c r="C137" s="5">
        <v>919.78468381000039</v>
      </c>
      <c r="D137" s="5">
        <v>1104.435511879999</v>
      </c>
      <c r="E137" s="5">
        <f t="shared" si="64"/>
        <v>3893.68918781</v>
      </c>
      <c r="F137" s="5">
        <v>2219.0748000699909</v>
      </c>
      <c r="G137" s="5">
        <v>1413.2922601800001</v>
      </c>
      <c r="H137" s="5">
        <v>1108.6602171799991</v>
      </c>
      <c r="I137" s="5">
        <f t="shared" si="65"/>
        <v>4741.0272774299901</v>
      </c>
      <c r="J137" s="5">
        <f>+E137+I137</f>
        <v>8634.7164652399897</v>
      </c>
      <c r="K137" s="5">
        <v>0</v>
      </c>
      <c r="L137" s="5">
        <v>0</v>
      </c>
      <c r="M137" s="5">
        <v>0</v>
      </c>
      <c r="N137" s="5">
        <f t="shared" si="66"/>
        <v>0</v>
      </c>
      <c r="O137" s="5">
        <v>0</v>
      </c>
      <c r="P137" s="5">
        <v>0</v>
      </c>
      <c r="Q137" s="5">
        <v>0</v>
      </c>
      <c r="R137" s="5">
        <f t="shared" si="67"/>
        <v>0</v>
      </c>
      <c r="S137" s="5">
        <f t="shared" si="74"/>
        <v>0</v>
      </c>
      <c r="T137" s="5">
        <f>+J137+S137</f>
        <v>8634.7164652399897</v>
      </c>
      <c r="U137" s="3">
        <f t="shared" si="75"/>
        <v>8634.7164652399897</v>
      </c>
      <c r="V137" s="3">
        <f t="shared" si="76"/>
        <v>0</v>
      </c>
    </row>
    <row r="138" spans="1:37" ht="16.5" x14ac:dyDescent="0.3">
      <c r="A138" s="9" t="s">
        <v>139</v>
      </c>
      <c r="B138" s="5">
        <v>3461.0802671600004</v>
      </c>
      <c r="C138" s="5">
        <v>1963.4947549500005</v>
      </c>
      <c r="D138" s="5">
        <v>1587.6871873300006</v>
      </c>
      <c r="E138" s="5">
        <f t="shared" si="64"/>
        <v>7012.2622094400012</v>
      </c>
      <c r="F138" s="5">
        <v>4612.6756169099972</v>
      </c>
      <c r="G138" s="5">
        <v>2811.1615688300003</v>
      </c>
      <c r="H138" s="5">
        <v>2186.6210884499992</v>
      </c>
      <c r="I138" s="5">
        <f t="shared" si="65"/>
        <v>9610.4582741899976</v>
      </c>
      <c r="J138" s="5">
        <f>+E138+I138</f>
        <v>16622.720483630001</v>
      </c>
      <c r="K138" s="5">
        <v>0</v>
      </c>
      <c r="L138" s="5">
        <v>0</v>
      </c>
      <c r="M138" s="5">
        <v>0</v>
      </c>
      <c r="N138" s="5">
        <f t="shared" si="66"/>
        <v>0</v>
      </c>
      <c r="O138" s="5">
        <v>0</v>
      </c>
      <c r="P138" s="5">
        <v>0</v>
      </c>
      <c r="Q138" s="5">
        <v>0</v>
      </c>
      <c r="R138" s="5">
        <f t="shared" si="67"/>
        <v>0</v>
      </c>
      <c r="S138" s="5">
        <f t="shared" si="74"/>
        <v>0</v>
      </c>
      <c r="T138" s="5">
        <f>+J138+S138</f>
        <v>16622.720483630001</v>
      </c>
      <c r="U138" s="3">
        <f t="shared" si="75"/>
        <v>16622.720483629997</v>
      </c>
      <c r="V138" s="3">
        <f t="shared" si="76"/>
        <v>0</v>
      </c>
    </row>
    <row r="139" spans="1:37" x14ac:dyDescent="0.3">
      <c r="U139" s="3">
        <f t="shared" si="75"/>
        <v>0</v>
      </c>
      <c r="V139" s="3">
        <f t="shared" si="76"/>
        <v>0</v>
      </c>
    </row>
    <row r="140" spans="1:37" s="13" customFormat="1" x14ac:dyDescent="0.3">
      <c r="A140" s="13" t="s">
        <v>140</v>
      </c>
      <c r="B140" s="2">
        <f>SUM(B141:B145)</f>
        <v>1418.1145321899999</v>
      </c>
      <c r="C140" s="2">
        <f t="shared" ref="C140:T140" si="77">SUM(C141:C145)</f>
        <v>774.86035287000016</v>
      </c>
      <c r="D140" s="2">
        <f t="shared" si="77"/>
        <v>923.93418181999994</v>
      </c>
      <c r="E140" s="2">
        <f t="shared" si="77"/>
        <v>3116.9090668800004</v>
      </c>
      <c r="F140" s="2">
        <f t="shared" si="77"/>
        <v>1590.1507368100006</v>
      </c>
      <c r="G140" s="2">
        <f t="shared" si="77"/>
        <v>1089.2714287199997</v>
      </c>
      <c r="H140" s="2">
        <f t="shared" si="77"/>
        <v>876.93227780000029</v>
      </c>
      <c r="I140" s="2">
        <f t="shared" si="77"/>
        <v>3556.3544433300008</v>
      </c>
      <c r="J140" s="2">
        <f t="shared" si="77"/>
        <v>6673.2635102100012</v>
      </c>
      <c r="K140" s="2">
        <f t="shared" si="77"/>
        <v>0</v>
      </c>
      <c r="L140" s="2">
        <f t="shared" si="77"/>
        <v>0</v>
      </c>
      <c r="M140" s="2">
        <f t="shared" si="77"/>
        <v>0</v>
      </c>
      <c r="N140" s="2">
        <f t="shared" si="77"/>
        <v>0</v>
      </c>
      <c r="O140" s="2">
        <f t="shared" si="77"/>
        <v>0</v>
      </c>
      <c r="P140" s="2">
        <f t="shared" si="77"/>
        <v>0</v>
      </c>
      <c r="Q140" s="2">
        <f t="shared" si="77"/>
        <v>0</v>
      </c>
      <c r="R140" s="2">
        <f t="shared" si="77"/>
        <v>0</v>
      </c>
      <c r="S140" s="2">
        <f t="shared" si="77"/>
        <v>0</v>
      </c>
      <c r="T140" s="2">
        <f t="shared" si="77"/>
        <v>6673.2635102100012</v>
      </c>
      <c r="U140" s="3">
        <f t="shared" si="75"/>
        <v>6673.2635102100012</v>
      </c>
      <c r="V140" s="3">
        <f t="shared" si="76"/>
        <v>0</v>
      </c>
      <c r="W140" s="2"/>
      <c r="X140" s="2"/>
      <c r="Y140" s="2"/>
      <c r="Z140" s="2"/>
      <c r="AA140" s="2"/>
      <c r="AB140" s="2"/>
      <c r="AC140" s="2"/>
      <c r="AD140" s="2"/>
      <c r="AE140" s="2"/>
      <c r="AF140" s="2"/>
      <c r="AG140" s="2"/>
      <c r="AH140" s="2"/>
      <c r="AI140" s="2"/>
      <c r="AJ140" s="2"/>
      <c r="AK140" s="2"/>
    </row>
    <row r="141" spans="1:37" x14ac:dyDescent="0.3">
      <c r="A141" s="9" t="s">
        <v>141</v>
      </c>
      <c r="B141" s="5">
        <v>261.12548488000033</v>
      </c>
      <c r="C141" s="5">
        <v>168.77267499000027</v>
      </c>
      <c r="D141" s="5">
        <v>187.20718561000012</v>
      </c>
      <c r="E141" s="5">
        <f t="shared" si="64"/>
        <v>617.10534548000078</v>
      </c>
      <c r="F141" s="5">
        <v>295.53506131999984</v>
      </c>
      <c r="G141" s="5">
        <v>211.04973398999985</v>
      </c>
      <c r="H141" s="5">
        <v>181.06037698</v>
      </c>
      <c r="I141" s="5">
        <f t="shared" si="65"/>
        <v>687.64517228999966</v>
      </c>
      <c r="J141" s="5">
        <f>+E141+I141</f>
        <v>1304.7505177700004</v>
      </c>
      <c r="K141" s="5">
        <v>0</v>
      </c>
      <c r="L141" s="5">
        <v>0</v>
      </c>
      <c r="M141" s="5">
        <v>0</v>
      </c>
      <c r="N141" s="5">
        <f t="shared" si="66"/>
        <v>0</v>
      </c>
      <c r="O141" s="5">
        <v>0</v>
      </c>
      <c r="P141" s="5">
        <v>0</v>
      </c>
      <c r="Q141" s="5">
        <v>0</v>
      </c>
      <c r="R141" s="5">
        <f t="shared" si="67"/>
        <v>0</v>
      </c>
      <c r="S141" s="5">
        <f t="shared" si="74"/>
        <v>0</v>
      </c>
      <c r="T141" s="5">
        <f>+J141+S141</f>
        <v>1304.7505177700004</v>
      </c>
      <c r="U141" s="3">
        <f t="shared" si="75"/>
        <v>1304.7505177700004</v>
      </c>
      <c r="V141" s="3">
        <f t="shared" si="76"/>
        <v>0</v>
      </c>
    </row>
    <row r="142" spans="1:37" x14ac:dyDescent="0.3">
      <c r="A142" s="9" t="s">
        <v>142</v>
      </c>
      <c r="B142" s="5">
        <v>428.33988979999924</v>
      </c>
      <c r="C142" s="5">
        <v>226.28030876999998</v>
      </c>
      <c r="D142" s="5">
        <v>289.74642532000007</v>
      </c>
      <c r="E142" s="5">
        <f t="shared" si="64"/>
        <v>944.36662388999935</v>
      </c>
      <c r="F142" s="5">
        <v>363.19348387000042</v>
      </c>
      <c r="G142" s="5">
        <v>304.92768151999985</v>
      </c>
      <c r="H142" s="5">
        <v>225.84565195999991</v>
      </c>
      <c r="I142" s="5">
        <f t="shared" si="65"/>
        <v>893.96681735000016</v>
      </c>
      <c r="J142" s="5">
        <f>+E142+I142</f>
        <v>1838.3334412399995</v>
      </c>
      <c r="K142" s="5">
        <v>0</v>
      </c>
      <c r="L142" s="5">
        <v>0</v>
      </c>
      <c r="M142" s="5">
        <v>0</v>
      </c>
      <c r="N142" s="5">
        <f t="shared" si="66"/>
        <v>0</v>
      </c>
      <c r="O142" s="5">
        <v>0</v>
      </c>
      <c r="P142" s="5">
        <v>0</v>
      </c>
      <c r="Q142" s="5">
        <v>0</v>
      </c>
      <c r="R142" s="5">
        <f t="shared" si="67"/>
        <v>0</v>
      </c>
      <c r="S142" s="5">
        <f t="shared" si="74"/>
        <v>0</v>
      </c>
      <c r="T142" s="5">
        <f>+J142+S142</f>
        <v>1838.3334412399995</v>
      </c>
      <c r="U142" s="3">
        <f t="shared" si="75"/>
        <v>1838.3334412399995</v>
      </c>
      <c r="V142" s="3">
        <f t="shared" si="76"/>
        <v>0</v>
      </c>
    </row>
    <row r="143" spans="1:37" x14ac:dyDescent="0.3">
      <c r="A143" s="9" t="s">
        <v>143</v>
      </c>
      <c r="B143" s="5">
        <v>136.02485726000015</v>
      </c>
      <c r="C143" s="5">
        <v>112.97106407</v>
      </c>
      <c r="D143" s="5">
        <v>128.92986739999998</v>
      </c>
      <c r="E143" s="5">
        <f t="shared" si="64"/>
        <v>377.92578873000014</v>
      </c>
      <c r="F143" s="5">
        <v>200.95671439000012</v>
      </c>
      <c r="G143" s="5">
        <v>124.81656649999999</v>
      </c>
      <c r="H143" s="5">
        <v>92.679279729999948</v>
      </c>
      <c r="I143" s="5">
        <f t="shared" si="65"/>
        <v>418.4525606200001</v>
      </c>
      <c r="J143" s="5">
        <f>+E143+I143</f>
        <v>796.37834935000024</v>
      </c>
      <c r="K143" s="5">
        <v>0</v>
      </c>
      <c r="L143" s="5">
        <v>0</v>
      </c>
      <c r="M143" s="5">
        <v>0</v>
      </c>
      <c r="N143" s="5">
        <f t="shared" si="66"/>
        <v>0</v>
      </c>
      <c r="O143" s="5">
        <v>0</v>
      </c>
      <c r="P143" s="5">
        <v>0</v>
      </c>
      <c r="Q143" s="5">
        <v>0</v>
      </c>
      <c r="R143" s="5">
        <f t="shared" si="67"/>
        <v>0</v>
      </c>
      <c r="S143" s="5">
        <f t="shared" si="74"/>
        <v>0</v>
      </c>
      <c r="T143" s="5">
        <f>+J143+S143</f>
        <v>796.37834935000024</v>
      </c>
      <c r="U143" s="3">
        <f t="shared" si="75"/>
        <v>796.37834935000024</v>
      </c>
      <c r="V143" s="3">
        <f t="shared" si="76"/>
        <v>0</v>
      </c>
    </row>
    <row r="144" spans="1:37" x14ac:dyDescent="0.3">
      <c r="A144" s="9" t="s">
        <v>144</v>
      </c>
      <c r="B144" s="31">
        <v>592.62430025000015</v>
      </c>
      <c r="C144" s="31">
        <v>266.8363050399999</v>
      </c>
      <c r="D144" s="31">
        <v>318.05070348999982</v>
      </c>
      <c r="E144" s="31">
        <f t="shared" si="64"/>
        <v>1177.51130878</v>
      </c>
      <c r="F144" s="31">
        <v>730.46547723000037</v>
      </c>
      <c r="G144" s="31">
        <v>448.47744670999992</v>
      </c>
      <c r="H144" s="31">
        <v>377.34696913000033</v>
      </c>
      <c r="I144" s="31">
        <f t="shared" si="65"/>
        <v>1556.2898930700007</v>
      </c>
      <c r="J144" s="31">
        <f>+E144+I144</f>
        <v>2733.8012018500008</v>
      </c>
      <c r="K144" s="31">
        <v>0</v>
      </c>
      <c r="L144" s="31">
        <v>0</v>
      </c>
      <c r="M144" s="31">
        <v>0</v>
      </c>
      <c r="N144" s="31">
        <f t="shared" si="66"/>
        <v>0</v>
      </c>
      <c r="O144" s="31">
        <v>0</v>
      </c>
      <c r="P144" s="31">
        <v>0</v>
      </c>
      <c r="Q144" s="31">
        <v>0</v>
      </c>
      <c r="R144" s="31">
        <f t="shared" si="67"/>
        <v>0</v>
      </c>
      <c r="S144" s="31">
        <f t="shared" si="74"/>
        <v>0</v>
      </c>
      <c r="T144" s="31">
        <f>+J144+S144</f>
        <v>2733.8012018500008</v>
      </c>
      <c r="U144" s="3">
        <f t="shared" si="75"/>
        <v>2733.8012018500008</v>
      </c>
      <c r="V144" s="3">
        <f t="shared" si="76"/>
        <v>0</v>
      </c>
    </row>
    <row r="145" spans="1:37" x14ac:dyDescent="0.3">
      <c r="A145" s="9" t="s">
        <v>145</v>
      </c>
      <c r="B145" s="31"/>
      <c r="C145" s="31"/>
      <c r="D145" s="31"/>
      <c r="E145" s="31"/>
      <c r="F145" s="31"/>
      <c r="G145" s="31"/>
      <c r="H145" s="31"/>
      <c r="I145" s="31"/>
      <c r="J145" s="31"/>
      <c r="K145" s="31"/>
      <c r="L145" s="31"/>
      <c r="M145" s="31"/>
      <c r="N145" s="31"/>
      <c r="O145" s="31"/>
      <c r="P145" s="31"/>
      <c r="Q145" s="31"/>
      <c r="R145" s="31"/>
      <c r="S145" s="31"/>
      <c r="T145" s="31"/>
      <c r="U145" s="3">
        <f t="shared" si="75"/>
        <v>0</v>
      </c>
      <c r="V145" s="3">
        <f t="shared" si="76"/>
        <v>0</v>
      </c>
    </row>
    <row r="146" spans="1:37" x14ac:dyDescent="0.3">
      <c r="U146" s="3">
        <f t="shared" si="75"/>
        <v>0</v>
      </c>
      <c r="V146" s="3">
        <f t="shared" si="76"/>
        <v>0</v>
      </c>
    </row>
    <row r="147" spans="1:37" s="13" customFormat="1" x14ac:dyDescent="0.3">
      <c r="A147" s="13" t="s">
        <v>146</v>
      </c>
      <c r="B147" s="2">
        <f>SUM(B148:B153)</f>
        <v>1050.326348939999</v>
      </c>
      <c r="C147" s="2">
        <f t="shared" ref="C147:T147" si="78">SUM(C148:C153)</f>
        <v>621.45276494999973</v>
      </c>
      <c r="D147" s="2">
        <f t="shared" si="78"/>
        <v>849.21564933000036</v>
      </c>
      <c r="E147" s="2">
        <f t="shared" si="78"/>
        <v>2520.9947632199992</v>
      </c>
      <c r="F147" s="2">
        <f t="shared" si="78"/>
        <v>1071.1315936700009</v>
      </c>
      <c r="G147" s="2">
        <f t="shared" si="78"/>
        <v>834.14315807999992</v>
      </c>
      <c r="H147" s="2">
        <f t="shared" si="78"/>
        <v>774.39725300999976</v>
      </c>
      <c r="I147" s="2">
        <f t="shared" si="78"/>
        <v>2679.6720047600006</v>
      </c>
      <c r="J147" s="2">
        <f t="shared" si="78"/>
        <v>5200.6667679800003</v>
      </c>
      <c r="K147" s="2">
        <f t="shared" si="78"/>
        <v>0</v>
      </c>
      <c r="L147" s="2">
        <f t="shared" si="78"/>
        <v>0</v>
      </c>
      <c r="M147" s="2">
        <f t="shared" si="78"/>
        <v>0</v>
      </c>
      <c r="N147" s="2">
        <f t="shared" si="78"/>
        <v>0</v>
      </c>
      <c r="O147" s="2">
        <f t="shared" si="78"/>
        <v>0</v>
      </c>
      <c r="P147" s="2">
        <f t="shared" si="78"/>
        <v>0</v>
      </c>
      <c r="Q147" s="2">
        <f t="shared" si="78"/>
        <v>0</v>
      </c>
      <c r="R147" s="2">
        <f t="shared" si="78"/>
        <v>0</v>
      </c>
      <c r="S147" s="2">
        <f t="shared" si="78"/>
        <v>0</v>
      </c>
      <c r="T147" s="2">
        <f t="shared" si="78"/>
        <v>5200.6667679800003</v>
      </c>
      <c r="U147" s="3">
        <f t="shared" si="75"/>
        <v>5200.6667679800003</v>
      </c>
      <c r="V147" s="3">
        <f t="shared" si="76"/>
        <v>0</v>
      </c>
      <c r="W147" s="2"/>
      <c r="X147" s="2"/>
      <c r="Y147" s="2"/>
      <c r="Z147" s="2"/>
      <c r="AA147" s="2"/>
      <c r="AB147" s="2"/>
      <c r="AC147" s="2"/>
      <c r="AD147" s="2"/>
      <c r="AE147" s="2"/>
      <c r="AF147" s="2"/>
      <c r="AG147" s="2"/>
      <c r="AH147" s="2"/>
      <c r="AI147" s="2"/>
      <c r="AJ147" s="2"/>
      <c r="AK147" s="2"/>
    </row>
    <row r="148" spans="1:37" x14ac:dyDescent="0.3">
      <c r="A148" s="9" t="s">
        <v>147</v>
      </c>
      <c r="B148" s="31">
        <v>418.122656449999</v>
      </c>
      <c r="C148" s="31">
        <v>236.38910891999979</v>
      </c>
      <c r="D148" s="31">
        <v>365.46195380000017</v>
      </c>
      <c r="E148" s="31">
        <f t="shared" si="64"/>
        <v>1019.973719169999</v>
      </c>
      <c r="F148" s="31">
        <v>414.03424956000089</v>
      </c>
      <c r="G148" s="31">
        <v>311.62861674999999</v>
      </c>
      <c r="H148" s="31">
        <v>265.06023263999992</v>
      </c>
      <c r="I148" s="31">
        <f t="shared" si="65"/>
        <v>990.7230989500008</v>
      </c>
      <c r="J148" s="31">
        <f>+E148+I148</f>
        <v>2010.6968181199998</v>
      </c>
      <c r="K148" s="31">
        <v>0</v>
      </c>
      <c r="L148" s="31">
        <v>0</v>
      </c>
      <c r="M148" s="31">
        <v>0</v>
      </c>
      <c r="N148" s="31">
        <f t="shared" si="66"/>
        <v>0</v>
      </c>
      <c r="O148" s="31">
        <v>0</v>
      </c>
      <c r="P148" s="31">
        <v>0</v>
      </c>
      <c r="Q148" s="31">
        <v>0</v>
      </c>
      <c r="R148" s="31">
        <f t="shared" si="67"/>
        <v>0</v>
      </c>
      <c r="S148" s="31">
        <f t="shared" si="74"/>
        <v>0</v>
      </c>
      <c r="T148" s="31">
        <f>+J148+S148</f>
        <v>2010.6968181199998</v>
      </c>
      <c r="U148" s="3">
        <f t="shared" si="75"/>
        <v>2010.6968181199998</v>
      </c>
      <c r="V148" s="3">
        <f t="shared" si="76"/>
        <v>0</v>
      </c>
    </row>
    <row r="149" spans="1:37" x14ac:dyDescent="0.3">
      <c r="A149" s="9" t="s">
        <v>148</v>
      </c>
      <c r="B149" s="31"/>
      <c r="C149" s="31"/>
      <c r="D149" s="31"/>
      <c r="E149" s="31"/>
      <c r="F149" s="31"/>
      <c r="G149" s="31"/>
      <c r="H149" s="31"/>
      <c r="I149" s="31"/>
      <c r="J149" s="31"/>
      <c r="K149" s="31"/>
      <c r="L149" s="31"/>
      <c r="M149" s="31"/>
      <c r="N149" s="31"/>
      <c r="O149" s="31"/>
      <c r="P149" s="31"/>
      <c r="Q149" s="31"/>
      <c r="R149" s="31"/>
      <c r="S149" s="31"/>
      <c r="T149" s="31"/>
      <c r="U149" s="3">
        <f t="shared" si="75"/>
        <v>0</v>
      </c>
      <c r="V149" s="3">
        <f t="shared" si="76"/>
        <v>0</v>
      </c>
    </row>
    <row r="150" spans="1:37" x14ac:dyDescent="0.3">
      <c r="A150" s="9" t="s">
        <v>149</v>
      </c>
      <c r="B150" s="5">
        <v>161.03127583000008</v>
      </c>
      <c r="C150" s="5">
        <v>104.29287070999997</v>
      </c>
      <c r="D150" s="5">
        <v>132.79001642000003</v>
      </c>
      <c r="E150" s="5">
        <f t="shared" si="64"/>
        <v>398.1141629600001</v>
      </c>
      <c r="F150" s="5">
        <v>201.00207089000006</v>
      </c>
      <c r="G150" s="5">
        <v>160.17576875</v>
      </c>
      <c r="H150" s="5">
        <v>143.31790913000003</v>
      </c>
      <c r="I150" s="5">
        <f t="shared" si="65"/>
        <v>504.49574877000009</v>
      </c>
      <c r="J150" s="5">
        <f>+E150+I150</f>
        <v>902.60991173000025</v>
      </c>
      <c r="K150" s="5">
        <v>0</v>
      </c>
      <c r="L150" s="5">
        <v>0</v>
      </c>
      <c r="M150" s="5">
        <v>0</v>
      </c>
      <c r="N150" s="5">
        <f t="shared" si="66"/>
        <v>0</v>
      </c>
      <c r="O150" s="5">
        <v>0</v>
      </c>
      <c r="P150" s="5">
        <v>0</v>
      </c>
      <c r="Q150" s="5">
        <v>0</v>
      </c>
      <c r="R150" s="5">
        <f t="shared" si="67"/>
        <v>0</v>
      </c>
      <c r="S150" s="5">
        <f t="shared" si="74"/>
        <v>0</v>
      </c>
      <c r="T150" s="5">
        <f>+J150+S150</f>
        <v>902.60991173000025</v>
      </c>
      <c r="U150" s="3">
        <f t="shared" si="75"/>
        <v>902.60991173000025</v>
      </c>
      <c r="V150" s="3">
        <f t="shared" si="76"/>
        <v>0</v>
      </c>
    </row>
    <row r="151" spans="1:37" x14ac:dyDescent="0.3">
      <c r="A151" s="9" t="s">
        <v>150</v>
      </c>
      <c r="B151" s="31">
        <v>264.49289609999988</v>
      </c>
      <c r="C151" s="31">
        <v>156.78041722999998</v>
      </c>
      <c r="D151" s="31">
        <v>184.46324203000003</v>
      </c>
      <c r="E151" s="31">
        <f t="shared" si="64"/>
        <v>605.7365553599999</v>
      </c>
      <c r="F151" s="31">
        <v>269.80672781999971</v>
      </c>
      <c r="G151" s="31">
        <v>205.28217814999996</v>
      </c>
      <c r="H151" s="31">
        <v>224.98895812999976</v>
      </c>
      <c r="I151" s="31">
        <f t="shared" si="65"/>
        <v>700.07786409999949</v>
      </c>
      <c r="J151" s="31">
        <f>+E151+I151</f>
        <v>1305.8144194599995</v>
      </c>
      <c r="K151" s="31">
        <v>0</v>
      </c>
      <c r="L151" s="31">
        <v>0</v>
      </c>
      <c r="M151" s="31">
        <v>0</v>
      </c>
      <c r="N151" s="31">
        <f t="shared" si="66"/>
        <v>0</v>
      </c>
      <c r="O151" s="31">
        <v>0</v>
      </c>
      <c r="P151" s="31">
        <v>0</v>
      </c>
      <c r="Q151" s="31">
        <v>0</v>
      </c>
      <c r="R151" s="31">
        <f t="shared" si="67"/>
        <v>0</v>
      </c>
      <c r="S151" s="31">
        <f t="shared" si="74"/>
        <v>0</v>
      </c>
      <c r="T151" s="31">
        <f>+J151+S151</f>
        <v>1305.8144194599995</v>
      </c>
      <c r="U151" s="3">
        <f t="shared" si="75"/>
        <v>1305.8144194599993</v>
      </c>
      <c r="V151" s="3">
        <f t="shared" si="76"/>
        <v>0</v>
      </c>
    </row>
    <row r="152" spans="1:37" x14ac:dyDescent="0.3">
      <c r="A152" s="9" t="s">
        <v>151</v>
      </c>
      <c r="B152" s="31"/>
      <c r="C152" s="31"/>
      <c r="D152" s="31"/>
      <c r="E152" s="31"/>
      <c r="F152" s="31"/>
      <c r="G152" s="31"/>
      <c r="H152" s="31"/>
      <c r="I152" s="31"/>
      <c r="J152" s="31"/>
      <c r="K152" s="31"/>
      <c r="L152" s="31"/>
      <c r="M152" s="31"/>
      <c r="N152" s="31"/>
      <c r="O152" s="31"/>
      <c r="P152" s="31"/>
      <c r="Q152" s="31"/>
      <c r="R152" s="31"/>
      <c r="S152" s="31"/>
      <c r="T152" s="31"/>
      <c r="U152" s="3">
        <f t="shared" si="75"/>
        <v>0</v>
      </c>
      <c r="V152" s="3">
        <f t="shared" si="76"/>
        <v>0</v>
      </c>
    </row>
    <row r="153" spans="1:37" x14ac:dyDescent="0.3">
      <c r="A153" s="9" t="s">
        <v>152</v>
      </c>
      <c r="B153" s="5">
        <v>206.67952056000007</v>
      </c>
      <c r="C153" s="5">
        <v>123.99036808999993</v>
      </c>
      <c r="D153" s="5">
        <v>166.50043708000004</v>
      </c>
      <c r="E153" s="5">
        <f t="shared" si="64"/>
        <v>497.17032573000006</v>
      </c>
      <c r="F153" s="5">
        <v>186.28854540000023</v>
      </c>
      <c r="G153" s="5">
        <v>157.05659443000002</v>
      </c>
      <c r="H153" s="5">
        <v>141.03015310999996</v>
      </c>
      <c r="I153" s="5">
        <f t="shared" si="65"/>
        <v>484.37529294000018</v>
      </c>
      <c r="J153" s="5">
        <f>+E153+I153</f>
        <v>981.54561867000029</v>
      </c>
      <c r="K153" s="5">
        <v>0</v>
      </c>
      <c r="L153" s="5">
        <v>0</v>
      </c>
      <c r="M153" s="5">
        <v>0</v>
      </c>
      <c r="N153" s="5">
        <f t="shared" si="66"/>
        <v>0</v>
      </c>
      <c r="O153" s="5">
        <v>0</v>
      </c>
      <c r="P153" s="5">
        <v>0</v>
      </c>
      <c r="Q153" s="5">
        <v>0</v>
      </c>
      <c r="R153" s="5">
        <f t="shared" si="67"/>
        <v>0</v>
      </c>
      <c r="S153" s="5">
        <f t="shared" si="74"/>
        <v>0</v>
      </c>
      <c r="T153" s="5">
        <f>+J153+S153</f>
        <v>981.54561867000029</v>
      </c>
      <c r="U153" s="3">
        <f t="shared" si="75"/>
        <v>981.54561867000029</v>
      </c>
      <c r="V153" s="3">
        <f t="shared" si="76"/>
        <v>0</v>
      </c>
    </row>
    <row r="154" spans="1:37" x14ac:dyDescent="0.3">
      <c r="U154" s="3">
        <f t="shared" si="75"/>
        <v>0</v>
      </c>
      <c r="V154" s="3">
        <f t="shared" si="76"/>
        <v>0</v>
      </c>
    </row>
    <row r="155" spans="1:37" s="13" customFormat="1" x14ac:dyDescent="0.3">
      <c r="A155" s="15" t="s">
        <v>153</v>
      </c>
      <c r="B155" s="16">
        <f>SUM(B156:B162)</f>
        <v>652.94639394000058</v>
      </c>
      <c r="C155" s="16">
        <f t="shared" ref="C155:T155" si="79">SUM(C156:C162)</f>
        <v>365.46815848</v>
      </c>
      <c r="D155" s="16">
        <f t="shared" si="79"/>
        <v>512.87564870999972</v>
      </c>
      <c r="E155" s="16">
        <f t="shared" si="79"/>
        <v>1531.2902011300002</v>
      </c>
      <c r="F155" s="16">
        <f t="shared" si="79"/>
        <v>496.16728835000009</v>
      </c>
      <c r="G155" s="16">
        <f t="shared" si="79"/>
        <v>452.8579818099999</v>
      </c>
      <c r="H155" s="16">
        <f t="shared" si="79"/>
        <v>678.8970754500001</v>
      </c>
      <c r="I155" s="16">
        <f t="shared" si="79"/>
        <v>1627.9223456100001</v>
      </c>
      <c r="J155" s="16">
        <f t="shared" si="79"/>
        <v>3159.2125467400001</v>
      </c>
      <c r="K155" s="16">
        <f t="shared" si="79"/>
        <v>0</v>
      </c>
      <c r="L155" s="16">
        <f t="shared" si="79"/>
        <v>0</v>
      </c>
      <c r="M155" s="16">
        <f t="shared" si="79"/>
        <v>0</v>
      </c>
      <c r="N155" s="16">
        <f t="shared" si="79"/>
        <v>0</v>
      </c>
      <c r="O155" s="16">
        <f t="shared" si="79"/>
        <v>0</v>
      </c>
      <c r="P155" s="16">
        <f t="shared" si="79"/>
        <v>0</v>
      </c>
      <c r="Q155" s="16">
        <f t="shared" si="79"/>
        <v>0</v>
      </c>
      <c r="R155" s="16">
        <f t="shared" si="79"/>
        <v>0</v>
      </c>
      <c r="S155" s="16">
        <f t="shared" si="79"/>
        <v>0</v>
      </c>
      <c r="T155" s="16">
        <f t="shared" si="79"/>
        <v>3159.2125467400001</v>
      </c>
      <c r="U155" s="3">
        <f t="shared" si="75"/>
        <v>3159.2125467400001</v>
      </c>
      <c r="V155" s="3">
        <f t="shared" si="76"/>
        <v>0</v>
      </c>
      <c r="W155" s="2"/>
      <c r="X155" s="2"/>
      <c r="Y155" s="2"/>
      <c r="Z155" s="2"/>
      <c r="AA155" s="2"/>
      <c r="AB155" s="2"/>
      <c r="AC155" s="2"/>
      <c r="AD155" s="2"/>
      <c r="AE155" s="2"/>
      <c r="AF155" s="2"/>
      <c r="AG155" s="2"/>
      <c r="AH155" s="2"/>
      <c r="AI155" s="2"/>
      <c r="AJ155" s="2"/>
      <c r="AK155" s="2"/>
    </row>
    <row r="156" spans="1:37" x14ac:dyDescent="0.3">
      <c r="A156" s="9" t="s">
        <v>154</v>
      </c>
      <c r="B156" s="31">
        <v>50.367856349999997</v>
      </c>
      <c r="C156" s="31">
        <v>20.982959690000001</v>
      </c>
      <c r="D156" s="31">
        <v>25.863289560000002</v>
      </c>
      <c r="E156" s="31">
        <f t="shared" ref="E156:E161" si="80">+B156+C156+D156</f>
        <v>97.214105599999996</v>
      </c>
      <c r="F156" s="31">
        <v>52.794859360000025</v>
      </c>
      <c r="G156" s="31">
        <v>53.457295999999985</v>
      </c>
      <c r="H156" s="31">
        <v>35.157661040000001</v>
      </c>
      <c r="I156" s="31">
        <f t="shared" ref="I156:I161" si="81">+F156+G156+H156</f>
        <v>141.40981640000001</v>
      </c>
      <c r="J156" s="31">
        <f>+E156+I156</f>
        <v>238.62392199999999</v>
      </c>
      <c r="K156" s="31">
        <v>0</v>
      </c>
      <c r="L156" s="31">
        <v>0</v>
      </c>
      <c r="M156" s="31">
        <v>0</v>
      </c>
      <c r="N156" s="31">
        <f t="shared" ref="N156:N161" si="82">+K156+L156+M156</f>
        <v>0</v>
      </c>
      <c r="O156" s="31">
        <v>0</v>
      </c>
      <c r="P156" s="31">
        <v>0</v>
      </c>
      <c r="Q156" s="31">
        <v>0</v>
      </c>
      <c r="R156" s="31">
        <f t="shared" ref="R156:R161" si="83">+O156+P156+Q156</f>
        <v>0</v>
      </c>
      <c r="S156" s="31">
        <f t="shared" si="74"/>
        <v>0</v>
      </c>
      <c r="T156" s="31">
        <f>+J156+S156</f>
        <v>238.62392199999999</v>
      </c>
      <c r="U156" s="3">
        <f t="shared" si="75"/>
        <v>238.62392199999999</v>
      </c>
      <c r="V156" s="3">
        <f t="shared" si="76"/>
        <v>0</v>
      </c>
    </row>
    <row r="157" spans="1:37" ht="16.5" x14ac:dyDescent="0.3">
      <c r="A157" s="9" t="s">
        <v>155</v>
      </c>
      <c r="B157" s="31"/>
      <c r="C157" s="31"/>
      <c r="D157" s="31"/>
      <c r="E157" s="31"/>
      <c r="F157" s="31"/>
      <c r="G157" s="31"/>
      <c r="H157" s="31"/>
      <c r="I157" s="31"/>
      <c r="J157" s="31"/>
      <c r="K157" s="31"/>
      <c r="L157" s="31"/>
      <c r="M157" s="31"/>
      <c r="N157" s="31"/>
      <c r="O157" s="31"/>
      <c r="P157" s="31"/>
      <c r="Q157" s="31"/>
      <c r="R157" s="31"/>
      <c r="S157" s="31"/>
      <c r="T157" s="31"/>
      <c r="U157" s="3">
        <f t="shared" si="75"/>
        <v>0</v>
      </c>
      <c r="V157" s="3">
        <f t="shared" si="76"/>
        <v>0</v>
      </c>
    </row>
    <row r="158" spans="1:37" x14ac:dyDescent="0.3">
      <c r="A158" s="9" t="s">
        <v>156</v>
      </c>
      <c r="B158" s="5">
        <v>108.52877426999996</v>
      </c>
      <c r="C158" s="5">
        <v>98.477344319999986</v>
      </c>
      <c r="D158" s="5">
        <v>121.07882416</v>
      </c>
      <c r="E158" s="5">
        <f t="shared" si="80"/>
        <v>328.08494274999993</v>
      </c>
      <c r="F158" s="5">
        <v>111.49909396000001</v>
      </c>
      <c r="G158" s="5">
        <v>107.64710660999998</v>
      </c>
      <c r="H158" s="5">
        <v>156.423078</v>
      </c>
      <c r="I158" s="5">
        <f t="shared" si="81"/>
        <v>375.56927856999999</v>
      </c>
      <c r="J158" s="5">
        <f>+E158+I158</f>
        <v>703.65422131999992</v>
      </c>
      <c r="K158" s="5">
        <v>0</v>
      </c>
      <c r="L158" s="5">
        <v>0</v>
      </c>
      <c r="M158" s="5">
        <v>0</v>
      </c>
      <c r="N158" s="5">
        <f t="shared" si="82"/>
        <v>0</v>
      </c>
      <c r="O158" s="5">
        <v>0</v>
      </c>
      <c r="P158" s="5">
        <v>0</v>
      </c>
      <c r="Q158" s="5">
        <v>0</v>
      </c>
      <c r="R158" s="5">
        <f t="shared" si="83"/>
        <v>0</v>
      </c>
      <c r="S158" s="5">
        <f t="shared" si="74"/>
        <v>0</v>
      </c>
      <c r="T158" s="5">
        <f>+J158+S158</f>
        <v>703.65422131999992</v>
      </c>
      <c r="U158" s="3">
        <f t="shared" si="75"/>
        <v>703.65422132000003</v>
      </c>
      <c r="V158" s="3">
        <f t="shared" si="76"/>
        <v>0</v>
      </c>
    </row>
    <row r="159" spans="1:37" x14ac:dyDescent="0.3">
      <c r="A159" s="9" t="s">
        <v>157</v>
      </c>
      <c r="B159" s="31">
        <v>457.64212577000058</v>
      </c>
      <c r="C159" s="31">
        <v>219.02503587999996</v>
      </c>
      <c r="D159" s="31">
        <v>320.05838101999967</v>
      </c>
      <c r="E159" s="31">
        <f t="shared" si="80"/>
        <v>996.7255426700001</v>
      </c>
      <c r="F159" s="31">
        <v>311.64900654000007</v>
      </c>
      <c r="G159" s="31">
        <v>263.51579625999995</v>
      </c>
      <c r="H159" s="31">
        <v>461.4413747800001</v>
      </c>
      <c r="I159" s="31">
        <f t="shared" si="81"/>
        <v>1036.6061775800001</v>
      </c>
      <c r="J159" s="31">
        <f>+E159+I159</f>
        <v>2033.3317202500002</v>
      </c>
      <c r="K159" s="31">
        <v>0</v>
      </c>
      <c r="L159" s="31">
        <v>0</v>
      </c>
      <c r="M159" s="31">
        <v>0</v>
      </c>
      <c r="N159" s="31">
        <f t="shared" si="82"/>
        <v>0</v>
      </c>
      <c r="O159" s="31">
        <v>0</v>
      </c>
      <c r="P159" s="31">
        <v>0</v>
      </c>
      <c r="Q159" s="31">
        <v>0</v>
      </c>
      <c r="R159" s="31">
        <f t="shared" si="83"/>
        <v>0</v>
      </c>
      <c r="S159" s="31">
        <f t="shared" si="74"/>
        <v>0</v>
      </c>
      <c r="T159" s="31">
        <f>+J159+S159</f>
        <v>2033.3317202500002</v>
      </c>
      <c r="U159" s="3">
        <f t="shared" si="75"/>
        <v>2033.3317202500002</v>
      </c>
      <c r="V159" s="3">
        <f t="shared" si="76"/>
        <v>0</v>
      </c>
    </row>
    <row r="160" spans="1:37" x14ac:dyDescent="0.3">
      <c r="A160" s="9" t="s">
        <v>158</v>
      </c>
      <c r="B160" s="31"/>
      <c r="C160" s="31"/>
      <c r="D160" s="31"/>
      <c r="E160" s="31"/>
      <c r="F160" s="31"/>
      <c r="G160" s="31"/>
      <c r="H160" s="31"/>
      <c r="I160" s="31"/>
      <c r="J160" s="31"/>
      <c r="K160" s="31"/>
      <c r="L160" s="31"/>
      <c r="M160" s="31"/>
      <c r="N160" s="31"/>
      <c r="O160" s="31"/>
      <c r="P160" s="31"/>
      <c r="Q160" s="31"/>
      <c r="R160" s="31"/>
      <c r="S160" s="31"/>
      <c r="T160" s="31"/>
      <c r="U160" s="3">
        <f t="shared" si="75"/>
        <v>0</v>
      </c>
      <c r="V160" s="3">
        <f t="shared" si="76"/>
        <v>0</v>
      </c>
    </row>
    <row r="161" spans="1:37" x14ac:dyDescent="0.3">
      <c r="A161" s="9" t="s">
        <v>159</v>
      </c>
      <c r="B161" s="5">
        <v>36.407637550000018</v>
      </c>
      <c r="C161" s="5">
        <v>26.982818590000011</v>
      </c>
      <c r="D161" s="5">
        <v>45.87515397</v>
      </c>
      <c r="E161" s="5">
        <f t="shared" si="80"/>
        <v>109.26561011000003</v>
      </c>
      <c r="F161" s="5">
        <v>20.224328490000001</v>
      </c>
      <c r="G161" s="5">
        <v>28.237782939999999</v>
      </c>
      <c r="H161" s="5">
        <v>25.874961629999994</v>
      </c>
      <c r="I161" s="5">
        <f t="shared" si="81"/>
        <v>74.337073059999994</v>
      </c>
      <c r="J161" s="5">
        <f>+E161+I161</f>
        <v>183.60268317000003</v>
      </c>
      <c r="K161" s="5">
        <v>0</v>
      </c>
      <c r="L161" s="5">
        <v>0</v>
      </c>
      <c r="M161" s="5">
        <v>0</v>
      </c>
      <c r="N161" s="5">
        <f t="shared" si="82"/>
        <v>0</v>
      </c>
      <c r="O161" s="5">
        <v>0</v>
      </c>
      <c r="P161" s="5">
        <v>0</v>
      </c>
      <c r="Q161" s="5">
        <v>0</v>
      </c>
      <c r="R161" s="5">
        <f t="shared" si="83"/>
        <v>0</v>
      </c>
      <c r="S161" s="5">
        <f t="shared" si="74"/>
        <v>0</v>
      </c>
      <c r="T161" s="5">
        <f>+J161+S161</f>
        <v>183.60268317000003</v>
      </c>
      <c r="U161" s="3">
        <f t="shared" si="75"/>
        <v>183.60268317000001</v>
      </c>
      <c r="V161" s="3">
        <f t="shared" si="76"/>
        <v>0</v>
      </c>
    </row>
    <row r="162" spans="1:37" ht="16.5" x14ac:dyDescent="0.3">
      <c r="A162" s="9" t="s">
        <v>160</v>
      </c>
      <c r="J162" s="17"/>
      <c r="S162" s="17"/>
      <c r="U162" s="3">
        <f t="shared" si="75"/>
        <v>0</v>
      </c>
      <c r="V162" s="3">
        <f t="shared" si="76"/>
        <v>0</v>
      </c>
    </row>
    <row r="163" spans="1:37" x14ac:dyDescent="0.3">
      <c r="U163" s="3">
        <f t="shared" si="75"/>
        <v>0</v>
      </c>
      <c r="V163" s="3">
        <f t="shared" si="76"/>
        <v>0</v>
      </c>
    </row>
    <row r="164" spans="1:37" s="13" customFormat="1" x14ac:dyDescent="0.3">
      <c r="A164" s="13" t="s">
        <v>161</v>
      </c>
      <c r="B164" s="2">
        <f>+B7+B27+B36+B42+B49+B60+B68+B76+B84+B92+B98+B106+B115+B122+B131+B140+B147+B155</f>
        <v>346230.57656995492</v>
      </c>
      <c r="C164" s="2">
        <f t="shared" ref="C164:T164" si="84">+C7+C27+C36+C42+C49+C60+C68+C76+C84+C92+C98+C106+C115+C122+C131+C140+C147+C155</f>
        <v>167802.06655489997</v>
      </c>
      <c r="D164" s="2">
        <f t="shared" si="84"/>
        <v>187077.31685389992</v>
      </c>
      <c r="E164" s="2">
        <f t="shared" si="84"/>
        <v>701109.95997875498</v>
      </c>
      <c r="F164" s="2">
        <f t="shared" si="84"/>
        <v>412115.29794750991</v>
      </c>
      <c r="G164" s="2">
        <f t="shared" si="84"/>
        <v>270158.84124840493</v>
      </c>
      <c r="H164" s="2">
        <f t="shared" si="84"/>
        <v>199641.12095932002</v>
      </c>
      <c r="I164" s="2">
        <f t="shared" si="84"/>
        <v>881915.2601552346</v>
      </c>
      <c r="J164" s="2">
        <f t="shared" si="84"/>
        <v>1583025.2201339896</v>
      </c>
      <c r="K164" s="2">
        <f t="shared" si="84"/>
        <v>0</v>
      </c>
      <c r="L164" s="2">
        <f t="shared" si="84"/>
        <v>0</v>
      </c>
      <c r="M164" s="2">
        <f t="shared" si="84"/>
        <v>0</v>
      </c>
      <c r="N164" s="2">
        <f t="shared" si="84"/>
        <v>0</v>
      </c>
      <c r="O164" s="2">
        <f t="shared" si="84"/>
        <v>0</v>
      </c>
      <c r="P164" s="2">
        <f t="shared" si="84"/>
        <v>0</v>
      </c>
      <c r="Q164" s="2">
        <f t="shared" si="84"/>
        <v>0</v>
      </c>
      <c r="R164" s="2">
        <f t="shared" si="84"/>
        <v>0</v>
      </c>
      <c r="S164" s="2">
        <f t="shared" si="84"/>
        <v>0</v>
      </c>
      <c r="T164" s="2">
        <f t="shared" si="84"/>
        <v>1583025.2201339896</v>
      </c>
      <c r="U164" s="3">
        <f t="shared" si="75"/>
        <v>1583025.2201339898</v>
      </c>
      <c r="V164" s="3">
        <f t="shared" si="76"/>
        <v>0</v>
      </c>
      <c r="W164" s="2"/>
      <c r="X164" s="2"/>
      <c r="Y164" s="2"/>
      <c r="Z164" s="2"/>
      <c r="AA164" s="2"/>
      <c r="AB164" s="2"/>
      <c r="AC164" s="2"/>
      <c r="AD164" s="2"/>
      <c r="AE164" s="2"/>
      <c r="AF164" s="2"/>
      <c r="AG164" s="2"/>
      <c r="AH164" s="2"/>
      <c r="AI164" s="2"/>
      <c r="AJ164" s="2"/>
      <c r="AK164" s="2"/>
    </row>
    <row r="165" spans="1:37" x14ac:dyDescent="0.3">
      <c r="U165" s="3">
        <f t="shared" si="75"/>
        <v>0</v>
      </c>
      <c r="V165" s="3">
        <f t="shared" si="76"/>
        <v>0</v>
      </c>
    </row>
    <row r="166" spans="1:37" s="13" customFormat="1" x14ac:dyDescent="0.3">
      <c r="A166" s="13" t="s">
        <v>162</v>
      </c>
      <c r="B166" s="2">
        <v>12288.95633531</v>
      </c>
      <c r="C166" s="2">
        <v>7662.0482750900001</v>
      </c>
      <c r="D166" s="2">
        <v>11712.255309769998</v>
      </c>
      <c r="E166" s="2">
        <f t="shared" ref="E166" si="85">+B166+C166+D166</f>
        <v>31663.25992017</v>
      </c>
      <c r="F166" s="2">
        <v>10271.984650779999</v>
      </c>
      <c r="G166" s="2">
        <v>8961.6466154599984</v>
      </c>
      <c r="H166" s="2">
        <v>10890.835737709998</v>
      </c>
      <c r="I166" s="2">
        <f t="shared" ref="I166" si="86">+F166+G166+H166</f>
        <v>30124.467003949998</v>
      </c>
      <c r="J166" s="2">
        <f>+E166+I166</f>
        <v>61787.726924119997</v>
      </c>
      <c r="K166" s="2">
        <v>0</v>
      </c>
      <c r="L166" s="2">
        <v>0</v>
      </c>
      <c r="M166" s="2">
        <v>0</v>
      </c>
      <c r="N166" s="2">
        <f t="shared" ref="N166" si="87">+K166+L166+M166</f>
        <v>0</v>
      </c>
      <c r="O166" s="2">
        <v>0</v>
      </c>
      <c r="P166" s="2">
        <v>0</v>
      </c>
      <c r="Q166" s="2">
        <v>0</v>
      </c>
      <c r="R166" s="2">
        <f t="shared" ref="R166" si="88">+O166+P166+Q166</f>
        <v>0</v>
      </c>
      <c r="S166" s="2">
        <f t="shared" si="74"/>
        <v>0</v>
      </c>
      <c r="T166" s="2">
        <f>+J166+S166</f>
        <v>61787.726924119997</v>
      </c>
      <c r="U166" s="3">
        <f t="shared" si="75"/>
        <v>61787.726924119997</v>
      </c>
      <c r="V166" s="3">
        <f t="shared" si="76"/>
        <v>0</v>
      </c>
      <c r="W166" s="2"/>
      <c r="X166" s="2"/>
      <c r="Y166" s="2"/>
      <c r="Z166" s="2"/>
      <c r="AA166" s="2"/>
      <c r="AB166" s="2"/>
      <c r="AC166" s="2"/>
      <c r="AD166" s="2"/>
      <c r="AE166" s="2"/>
      <c r="AF166" s="2"/>
      <c r="AG166" s="2"/>
      <c r="AH166" s="2"/>
      <c r="AI166" s="2"/>
      <c r="AJ166" s="2"/>
      <c r="AK166" s="2"/>
    </row>
    <row r="167" spans="1:37" x14ac:dyDescent="0.3">
      <c r="U167" s="3">
        <f t="shared" si="75"/>
        <v>0</v>
      </c>
      <c r="V167" s="3">
        <f t="shared" si="76"/>
        <v>0</v>
      </c>
    </row>
    <row r="168" spans="1:37" s="13" customFormat="1" x14ac:dyDescent="0.3">
      <c r="A168" s="13" t="s">
        <v>163</v>
      </c>
      <c r="B168" s="2">
        <v>151.68219338519077</v>
      </c>
      <c r="C168" s="2">
        <v>-27.123379370004184</v>
      </c>
      <c r="D168" s="2">
        <v>-163.09092343997688</v>
      </c>
      <c r="E168" s="2">
        <f t="shared" ref="E168" si="89">+B168+C168+D168</f>
        <v>-38.532109424790292</v>
      </c>
      <c r="F168" s="2">
        <v>-8.921808470010383</v>
      </c>
      <c r="G168" s="2">
        <v>14.269219095015947</v>
      </c>
      <c r="H168" s="2">
        <v>161.17216954001745</v>
      </c>
      <c r="I168" s="2">
        <f t="shared" ref="I168" si="90">+F168+G168+H168</f>
        <v>166.519580165023</v>
      </c>
      <c r="J168" s="2">
        <f>+E168+I168</f>
        <v>127.98747074023271</v>
      </c>
      <c r="K168" s="2">
        <v>0</v>
      </c>
      <c r="L168" s="2">
        <v>0</v>
      </c>
      <c r="M168" s="2">
        <v>0</v>
      </c>
      <c r="N168" s="2">
        <f t="shared" ref="N168" si="91">+K168+L168+M168</f>
        <v>0</v>
      </c>
      <c r="O168" s="2">
        <v>0</v>
      </c>
      <c r="P168" s="2">
        <v>0</v>
      </c>
      <c r="Q168" s="2">
        <v>0</v>
      </c>
      <c r="R168" s="2">
        <f t="shared" ref="R168" si="92">+O168+P168+Q168</f>
        <v>0</v>
      </c>
      <c r="S168" s="2">
        <f t="shared" si="74"/>
        <v>0</v>
      </c>
      <c r="T168" s="2">
        <f>+J168+S168</f>
        <v>127.98747074023271</v>
      </c>
      <c r="U168" s="3">
        <f t="shared" si="75"/>
        <v>127.98747074023272</v>
      </c>
      <c r="V168" s="3">
        <f t="shared" si="76"/>
        <v>0</v>
      </c>
      <c r="W168" s="2"/>
      <c r="X168" s="2"/>
      <c r="Y168" s="2"/>
      <c r="Z168" s="2"/>
      <c r="AA168" s="2"/>
      <c r="AB168" s="2"/>
      <c r="AC168" s="2"/>
      <c r="AD168" s="2"/>
      <c r="AE168" s="2"/>
      <c r="AF168" s="2"/>
      <c r="AG168" s="2"/>
      <c r="AH168" s="2"/>
      <c r="AI168" s="2"/>
      <c r="AJ168" s="2"/>
      <c r="AK168" s="2"/>
    </row>
    <row r="169" spans="1:37" x14ac:dyDescent="0.3">
      <c r="U169" s="3">
        <f t="shared" si="75"/>
        <v>0</v>
      </c>
      <c r="V169" s="3">
        <f t="shared" si="76"/>
        <v>0</v>
      </c>
    </row>
    <row r="170" spans="1:37" s="13" customFormat="1" x14ac:dyDescent="0.3">
      <c r="A170" s="13" t="s">
        <v>164</v>
      </c>
      <c r="B170" s="2">
        <f>+B164+B166+B168</f>
        <v>358671.21509865014</v>
      </c>
      <c r="C170" s="2">
        <f t="shared" ref="C170:T170" si="93">+C164+C166+C168</f>
        <v>175436.99145061997</v>
      </c>
      <c r="D170" s="2">
        <f t="shared" si="93"/>
        <v>198626.48124022994</v>
      </c>
      <c r="E170" s="2">
        <f t="shared" si="93"/>
        <v>732734.68778950011</v>
      </c>
      <c r="F170" s="2">
        <f t="shared" si="93"/>
        <v>422378.36078981991</v>
      </c>
      <c r="G170" s="2">
        <f t="shared" si="93"/>
        <v>279134.75708295993</v>
      </c>
      <c r="H170" s="2">
        <f t="shared" si="93"/>
        <v>210693.12886657004</v>
      </c>
      <c r="I170" s="2">
        <f t="shared" si="93"/>
        <v>912206.24673934968</v>
      </c>
      <c r="J170" s="2">
        <f t="shared" si="93"/>
        <v>1644940.9345288498</v>
      </c>
      <c r="K170" s="2">
        <f t="shared" si="93"/>
        <v>0</v>
      </c>
      <c r="L170" s="2">
        <f t="shared" si="93"/>
        <v>0</v>
      </c>
      <c r="M170" s="2">
        <f t="shared" si="93"/>
        <v>0</v>
      </c>
      <c r="N170" s="2">
        <f t="shared" si="93"/>
        <v>0</v>
      </c>
      <c r="O170" s="2">
        <f t="shared" si="93"/>
        <v>0</v>
      </c>
      <c r="P170" s="2">
        <f t="shared" si="93"/>
        <v>0</v>
      </c>
      <c r="Q170" s="2">
        <f t="shared" si="93"/>
        <v>0</v>
      </c>
      <c r="R170" s="2">
        <f t="shared" si="93"/>
        <v>0</v>
      </c>
      <c r="S170" s="2">
        <f t="shared" si="93"/>
        <v>0</v>
      </c>
      <c r="T170" s="2">
        <f t="shared" si="93"/>
        <v>1644940.9345288498</v>
      </c>
      <c r="U170" s="3">
        <f t="shared" si="75"/>
        <v>1644940.9345288498</v>
      </c>
      <c r="V170" s="3">
        <f t="shared" si="76"/>
        <v>0</v>
      </c>
      <c r="W170" s="2"/>
      <c r="X170" s="2"/>
      <c r="Y170" s="2"/>
      <c r="Z170" s="2"/>
      <c r="AA170" s="2"/>
      <c r="AB170" s="2"/>
      <c r="AC170" s="2"/>
      <c r="AD170" s="2"/>
      <c r="AE170" s="2"/>
      <c r="AF170" s="2"/>
      <c r="AG170" s="2"/>
      <c r="AH170" s="2"/>
      <c r="AI170" s="2"/>
      <c r="AJ170" s="2"/>
      <c r="AK170" s="2"/>
    </row>
    <row r="171" spans="1:37" x14ac:dyDescent="0.3">
      <c r="U171" s="3">
        <f t="shared" si="75"/>
        <v>0</v>
      </c>
      <c r="V171" s="3">
        <f t="shared" si="76"/>
        <v>0</v>
      </c>
    </row>
    <row r="172" spans="1:37" s="13" customFormat="1" x14ac:dyDescent="0.3">
      <c r="A172" s="13" t="s">
        <v>165</v>
      </c>
      <c r="B172" s="2">
        <v>0</v>
      </c>
      <c r="C172" s="2">
        <v>-2202.39126313</v>
      </c>
      <c r="D172" s="2">
        <v>-11367.75140949</v>
      </c>
      <c r="E172" s="2">
        <f t="shared" ref="E172" si="94">+B172+C172+D172</f>
        <v>-13570.142672620001</v>
      </c>
      <c r="F172" s="2">
        <v>-135.81299146999999</v>
      </c>
      <c r="G172" s="2">
        <v>-0.48090710999999997</v>
      </c>
      <c r="H172" s="2">
        <v>0</v>
      </c>
      <c r="I172" s="2">
        <f t="shared" ref="I172" si="95">+F172+G172+H172</f>
        <v>-136.29389857999999</v>
      </c>
      <c r="J172" s="2">
        <f>+E172+I172</f>
        <v>-13706.4365712</v>
      </c>
      <c r="K172" s="2">
        <v>0</v>
      </c>
      <c r="L172" s="2">
        <v>0</v>
      </c>
      <c r="M172" s="2">
        <v>0</v>
      </c>
      <c r="N172" s="2">
        <f t="shared" ref="N172" si="96">+K172+L172+M172</f>
        <v>0</v>
      </c>
      <c r="O172" s="2">
        <v>0</v>
      </c>
      <c r="P172" s="2">
        <v>0</v>
      </c>
      <c r="Q172" s="2">
        <v>0</v>
      </c>
      <c r="R172" s="2">
        <f t="shared" ref="R172" si="97">+O172+P172+Q172</f>
        <v>0</v>
      </c>
      <c r="S172" s="2">
        <f t="shared" si="74"/>
        <v>0</v>
      </c>
      <c r="T172" s="2">
        <f>+J172+S172</f>
        <v>-13706.4365712</v>
      </c>
      <c r="U172" s="3">
        <f t="shared" si="75"/>
        <v>-13706.436571200002</v>
      </c>
      <c r="V172" s="3">
        <f t="shared" si="76"/>
        <v>0</v>
      </c>
      <c r="W172" s="2"/>
      <c r="X172" s="2"/>
      <c r="Y172" s="2"/>
      <c r="Z172" s="2"/>
      <c r="AA172" s="2"/>
      <c r="AB172" s="2"/>
      <c r="AC172" s="2"/>
      <c r="AD172" s="2"/>
      <c r="AE172" s="2"/>
      <c r="AF172" s="2"/>
      <c r="AG172" s="2"/>
      <c r="AH172" s="2"/>
      <c r="AI172" s="2"/>
      <c r="AJ172" s="2"/>
      <c r="AK172" s="2"/>
    </row>
    <row r="173" spans="1:37" x14ac:dyDescent="0.3">
      <c r="U173" s="3">
        <f t="shared" si="75"/>
        <v>0</v>
      </c>
      <c r="V173" s="3">
        <f t="shared" si="76"/>
        <v>0</v>
      </c>
    </row>
    <row r="174" spans="1:37" s="13" customFormat="1" x14ac:dyDescent="0.3">
      <c r="A174" s="13" t="s">
        <v>166</v>
      </c>
      <c r="B174" s="18">
        <f>+B170+B172</f>
        <v>358671.21509865014</v>
      </c>
      <c r="C174" s="18">
        <f t="shared" ref="C174:T174" si="98">+C170+C172</f>
        <v>173234.60018748997</v>
      </c>
      <c r="D174" s="18">
        <f t="shared" si="98"/>
        <v>187258.72983073993</v>
      </c>
      <c r="E174" s="18">
        <f t="shared" si="98"/>
        <v>719164.54511688009</v>
      </c>
      <c r="F174" s="18">
        <f t="shared" si="98"/>
        <v>422242.54779834993</v>
      </c>
      <c r="G174" s="18">
        <f t="shared" si="98"/>
        <v>279134.27617584995</v>
      </c>
      <c r="H174" s="18">
        <f t="shared" si="98"/>
        <v>210693.12886657004</v>
      </c>
      <c r="I174" s="18">
        <f t="shared" si="98"/>
        <v>912069.95284076966</v>
      </c>
      <c r="J174" s="18">
        <f t="shared" si="98"/>
        <v>1631234.4979576499</v>
      </c>
      <c r="K174" s="18">
        <f t="shared" si="98"/>
        <v>0</v>
      </c>
      <c r="L174" s="18">
        <f t="shared" si="98"/>
        <v>0</v>
      </c>
      <c r="M174" s="18">
        <f t="shared" si="98"/>
        <v>0</v>
      </c>
      <c r="N174" s="18">
        <f t="shared" si="98"/>
        <v>0</v>
      </c>
      <c r="O174" s="18">
        <f t="shared" si="98"/>
        <v>0</v>
      </c>
      <c r="P174" s="18">
        <f t="shared" si="98"/>
        <v>0</v>
      </c>
      <c r="Q174" s="18">
        <f t="shared" si="98"/>
        <v>0</v>
      </c>
      <c r="R174" s="18">
        <f t="shared" si="98"/>
        <v>0</v>
      </c>
      <c r="S174" s="18">
        <f t="shared" si="98"/>
        <v>0</v>
      </c>
      <c r="T174" s="18">
        <f t="shared" si="98"/>
        <v>1631234.4979576499</v>
      </c>
      <c r="U174" s="3">
        <f t="shared" si="75"/>
        <v>1631234.4979576501</v>
      </c>
      <c r="V174" s="3">
        <f t="shared" si="76"/>
        <v>0</v>
      </c>
      <c r="W174" s="2"/>
      <c r="X174" s="2"/>
      <c r="Y174" s="2"/>
      <c r="Z174" s="2"/>
      <c r="AA174" s="2"/>
      <c r="AB174" s="2"/>
      <c r="AC174" s="2"/>
      <c r="AD174" s="2"/>
      <c r="AE174" s="2"/>
      <c r="AF174" s="2"/>
      <c r="AG174" s="2"/>
      <c r="AH174" s="2"/>
      <c r="AI174" s="2"/>
      <c r="AJ174" s="2"/>
      <c r="AK174" s="2"/>
    </row>
    <row r="175" spans="1:37" s="13" customFormat="1" ht="15" thickBot="1" x14ac:dyDescent="0.35">
      <c r="A175" s="19"/>
      <c r="B175" s="20"/>
      <c r="C175" s="20"/>
      <c r="D175" s="20"/>
      <c r="E175" s="20"/>
      <c r="F175" s="20"/>
      <c r="G175" s="20"/>
      <c r="H175" s="20"/>
      <c r="I175" s="20"/>
      <c r="J175" s="20"/>
      <c r="K175" s="20"/>
      <c r="L175" s="20"/>
      <c r="M175" s="20"/>
      <c r="N175" s="20"/>
      <c r="O175" s="20"/>
      <c r="P175" s="20"/>
      <c r="Q175" s="20"/>
      <c r="R175" s="20"/>
      <c r="S175" s="20"/>
      <c r="T175" s="20"/>
      <c r="U175" s="3"/>
      <c r="V175" s="3"/>
      <c r="W175" s="2"/>
      <c r="X175" s="2"/>
      <c r="Y175" s="2"/>
      <c r="Z175" s="2"/>
      <c r="AA175" s="2"/>
      <c r="AB175" s="2"/>
      <c r="AC175" s="2"/>
      <c r="AD175" s="2"/>
      <c r="AE175" s="2"/>
      <c r="AF175" s="2"/>
      <c r="AG175" s="2"/>
      <c r="AH175" s="2"/>
      <c r="AI175" s="2"/>
      <c r="AJ175" s="2"/>
      <c r="AK175" s="2"/>
    </row>
    <row r="176" spans="1:37" x14ac:dyDescent="0.3">
      <c r="A176" s="21" t="s">
        <v>167</v>
      </c>
    </row>
    <row r="177" spans="1:20" s="23" customFormat="1" ht="15" customHeight="1" x14ac:dyDescent="0.3">
      <c r="A177" s="22" t="s">
        <v>168</v>
      </c>
    </row>
    <row r="178" spans="1:20" s="23" customFormat="1" ht="15" customHeight="1" x14ac:dyDescent="0.3">
      <c r="A178" s="24" t="s">
        <v>208</v>
      </c>
    </row>
    <row r="179" spans="1:20" s="23" customFormat="1" ht="15" customHeight="1" x14ac:dyDescent="0.3">
      <c r="A179" s="24" t="s">
        <v>209</v>
      </c>
    </row>
    <row r="180" spans="1:20" s="23" customFormat="1" ht="15" customHeight="1" x14ac:dyDescent="0.3">
      <c r="A180" s="25"/>
      <c r="B180" s="24"/>
    </row>
    <row r="181" spans="1:20" x14ac:dyDescent="0.3">
      <c r="A181" s="26"/>
    </row>
    <row r="182" spans="1:20" x14ac:dyDescent="0.3">
      <c r="A182" s="26"/>
    </row>
    <row r="183" spans="1:20" x14ac:dyDescent="0.3">
      <c r="A183" s="26"/>
    </row>
    <row r="184" spans="1:20" x14ac:dyDescent="0.3">
      <c r="A184" s="26"/>
    </row>
    <row r="185" spans="1:20" x14ac:dyDescent="0.3">
      <c r="A185" s="26"/>
    </row>
    <row r="186" spans="1:20" x14ac:dyDescent="0.3">
      <c r="A186" s="26"/>
    </row>
    <row r="187" spans="1:20" x14ac:dyDescent="0.3">
      <c r="A187" s="26"/>
    </row>
    <row r="188" spans="1:20" x14ac:dyDescent="0.3">
      <c r="A188" s="26"/>
    </row>
    <row r="189" spans="1:20" x14ac:dyDescent="0.3">
      <c r="A189" s="26"/>
    </row>
    <row r="190" spans="1:20" x14ac:dyDescent="0.3">
      <c r="A190" s="26"/>
    </row>
    <row r="191" spans="1:20" x14ac:dyDescent="0.3">
      <c r="A191" s="26"/>
    </row>
    <row r="192" spans="1:20" ht="14.25" customHeight="1" x14ac:dyDescent="0.3">
      <c r="A192" s="26"/>
      <c r="B192" s="26"/>
      <c r="C192" s="26"/>
      <c r="D192" s="26"/>
      <c r="E192" s="26"/>
      <c r="F192" s="26"/>
      <c r="G192" s="26"/>
      <c r="H192" s="26"/>
      <c r="I192" s="26"/>
      <c r="J192" s="26"/>
      <c r="K192" s="26"/>
      <c r="L192" s="26"/>
      <c r="M192" s="26"/>
      <c r="N192" s="26"/>
      <c r="O192" s="26"/>
      <c r="P192" s="26"/>
      <c r="Q192" s="26"/>
      <c r="R192" s="26"/>
      <c r="S192" s="26"/>
      <c r="T192" s="26"/>
    </row>
    <row r="193" spans="1:1" x14ac:dyDescent="0.3">
      <c r="A193" s="26"/>
    </row>
    <row r="194" spans="1:1" x14ac:dyDescent="0.3">
      <c r="A194" s="26"/>
    </row>
    <row r="195" spans="1:1" x14ac:dyDescent="0.3">
      <c r="A195" s="26"/>
    </row>
    <row r="196" spans="1:1" x14ac:dyDescent="0.3">
      <c r="A196" s="26"/>
    </row>
    <row r="197" spans="1:1" x14ac:dyDescent="0.3">
      <c r="A197" s="26"/>
    </row>
    <row r="198" spans="1:1" x14ac:dyDescent="0.3">
      <c r="A198" s="26"/>
    </row>
  </sheetData>
  <mergeCells count="361">
    <mergeCell ref="D11:D12"/>
    <mergeCell ref="E11:E12"/>
    <mergeCell ref="F11:F12"/>
    <mergeCell ref="G11:G12"/>
    <mergeCell ref="T11:T12"/>
    <mergeCell ref="B22:B23"/>
    <mergeCell ref="C22:C23"/>
    <mergeCell ref="D22:D23"/>
    <mergeCell ref="E22:E23"/>
    <mergeCell ref="F22:F23"/>
    <mergeCell ref="G22:G23"/>
    <mergeCell ref="H22:H23"/>
    <mergeCell ref="I22:I23"/>
    <mergeCell ref="J22:J23"/>
    <mergeCell ref="N11:N12"/>
    <mergeCell ref="O11:O12"/>
    <mergeCell ref="P11:P12"/>
    <mergeCell ref="Q11:Q12"/>
    <mergeCell ref="R11:R12"/>
    <mergeCell ref="S11:S12"/>
    <mergeCell ref="H11:H12"/>
    <mergeCell ref="I11:I12"/>
    <mergeCell ref="J11:J12"/>
    <mergeCell ref="K11:K12"/>
    <mergeCell ref="L11:L12"/>
    <mergeCell ref="M11:M12"/>
    <mergeCell ref="B11:B12"/>
    <mergeCell ref="C11:C12"/>
    <mergeCell ref="Q22:Q23"/>
    <mergeCell ref="R22:R23"/>
    <mergeCell ref="S22:S23"/>
    <mergeCell ref="T22:T23"/>
    <mergeCell ref="B29:B30"/>
    <mergeCell ref="C29:C30"/>
    <mergeCell ref="D29:D30"/>
    <mergeCell ref="E29:E30"/>
    <mergeCell ref="F29:F30"/>
    <mergeCell ref="G29:G30"/>
    <mergeCell ref="K22:K23"/>
    <mergeCell ref="L22:L23"/>
    <mergeCell ref="M22:M23"/>
    <mergeCell ref="N22:N23"/>
    <mergeCell ref="O22:O23"/>
    <mergeCell ref="P22:P23"/>
    <mergeCell ref="T29:T30"/>
    <mergeCell ref="B43:B44"/>
    <mergeCell ref="C43:C44"/>
    <mergeCell ref="D43:D44"/>
    <mergeCell ref="E43:E44"/>
    <mergeCell ref="F43:F44"/>
    <mergeCell ref="G43:G44"/>
    <mergeCell ref="H43:H44"/>
    <mergeCell ref="I43:I44"/>
    <mergeCell ref="J43:J44"/>
    <mergeCell ref="N29:N30"/>
    <mergeCell ref="O29:O30"/>
    <mergeCell ref="P29:P30"/>
    <mergeCell ref="Q29:Q30"/>
    <mergeCell ref="R29:R30"/>
    <mergeCell ref="S29:S30"/>
    <mergeCell ref="H29:H30"/>
    <mergeCell ref="I29:I30"/>
    <mergeCell ref="J29:J30"/>
    <mergeCell ref="K29:K30"/>
    <mergeCell ref="L29:L30"/>
    <mergeCell ref="M29:M30"/>
    <mergeCell ref="Q43:Q44"/>
    <mergeCell ref="R43:R44"/>
    <mergeCell ref="S43:S44"/>
    <mergeCell ref="T43:T44"/>
    <mergeCell ref="B72:B73"/>
    <mergeCell ref="C72:C73"/>
    <mergeCell ref="D72:D73"/>
    <mergeCell ref="E72:E73"/>
    <mergeCell ref="F72:F73"/>
    <mergeCell ref="G72:G73"/>
    <mergeCell ref="K43:K44"/>
    <mergeCell ref="L43:L44"/>
    <mergeCell ref="M43:M44"/>
    <mergeCell ref="N43:N44"/>
    <mergeCell ref="O43:O44"/>
    <mergeCell ref="P43:P44"/>
    <mergeCell ref="T72:T73"/>
    <mergeCell ref="B89:B90"/>
    <mergeCell ref="C89:C90"/>
    <mergeCell ref="D89:D90"/>
    <mergeCell ref="E89:E90"/>
    <mergeCell ref="F89:F90"/>
    <mergeCell ref="G89:G90"/>
    <mergeCell ref="H89:H90"/>
    <mergeCell ref="I89:I90"/>
    <mergeCell ref="J89:J90"/>
    <mergeCell ref="N72:N73"/>
    <mergeCell ref="O72:O73"/>
    <mergeCell ref="P72:P73"/>
    <mergeCell ref="Q72:Q73"/>
    <mergeCell ref="R72:R73"/>
    <mergeCell ref="S72:S73"/>
    <mergeCell ref="H72:H73"/>
    <mergeCell ref="I72:I73"/>
    <mergeCell ref="J72:J73"/>
    <mergeCell ref="K72:K73"/>
    <mergeCell ref="L72:L73"/>
    <mergeCell ref="M72:M73"/>
    <mergeCell ref="Q89:Q90"/>
    <mergeCell ref="R89:R90"/>
    <mergeCell ref="S89:S90"/>
    <mergeCell ref="T89:T90"/>
    <mergeCell ref="B93:B94"/>
    <mergeCell ref="C93:C94"/>
    <mergeCell ref="D93:D94"/>
    <mergeCell ref="E93:E94"/>
    <mergeCell ref="F93:F94"/>
    <mergeCell ref="G93:G94"/>
    <mergeCell ref="K89:K90"/>
    <mergeCell ref="L89:L90"/>
    <mergeCell ref="M89:M90"/>
    <mergeCell ref="N89:N90"/>
    <mergeCell ref="O89:O90"/>
    <mergeCell ref="P89:P90"/>
    <mergeCell ref="T93:T94"/>
    <mergeCell ref="B95:B96"/>
    <mergeCell ref="C95:C96"/>
    <mergeCell ref="D95:D96"/>
    <mergeCell ref="E95:E96"/>
    <mergeCell ref="F95:F96"/>
    <mergeCell ref="G95:G96"/>
    <mergeCell ref="H95:H96"/>
    <mergeCell ref="I95:I96"/>
    <mergeCell ref="J95:J96"/>
    <mergeCell ref="N93:N94"/>
    <mergeCell ref="O93:O94"/>
    <mergeCell ref="P93:P94"/>
    <mergeCell ref="Q93:Q94"/>
    <mergeCell ref="R93:R94"/>
    <mergeCell ref="S93:S94"/>
    <mergeCell ref="H93:H94"/>
    <mergeCell ref="I93:I94"/>
    <mergeCell ref="J93:J94"/>
    <mergeCell ref="K93:K94"/>
    <mergeCell ref="L93:L94"/>
    <mergeCell ref="M93:M94"/>
    <mergeCell ref="Q95:Q96"/>
    <mergeCell ref="R95:R96"/>
    <mergeCell ref="S95:S96"/>
    <mergeCell ref="T95:T96"/>
    <mergeCell ref="B100:B102"/>
    <mergeCell ref="C100:C102"/>
    <mergeCell ref="D100:D102"/>
    <mergeCell ref="E100:E102"/>
    <mergeCell ref="F100:F102"/>
    <mergeCell ref="G100:G102"/>
    <mergeCell ref="K95:K96"/>
    <mergeCell ref="L95:L96"/>
    <mergeCell ref="M95:M96"/>
    <mergeCell ref="N95:N96"/>
    <mergeCell ref="O95:O96"/>
    <mergeCell ref="P95:P96"/>
    <mergeCell ref="T100:T102"/>
    <mergeCell ref="B107:B108"/>
    <mergeCell ref="C107:C108"/>
    <mergeCell ref="D107:D108"/>
    <mergeCell ref="E107:E108"/>
    <mergeCell ref="F107:F108"/>
    <mergeCell ref="G107:G108"/>
    <mergeCell ref="H107:H108"/>
    <mergeCell ref="I107:I108"/>
    <mergeCell ref="J107:J108"/>
    <mergeCell ref="N100:N102"/>
    <mergeCell ref="O100:O102"/>
    <mergeCell ref="P100:P102"/>
    <mergeCell ref="Q100:Q102"/>
    <mergeCell ref="R100:R102"/>
    <mergeCell ref="S100:S102"/>
    <mergeCell ref="H100:H102"/>
    <mergeCell ref="I100:I102"/>
    <mergeCell ref="J100:J102"/>
    <mergeCell ref="K100:K102"/>
    <mergeCell ref="L100:L102"/>
    <mergeCell ref="M100:M102"/>
    <mergeCell ref="Q107:Q108"/>
    <mergeCell ref="R107:R108"/>
    <mergeCell ref="S107:S108"/>
    <mergeCell ref="T107:T108"/>
    <mergeCell ref="B124:B125"/>
    <mergeCell ref="C124:C125"/>
    <mergeCell ref="D124:D125"/>
    <mergeCell ref="E124:E125"/>
    <mergeCell ref="F124:F125"/>
    <mergeCell ref="G124:G125"/>
    <mergeCell ref="K107:K108"/>
    <mergeCell ref="L107:L108"/>
    <mergeCell ref="M107:M108"/>
    <mergeCell ref="N107:N108"/>
    <mergeCell ref="O107:O108"/>
    <mergeCell ref="P107:P108"/>
    <mergeCell ref="T124:T125"/>
    <mergeCell ref="B127:B128"/>
    <mergeCell ref="C127:C128"/>
    <mergeCell ref="D127:D128"/>
    <mergeCell ref="E127:E128"/>
    <mergeCell ref="F127:F128"/>
    <mergeCell ref="G127:G128"/>
    <mergeCell ref="H127:H128"/>
    <mergeCell ref="I127:I128"/>
    <mergeCell ref="J127:J128"/>
    <mergeCell ref="N124:N125"/>
    <mergeCell ref="O124:O125"/>
    <mergeCell ref="P124:P125"/>
    <mergeCell ref="Q124:Q125"/>
    <mergeCell ref="R124:R125"/>
    <mergeCell ref="S124:S125"/>
    <mergeCell ref="H124:H125"/>
    <mergeCell ref="I124:I125"/>
    <mergeCell ref="J124:J125"/>
    <mergeCell ref="K124:K125"/>
    <mergeCell ref="L124:L125"/>
    <mergeCell ref="M124:M125"/>
    <mergeCell ref="Q127:Q128"/>
    <mergeCell ref="R127:R128"/>
    <mergeCell ref="S127:S128"/>
    <mergeCell ref="T127:T128"/>
    <mergeCell ref="B132:B133"/>
    <mergeCell ref="C132:C133"/>
    <mergeCell ref="D132:D133"/>
    <mergeCell ref="E132:E133"/>
    <mergeCell ref="F132:F133"/>
    <mergeCell ref="G132:G133"/>
    <mergeCell ref="K127:K128"/>
    <mergeCell ref="L127:L128"/>
    <mergeCell ref="M127:M128"/>
    <mergeCell ref="N127:N128"/>
    <mergeCell ref="O127:O128"/>
    <mergeCell ref="P127:P128"/>
    <mergeCell ref="T132:T133"/>
    <mergeCell ref="B134:B135"/>
    <mergeCell ref="C134:C135"/>
    <mergeCell ref="D134:D135"/>
    <mergeCell ref="E134:E135"/>
    <mergeCell ref="F134:F135"/>
    <mergeCell ref="G134:G135"/>
    <mergeCell ref="H134:H135"/>
    <mergeCell ref="I134:I135"/>
    <mergeCell ref="J134:J135"/>
    <mergeCell ref="N132:N133"/>
    <mergeCell ref="O132:O133"/>
    <mergeCell ref="P132:P133"/>
    <mergeCell ref="Q132:Q133"/>
    <mergeCell ref="R132:R133"/>
    <mergeCell ref="S132:S133"/>
    <mergeCell ref="H132:H133"/>
    <mergeCell ref="I132:I133"/>
    <mergeCell ref="J132:J133"/>
    <mergeCell ref="K132:K133"/>
    <mergeCell ref="L132:L133"/>
    <mergeCell ref="M132:M133"/>
    <mergeCell ref="Q134:Q135"/>
    <mergeCell ref="R134:R135"/>
    <mergeCell ref="S134:S135"/>
    <mergeCell ref="T134:T135"/>
    <mergeCell ref="B144:B145"/>
    <mergeCell ref="C144:C145"/>
    <mergeCell ref="D144:D145"/>
    <mergeCell ref="E144:E145"/>
    <mergeCell ref="F144:F145"/>
    <mergeCell ref="G144:G145"/>
    <mergeCell ref="K134:K135"/>
    <mergeCell ref="L134:L135"/>
    <mergeCell ref="M134:M135"/>
    <mergeCell ref="N134:N135"/>
    <mergeCell ref="O134:O135"/>
    <mergeCell ref="P134:P135"/>
    <mergeCell ref="T144:T145"/>
    <mergeCell ref="B148:B149"/>
    <mergeCell ref="C148:C149"/>
    <mergeCell ref="D148:D149"/>
    <mergeCell ref="E148:E149"/>
    <mergeCell ref="F148:F149"/>
    <mergeCell ref="G148:G149"/>
    <mergeCell ref="H148:H149"/>
    <mergeCell ref="I148:I149"/>
    <mergeCell ref="J148:J149"/>
    <mergeCell ref="N144:N145"/>
    <mergeCell ref="O144:O145"/>
    <mergeCell ref="P144:P145"/>
    <mergeCell ref="Q144:Q145"/>
    <mergeCell ref="R144:R145"/>
    <mergeCell ref="S144:S145"/>
    <mergeCell ref="H144:H145"/>
    <mergeCell ref="I144:I145"/>
    <mergeCell ref="J144:J145"/>
    <mergeCell ref="K144:K145"/>
    <mergeCell ref="L144:L145"/>
    <mergeCell ref="M144:M145"/>
    <mergeCell ref="Q148:Q149"/>
    <mergeCell ref="R148:R149"/>
    <mergeCell ref="S148:S149"/>
    <mergeCell ref="T148:T149"/>
    <mergeCell ref="B151:B152"/>
    <mergeCell ref="C151:C152"/>
    <mergeCell ref="D151:D152"/>
    <mergeCell ref="E151:E152"/>
    <mergeCell ref="F151:F152"/>
    <mergeCell ref="G151:G152"/>
    <mergeCell ref="K148:K149"/>
    <mergeCell ref="L148:L149"/>
    <mergeCell ref="M148:M149"/>
    <mergeCell ref="N148:N149"/>
    <mergeCell ref="O148:O149"/>
    <mergeCell ref="P148:P149"/>
    <mergeCell ref="T151:T152"/>
    <mergeCell ref="B156:B157"/>
    <mergeCell ref="C156:C157"/>
    <mergeCell ref="D156:D157"/>
    <mergeCell ref="E156:E157"/>
    <mergeCell ref="F156:F157"/>
    <mergeCell ref="G156:G157"/>
    <mergeCell ref="H156:H157"/>
    <mergeCell ref="I156:I157"/>
    <mergeCell ref="J156:J157"/>
    <mergeCell ref="N151:N152"/>
    <mergeCell ref="O151:O152"/>
    <mergeCell ref="P151:P152"/>
    <mergeCell ref="Q151:Q152"/>
    <mergeCell ref="R151:R152"/>
    <mergeCell ref="S151:S152"/>
    <mergeCell ref="H151:H152"/>
    <mergeCell ref="I151:I152"/>
    <mergeCell ref="J151:J152"/>
    <mergeCell ref="K151:K152"/>
    <mergeCell ref="L151:L152"/>
    <mergeCell ref="M151:M152"/>
    <mergeCell ref="Q156:Q157"/>
    <mergeCell ref="R156:R157"/>
    <mergeCell ref="S156:S157"/>
    <mergeCell ref="T156:T157"/>
    <mergeCell ref="B159:B160"/>
    <mergeCell ref="C159:C160"/>
    <mergeCell ref="D159:D160"/>
    <mergeCell ref="E159:E160"/>
    <mergeCell ref="F159:F160"/>
    <mergeCell ref="G159:G160"/>
    <mergeCell ref="K156:K157"/>
    <mergeCell ref="L156:L157"/>
    <mergeCell ref="M156:M157"/>
    <mergeCell ref="N156:N157"/>
    <mergeCell ref="O156:O157"/>
    <mergeCell ref="P156:P157"/>
    <mergeCell ref="T159:T160"/>
    <mergeCell ref="N159:N160"/>
    <mergeCell ref="O159:O160"/>
    <mergeCell ref="P159:P160"/>
    <mergeCell ref="Q159:Q160"/>
    <mergeCell ref="R159:R160"/>
    <mergeCell ref="S159:S160"/>
    <mergeCell ref="H159:H160"/>
    <mergeCell ref="I159:I160"/>
    <mergeCell ref="J159:J160"/>
    <mergeCell ref="K159:K160"/>
    <mergeCell ref="L159:L160"/>
    <mergeCell ref="M159:M160"/>
  </mergeCells>
  <printOptions horizontalCentered="1"/>
  <pageMargins left="0" right="0" top="0.75" bottom="0.37" header="0.3" footer="0.22"/>
  <pageSetup paperSize="14" scale="90" orientation="landscape" r:id="rId1"/>
  <headerFooter alignWithMargins="0">
    <oddFooter>&amp;C&amp;8Page &amp;P of &amp;N</oddFooter>
  </headerFooter>
  <rowBreaks count="4" manualBreakCount="4">
    <brk id="41" max="16383" man="1"/>
    <brk id="75" max="16383" man="1"/>
    <brk id="105" max="16383" man="1"/>
    <brk id="139" max="16383" man="1"/>
  </rowBreaks>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0DE0F-B527-436F-BD8F-E8480D9EB646}">
  <dimension ref="A1:B35"/>
  <sheetViews>
    <sheetView showGridLines="0" workbookViewId="0">
      <selection activeCell="B13" sqref="B13"/>
    </sheetView>
  </sheetViews>
  <sheetFormatPr defaultRowHeight="30" customHeight="1" x14ac:dyDescent="0.3"/>
  <cols>
    <col min="1" max="1" width="3.625" style="25" customWidth="1"/>
    <col min="2" max="2" width="150.625" style="23" customWidth="1"/>
    <col min="3" max="16384" width="9" style="23"/>
  </cols>
  <sheetData>
    <row r="1" spans="1:2" ht="15" customHeight="1" x14ac:dyDescent="0.3">
      <c r="A1" s="22" t="s">
        <v>169</v>
      </c>
    </row>
    <row r="2" spans="1:2" ht="15" customHeight="1" x14ac:dyDescent="0.3">
      <c r="A2" s="29" t="s">
        <v>170</v>
      </c>
      <c r="B2" s="27" t="s">
        <v>171</v>
      </c>
    </row>
    <row r="3" spans="1:2" ht="15" customHeight="1" x14ac:dyDescent="0.3">
      <c r="A3" s="29" t="s">
        <v>172</v>
      </c>
      <c r="B3" s="28" t="s">
        <v>173</v>
      </c>
    </row>
    <row r="4" spans="1:2" ht="30" customHeight="1" x14ac:dyDescent="0.3">
      <c r="A4" s="29" t="s">
        <v>174</v>
      </c>
      <c r="B4" s="28" t="s">
        <v>175</v>
      </c>
    </row>
    <row r="5" spans="1:2" ht="15" customHeight="1" x14ac:dyDescent="0.3">
      <c r="A5" s="29" t="s">
        <v>176</v>
      </c>
      <c r="B5" s="28" t="s">
        <v>177</v>
      </c>
    </row>
    <row r="6" spans="1:2" ht="15" customHeight="1" x14ac:dyDescent="0.3">
      <c r="A6" s="29" t="s">
        <v>178</v>
      </c>
      <c r="B6" s="28" t="s">
        <v>179</v>
      </c>
    </row>
    <row r="7" spans="1:2" ht="15" customHeight="1" x14ac:dyDescent="0.3">
      <c r="A7" s="29" t="s">
        <v>180</v>
      </c>
      <c r="B7" s="28" t="s">
        <v>181</v>
      </c>
    </row>
    <row r="8" spans="1:2" ht="30" customHeight="1" x14ac:dyDescent="0.3">
      <c r="A8" s="29" t="s">
        <v>182</v>
      </c>
      <c r="B8" s="28" t="s">
        <v>183</v>
      </c>
    </row>
    <row r="9" spans="1:2" ht="15" customHeight="1" x14ac:dyDescent="0.3">
      <c r="A9" s="29" t="s">
        <v>184</v>
      </c>
      <c r="B9" s="28" t="s">
        <v>185</v>
      </c>
    </row>
    <row r="10" spans="1:2" ht="30" customHeight="1" x14ac:dyDescent="0.3">
      <c r="A10" s="29" t="s">
        <v>186</v>
      </c>
      <c r="B10" s="28" t="s">
        <v>187</v>
      </c>
    </row>
    <row r="11" spans="1:2" ht="30" customHeight="1" x14ac:dyDescent="0.3">
      <c r="A11" s="29" t="s">
        <v>188</v>
      </c>
      <c r="B11" s="28" t="s">
        <v>189</v>
      </c>
    </row>
    <row r="12" spans="1:2" ht="30" customHeight="1" x14ac:dyDescent="0.3">
      <c r="A12" s="29" t="s">
        <v>190</v>
      </c>
      <c r="B12" s="28" t="s">
        <v>191</v>
      </c>
    </row>
    <row r="13" spans="1:2" ht="15" customHeight="1" x14ac:dyDescent="0.3">
      <c r="A13" s="29" t="s">
        <v>192</v>
      </c>
      <c r="B13" s="28" t="s">
        <v>193</v>
      </c>
    </row>
    <row r="14" spans="1:2" ht="30" customHeight="1" x14ac:dyDescent="0.3">
      <c r="A14" s="29" t="s">
        <v>194</v>
      </c>
      <c r="B14" s="28" t="s">
        <v>195</v>
      </c>
    </row>
    <row r="15" spans="1:2" ht="30" customHeight="1" x14ac:dyDescent="0.3">
      <c r="A15" s="29" t="s">
        <v>196</v>
      </c>
      <c r="B15" s="28" t="s">
        <v>197</v>
      </c>
    </row>
    <row r="16" spans="1:2" ht="30" customHeight="1" x14ac:dyDescent="0.3">
      <c r="A16" s="29" t="s">
        <v>198</v>
      </c>
      <c r="B16" s="28" t="s">
        <v>199</v>
      </c>
    </row>
    <row r="17" spans="1:2" ht="30" customHeight="1" x14ac:dyDescent="0.3">
      <c r="A17" s="29" t="s">
        <v>200</v>
      </c>
      <c r="B17" s="28" t="s">
        <v>201</v>
      </c>
    </row>
    <row r="18" spans="1:2" ht="15" customHeight="1" x14ac:dyDescent="0.3">
      <c r="A18" s="29" t="s">
        <v>202</v>
      </c>
      <c r="B18" s="28" t="s">
        <v>203</v>
      </c>
    </row>
    <row r="19" spans="1:2" ht="15" customHeight="1" x14ac:dyDescent="0.3">
      <c r="A19" s="29" t="s">
        <v>204</v>
      </c>
      <c r="B19" s="28" t="s">
        <v>205</v>
      </c>
    </row>
    <row r="20" spans="1:2" ht="15" customHeight="1" x14ac:dyDescent="0.3">
      <c r="A20" s="29" t="s">
        <v>204</v>
      </c>
      <c r="B20" s="28" t="s">
        <v>206</v>
      </c>
    </row>
    <row r="21" spans="1:2" ht="30" customHeight="1" x14ac:dyDescent="0.3">
      <c r="A21" s="29"/>
    </row>
    <row r="22" spans="1:2" ht="30" customHeight="1" x14ac:dyDescent="0.3">
      <c r="A22" s="30"/>
    </row>
    <row r="23" spans="1:2" ht="30" customHeight="1" x14ac:dyDescent="0.3">
      <c r="A23" s="30"/>
    </row>
    <row r="24" spans="1:2" ht="30" customHeight="1" x14ac:dyDescent="0.3">
      <c r="A24" s="30"/>
    </row>
    <row r="25" spans="1:2" ht="30" customHeight="1" x14ac:dyDescent="0.3">
      <c r="A25" s="30"/>
    </row>
    <row r="26" spans="1:2" ht="30" customHeight="1" x14ac:dyDescent="0.3">
      <c r="A26" s="30"/>
    </row>
    <row r="27" spans="1:2" ht="30" customHeight="1" x14ac:dyDescent="0.3">
      <c r="A27" s="30"/>
    </row>
    <row r="28" spans="1:2" ht="30" customHeight="1" x14ac:dyDescent="0.3">
      <c r="A28" s="30"/>
    </row>
    <row r="29" spans="1:2" ht="30" customHeight="1" x14ac:dyDescent="0.3">
      <c r="A29" s="30"/>
    </row>
    <row r="30" spans="1:2" ht="30" customHeight="1" x14ac:dyDescent="0.3">
      <c r="A30" s="30"/>
    </row>
    <row r="31" spans="1:2" ht="30" customHeight="1" x14ac:dyDescent="0.3">
      <c r="A31" s="30"/>
    </row>
    <row r="32" spans="1:2" ht="30" customHeight="1" x14ac:dyDescent="0.3">
      <c r="A32" s="30"/>
    </row>
    <row r="33" spans="1:1" ht="30" customHeight="1" x14ac:dyDescent="0.3">
      <c r="A33" s="30"/>
    </row>
    <row r="34" spans="1:1" ht="30" customHeight="1" x14ac:dyDescent="0.3">
      <c r="A34" s="30"/>
    </row>
    <row r="35" spans="1:1" ht="30" customHeight="1" x14ac:dyDescent="0.3">
      <c r="A35" s="30"/>
    </row>
  </sheetData>
  <printOptions horizontalCentered="1"/>
  <pageMargins left="0.5" right="0.5" top="0.75" bottom="0.75" header="0.3" footer="0.3"/>
  <pageSetup paperSize="14"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PSA-PSGC</vt:lpstr>
      <vt:lpstr>Notes</vt:lpstr>
      <vt:lpstr>Notes!Print_Area</vt:lpstr>
      <vt:lpstr>'PSA-PSGC'!Print_Area</vt:lpstr>
      <vt:lpstr>'PSA-PSGC'!Print_Titles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E. Vargas</dc:creator>
  <cp:lastModifiedBy>Josephine E. Vargas</cp:lastModifiedBy>
  <cp:lastPrinted>2026-07-16T06:20:30Z</cp:lastPrinted>
  <dcterms:created xsi:type="dcterms:W3CDTF">2026-07-16T06:17:13Z</dcterms:created>
  <dcterms:modified xsi:type="dcterms:W3CDTF">2026-07-30T00:55:40Z</dcterms:modified>
</cp:coreProperties>
</file>