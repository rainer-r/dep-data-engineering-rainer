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SEVEN_1st\PSA_PSGC\"/>
    </mc:Choice>
  </mc:AlternateContent>
  <xr:revisionPtr revIDLastSave="0" documentId="13_ncr:1_{7251603A-162E-47C2-89DB-4A96F388F99A}" xr6:coauthVersionLast="47" xr6:coauthVersionMax="47" xr10:uidLastSave="{00000000-0000-0000-0000-000000000000}"/>
  <bookViews>
    <workbookView xWindow="-120" yWindow="-120" windowWidth="29040" windowHeight="15720" activeTab="1" xr2:uid="{1CC49413-A60C-4F79-B216-461781BD9E0C}"/>
  </bookViews>
  <sheets>
    <sheet name="2005_2024" sheetId="1" r:id="rId1"/>
    <sheet name="2025" sheetId="2" r:id="rId2"/>
  </sheets>
  <definedNames>
    <definedName name="_xlnm.Print_Area" localSheetId="1">'2025'!$A$1:$T$178</definedName>
    <definedName name="_xlnm.Print_Titles" localSheetId="0">'2005_2024'!$A:$A,'2005_2024'!$1:$6</definedName>
    <definedName name="_xlnm.Print_Titles" localSheetId="1">'2025'!$A:$A,'2025'!$1:$6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73" i="2" l="1"/>
  <c r="V173" i="2" s="1"/>
  <c r="U172" i="2"/>
  <c r="R172" i="2"/>
  <c r="N172" i="2"/>
  <c r="S172" i="2" s="1"/>
  <c r="J172" i="2"/>
  <c r="T172" i="2" s="1"/>
  <c r="I172" i="2"/>
  <c r="E172" i="2"/>
  <c r="U171" i="2"/>
  <c r="V171" i="2" s="1"/>
  <c r="V169" i="2"/>
  <c r="U169" i="2"/>
  <c r="U168" i="2"/>
  <c r="R168" i="2"/>
  <c r="N168" i="2"/>
  <c r="S168" i="2" s="1"/>
  <c r="I168" i="2"/>
  <c r="E168" i="2"/>
  <c r="J168" i="2" s="1"/>
  <c r="T168" i="2" s="1"/>
  <c r="V168" i="2" s="1"/>
  <c r="U167" i="2"/>
  <c r="V167" i="2" s="1"/>
  <c r="U166" i="2"/>
  <c r="R166" i="2"/>
  <c r="N166" i="2"/>
  <c r="S166" i="2" s="1"/>
  <c r="I166" i="2"/>
  <c r="E166" i="2"/>
  <c r="J166" i="2" s="1"/>
  <c r="T166" i="2" s="1"/>
  <c r="U165" i="2"/>
  <c r="V165" i="2" s="1"/>
  <c r="M164" i="2"/>
  <c r="M170" i="2" s="1"/>
  <c r="M174" i="2" s="1"/>
  <c r="U163" i="2"/>
  <c r="V163" i="2" s="1"/>
  <c r="U162" i="2"/>
  <c r="V162" i="2" s="1"/>
  <c r="U161" i="2"/>
  <c r="R161" i="2"/>
  <c r="N161" i="2"/>
  <c r="S161" i="2" s="1"/>
  <c r="T161" i="2" s="1"/>
  <c r="I161" i="2"/>
  <c r="E161" i="2"/>
  <c r="J161" i="2" s="1"/>
  <c r="U160" i="2"/>
  <c r="V160" i="2" s="1"/>
  <c r="U159" i="2"/>
  <c r="S159" i="2"/>
  <c r="R159" i="2"/>
  <c r="N159" i="2"/>
  <c r="I159" i="2"/>
  <c r="E159" i="2"/>
  <c r="J159" i="2" s="1"/>
  <c r="U158" i="2"/>
  <c r="S158" i="2"/>
  <c r="R158" i="2"/>
  <c r="N158" i="2"/>
  <c r="N155" i="2" s="1"/>
  <c r="J158" i="2"/>
  <c r="T158" i="2" s="1"/>
  <c r="V158" i="2" s="1"/>
  <c r="I158" i="2"/>
  <c r="E158" i="2"/>
  <c r="U157" i="2"/>
  <c r="V157" i="2" s="1"/>
  <c r="U156" i="2"/>
  <c r="T156" i="2"/>
  <c r="S156" i="2"/>
  <c r="R156" i="2"/>
  <c r="N156" i="2"/>
  <c r="J156" i="2"/>
  <c r="I156" i="2"/>
  <c r="I155" i="2" s="1"/>
  <c r="E156" i="2"/>
  <c r="R155" i="2"/>
  <c r="Q155" i="2"/>
  <c r="P155" i="2"/>
  <c r="O155" i="2"/>
  <c r="M155" i="2"/>
  <c r="L155" i="2"/>
  <c r="K155" i="2"/>
  <c r="H155" i="2"/>
  <c r="G155" i="2"/>
  <c r="F155" i="2"/>
  <c r="E155" i="2"/>
  <c r="D155" i="2"/>
  <c r="C155" i="2"/>
  <c r="B155" i="2"/>
  <c r="U154" i="2"/>
  <c r="V154" i="2" s="1"/>
  <c r="U153" i="2"/>
  <c r="R153" i="2"/>
  <c r="N153" i="2"/>
  <c r="S153" i="2" s="1"/>
  <c r="I153" i="2"/>
  <c r="E153" i="2"/>
  <c r="J153" i="2" s="1"/>
  <c r="T153" i="2" s="1"/>
  <c r="U152" i="2"/>
  <c r="V152" i="2" s="1"/>
  <c r="U151" i="2"/>
  <c r="R151" i="2"/>
  <c r="N151" i="2"/>
  <c r="S151" i="2" s="1"/>
  <c r="S147" i="2" s="1"/>
  <c r="I151" i="2"/>
  <c r="I147" i="2" s="1"/>
  <c r="E151" i="2"/>
  <c r="J151" i="2" s="1"/>
  <c r="T151" i="2" s="1"/>
  <c r="V151" i="2" s="1"/>
  <c r="U150" i="2"/>
  <c r="S150" i="2"/>
  <c r="R150" i="2"/>
  <c r="N150" i="2"/>
  <c r="I150" i="2"/>
  <c r="E150" i="2"/>
  <c r="J150" i="2" s="1"/>
  <c r="T150" i="2" s="1"/>
  <c r="V150" i="2" s="1"/>
  <c r="U149" i="2"/>
  <c r="V149" i="2" s="1"/>
  <c r="U148" i="2"/>
  <c r="S148" i="2"/>
  <c r="R148" i="2"/>
  <c r="N148" i="2"/>
  <c r="I148" i="2"/>
  <c r="E148" i="2"/>
  <c r="J148" i="2" s="1"/>
  <c r="R147" i="2"/>
  <c r="Q147" i="2"/>
  <c r="P147" i="2"/>
  <c r="O147" i="2"/>
  <c r="M147" i="2"/>
  <c r="L147" i="2"/>
  <c r="K147" i="2"/>
  <c r="H147" i="2"/>
  <c r="G147" i="2"/>
  <c r="F147" i="2"/>
  <c r="D147" i="2"/>
  <c r="C147" i="2"/>
  <c r="B147" i="2"/>
  <c r="U146" i="2"/>
  <c r="V146" i="2" s="1"/>
  <c r="U145" i="2"/>
  <c r="V145" i="2" s="1"/>
  <c r="U144" i="2"/>
  <c r="S144" i="2"/>
  <c r="R144" i="2"/>
  <c r="N144" i="2"/>
  <c r="J144" i="2"/>
  <c r="T144" i="2" s="1"/>
  <c r="V144" i="2" s="1"/>
  <c r="I144" i="2"/>
  <c r="E144" i="2"/>
  <c r="U143" i="2"/>
  <c r="R143" i="2"/>
  <c r="R140" i="2" s="1"/>
  <c r="N143" i="2"/>
  <c r="I143" i="2"/>
  <c r="E143" i="2"/>
  <c r="J143" i="2" s="1"/>
  <c r="U142" i="2"/>
  <c r="R142" i="2"/>
  <c r="N142" i="2"/>
  <c r="N140" i="2" s="1"/>
  <c r="J142" i="2"/>
  <c r="I142" i="2"/>
  <c r="I140" i="2" s="1"/>
  <c r="E142" i="2"/>
  <c r="U141" i="2"/>
  <c r="S141" i="2"/>
  <c r="R141" i="2"/>
  <c r="N141" i="2"/>
  <c r="I141" i="2"/>
  <c r="E141" i="2"/>
  <c r="J141" i="2" s="1"/>
  <c r="T141" i="2" s="1"/>
  <c r="V141" i="2" s="1"/>
  <c r="Q140" i="2"/>
  <c r="P140" i="2"/>
  <c r="O140" i="2"/>
  <c r="M140" i="2"/>
  <c r="L140" i="2"/>
  <c r="K140" i="2"/>
  <c r="H140" i="2"/>
  <c r="G140" i="2"/>
  <c r="F140" i="2"/>
  <c r="E140" i="2"/>
  <c r="D140" i="2"/>
  <c r="U140" i="2" s="1"/>
  <c r="C140" i="2"/>
  <c r="B140" i="2"/>
  <c r="U139" i="2"/>
  <c r="V139" i="2" s="1"/>
  <c r="U138" i="2"/>
  <c r="R138" i="2"/>
  <c r="S138" i="2" s="1"/>
  <c r="N138" i="2"/>
  <c r="I138" i="2"/>
  <c r="J138" i="2" s="1"/>
  <c r="T138" i="2" s="1"/>
  <c r="V138" i="2" s="1"/>
  <c r="E138" i="2"/>
  <c r="U137" i="2"/>
  <c r="R137" i="2"/>
  <c r="N137" i="2"/>
  <c r="S137" i="2" s="1"/>
  <c r="I137" i="2"/>
  <c r="J137" i="2" s="1"/>
  <c r="T137" i="2" s="1"/>
  <c r="E137" i="2"/>
  <c r="U136" i="2"/>
  <c r="V136" i="2" s="1"/>
  <c r="R136" i="2"/>
  <c r="N136" i="2"/>
  <c r="S136" i="2" s="1"/>
  <c r="J136" i="2"/>
  <c r="T136" i="2" s="1"/>
  <c r="I136" i="2"/>
  <c r="E136" i="2"/>
  <c r="U135" i="2"/>
  <c r="V135" i="2" s="1"/>
  <c r="U134" i="2"/>
  <c r="R134" i="2"/>
  <c r="N134" i="2"/>
  <c r="S134" i="2" s="1"/>
  <c r="I134" i="2"/>
  <c r="E134" i="2"/>
  <c r="J134" i="2" s="1"/>
  <c r="T134" i="2" s="1"/>
  <c r="U133" i="2"/>
  <c r="V133" i="2" s="1"/>
  <c r="U132" i="2"/>
  <c r="S132" i="2"/>
  <c r="R132" i="2"/>
  <c r="N132" i="2"/>
  <c r="I132" i="2"/>
  <c r="E132" i="2"/>
  <c r="J132" i="2" s="1"/>
  <c r="T132" i="2" s="1"/>
  <c r="V132" i="2" s="1"/>
  <c r="Q131" i="2"/>
  <c r="P131" i="2"/>
  <c r="O131" i="2"/>
  <c r="M131" i="2"/>
  <c r="L131" i="2"/>
  <c r="K131" i="2"/>
  <c r="I131" i="2"/>
  <c r="H131" i="2"/>
  <c r="G131" i="2"/>
  <c r="U131" i="2" s="1"/>
  <c r="F131" i="2"/>
  <c r="D131" i="2"/>
  <c r="C131" i="2"/>
  <c r="B131" i="2"/>
  <c r="U130" i="2"/>
  <c r="V130" i="2" s="1"/>
  <c r="U129" i="2"/>
  <c r="R129" i="2"/>
  <c r="S129" i="2" s="1"/>
  <c r="N129" i="2"/>
  <c r="I129" i="2"/>
  <c r="J129" i="2" s="1"/>
  <c r="T129" i="2" s="1"/>
  <c r="E129" i="2"/>
  <c r="U128" i="2"/>
  <c r="V128" i="2" s="1"/>
  <c r="U127" i="2"/>
  <c r="R127" i="2"/>
  <c r="N127" i="2"/>
  <c r="S127" i="2" s="1"/>
  <c r="I127" i="2"/>
  <c r="E127" i="2"/>
  <c r="J127" i="2" s="1"/>
  <c r="T127" i="2" s="1"/>
  <c r="U126" i="2"/>
  <c r="R126" i="2"/>
  <c r="R122" i="2" s="1"/>
  <c r="N126" i="2"/>
  <c r="I126" i="2"/>
  <c r="E126" i="2"/>
  <c r="J126" i="2" s="1"/>
  <c r="U125" i="2"/>
  <c r="V125" i="2" s="1"/>
  <c r="U124" i="2"/>
  <c r="R124" i="2"/>
  <c r="N124" i="2"/>
  <c r="I124" i="2"/>
  <c r="I122" i="2" s="1"/>
  <c r="E124" i="2"/>
  <c r="J124" i="2" s="1"/>
  <c r="U123" i="2"/>
  <c r="S123" i="2"/>
  <c r="R123" i="2"/>
  <c r="N123" i="2"/>
  <c r="I123" i="2"/>
  <c r="E123" i="2"/>
  <c r="J123" i="2" s="1"/>
  <c r="Q122" i="2"/>
  <c r="P122" i="2"/>
  <c r="O122" i="2"/>
  <c r="M122" i="2"/>
  <c r="L122" i="2"/>
  <c r="K122" i="2"/>
  <c r="H122" i="2"/>
  <c r="G122" i="2"/>
  <c r="F122" i="2"/>
  <c r="D122" i="2"/>
  <c r="U122" i="2" s="1"/>
  <c r="C122" i="2"/>
  <c r="B122" i="2"/>
  <c r="U121" i="2"/>
  <c r="V121" i="2" s="1"/>
  <c r="U120" i="2"/>
  <c r="R120" i="2"/>
  <c r="S120" i="2" s="1"/>
  <c r="N120" i="2"/>
  <c r="I120" i="2"/>
  <c r="J120" i="2" s="1"/>
  <c r="T120" i="2" s="1"/>
  <c r="V120" i="2" s="1"/>
  <c r="E120" i="2"/>
  <c r="U119" i="2"/>
  <c r="R119" i="2"/>
  <c r="N119" i="2"/>
  <c r="N115" i="2" s="1"/>
  <c r="I119" i="2"/>
  <c r="J119" i="2" s="1"/>
  <c r="E119" i="2"/>
  <c r="U118" i="2"/>
  <c r="V118" i="2" s="1"/>
  <c r="R118" i="2"/>
  <c r="N118" i="2"/>
  <c r="S118" i="2" s="1"/>
  <c r="J118" i="2"/>
  <c r="T118" i="2" s="1"/>
  <c r="I118" i="2"/>
  <c r="E118" i="2"/>
  <c r="U117" i="2"/>
  <c r="R117" i="2"/>
  <c r="S117" i="2" s="1"/>
  <c r="N117" i="2"/>
  <c r="I117" i="2"/>
  <c r="E117" i="2"/>
  <c r="J117" i="2" s="1"/>
  <c r="T117" i="2" s="1"/>
  <c r="U116" i="2"/>
  <c r="V116" i="2" s="1"/>
  <c r="T116" i="2"/>
  <c r="S116" i="2"/>
  <c r="R116" i="2"/>
  <c r="N116" i="2"/>
  <c r="J116" i="2"/>
  <c r="I116" i="2"/>
  <c r="E116" i="2"/>
  <c r="R115" i="2"/>
  <c r="Q115" i="2"/>
  <c r="P115" i="2"/>
  <c r="O115" i="2"/>
  <c r="M115" i="2"/>
  <c r="L115" i="2"/>
  <c r="K115" i="2"/>
  <c r="H115" i="2"/>
  <c r="G115" i="2"/>
  <c r="F115" i="2"/>
  <c r="E115" i="2"/>
  <c r="D115" i="2"/>
  <c r="C115" i="2"/>
  <c r="B115" i="2"/>
  <c r="U115" i="2" s="1"/>
  <c r="U114" i="2"/>
  <c r="V114" i="2" s="1"/>
  <c r="U113" i="2"/>
  <c r="R113" i="2"/>
  <c r="N113" i="2"/>
  <c r="I113" i="2"/>
  <c r="J113" i="2" s="1"/>
  <c r="E113" i="2"/>
  <c r="U112" i="2"/>
  <c r="R112" i="2"/>
  <c r="N112" i="2"/>
  <c r="S112" i="2" s="1"/>
  <c r="I112" i="2"/>
  <c r="E112" i="2"/>
  <c r="U111" i="2"/>
  <c r="R111" i="2"/>
  <c r="N111" i="2"/>
  <c r="S111" i="2" s="1"/>
  <c r="I111" i="2"/>
  <c r="E111" i="2"/>
  <c r="J111" i="2" s="1"/>
  <c r="T111" i="2" s="1"/>
  <c r="V111" i="2" s="1"/>
  <c r="U110" i="2"/>
  <c r="R110" i="2"/>
  <c r="N110" i="2"/>
  <c r="S110" i="2" s="1"/>
  <c r="I110" i="2"/>
  <c r="E110" i="2"/>
  <c r="U109" i="2"/>
  <c r="R109" i="2"/>
  <c r="N109" i="2"/>
  <c r="S109" i="2" s="1"/>
  <c r="I109" i="2"/>
  <c r="E109" i="2"/>
  <c r="J109" i="2" s="1"/>
  <c r="T109" i="2" s="1"/>
  <c r="U108" i="2"/>
  <c r="V108" i="2" s="1"/>
  <c r="U107" i="2"/>
  <c r="R107" i="2"/>
  <c r="N107" i="2"/>
  <c r="S107" i="2" s="1"/>
  <c r="I107" i="2"/>
  <c r="E107" i="2"/>
  <c r="Q106" i="2"/>
  <c r="P106" i="2"/>
  <c r="O106" i="2"/>
  <c r="M106" i="2"/>
  <c r="L106" i="2"/>
  <c r="K106" i="2"/>
  <c r="H106" i="2"/>
  <c r="G106" i="2"/>
  <c r="F106" i="2"/>
  <c r="D106" i="2"/>
  <c r="C106" i="2"/>
  <c r="B106" i="2"/>
  <c r="U105" i="2"/>
  <c r="V105" i="2" s="1"/>
  <c r="U104" i="2"/>
  <c r="V104" i="2" s="1"/>
  <c r="S104" i="2"/>
  <c r="R104" i="2"/>
  <c r="N104" i="2"/>
  <c r="I104" i="2"/>
  <c r="E104" i="2"/>
  <c r="J104" i="2" s="1"/>
  <c r="T104" i="2" s="1"/>
  <c r="U103" i="2"/>
  <c r="R103" i="2"/>
  <c r="S103" i="2" s="1"/>
  <c r="N103" i="2"/>
  <c r="J103" i="2"/>
  <c r="T103" i="2" s="1"/>
  <c r="I103" i="2"/>
  <c r="E103" i="2"/>
  <c r="U102" i="2"/>
  <c r="V102" i="2" s="1"/>
  <c r="U101" i="2"/>
  <c r="V101" i="2" s="1"/>
  <c r="U100" i="2"/>
  <c r="R100" i="2"/>
  <c r="N100" i="2"/>
  <c r="S100" i="2" s="1"/>
  <c r="T100" i="2" s="1"/>
  <c r="J100" i="2"/>
  <c r="I100" i="2"/>
  <c r="E100" i="2"/>
  <c r="U99" i="2"/>
  <c r="S99" i="2"/>
  <c r="R99" i="2"/>
  <c r="N99" i="2"/>
  <c r="N98" i="2" s="1"/>
  <c r="J99" i="2"/>
  <c r="I99" i="2"/>
  <c r="I98" i="2" s="1"/>
  <c r="E99" i="2"/>
  <c r="Q98" i="2"/>
  <c r="P98" i="2"/>
  <c r="O98" i="2"/>
  <c r="M98" i="2"/>
  <c r="L98" i="2"/>
  <c r="K98" i="2"/>
  <c r="H98" i="2"/>
  <c r="G98" i="2"/>
  <c r="F98" i="2"/>
  <c r="E98" i="2"/>
  <c r="D98" i="2"/>
  <c r="C98" i="2"/>
  <c r="B98" i="2"/>
  <c r="V97" i="2"/>
  <c r="U97" i="2"/>
  <c r="V96" i="2"/>
  <c r="U96" i="2"/>
  <c r="U95" i="2"/>
  <c r="R95" i="2"/>
  <c r="N95" i="2"/>
  <c r="S95" i="2" s="1"/>
  <c r="S92" i="2" s="1"/>
  <c r="I95" i="2"/>
  <c r="J95" i="2" s="1"/>
  <c r="T95" i="2" s="1"/>
  <c r="E95" i="2"/>
  <c r="U94" i="2"/>
  <c r="V94" i="2" s="1"/>
  <c r="U93" i="2"/>
  <c r="R93" i="2"/>
  <c r="N93" i="2"/>
  <c r="S93" i="2" s="1"/>
  <c r="I93" i="2"/>
  <c r="E93" i="2"/>
  <c r="Q92" i="2"/>
  <c r="P92" i="2"/>
  <c r="O92" i="2"/>
  <c r="M92" i="2"/>
  <c r="L92" i="2"/>
  <c r="K92" i="2"/>
  <c r="H92" i="2"/>
  <c r="G92" i="2"/>
  <c r="F92" i="2"/>
  <c r="D92" i="2"/>
  <c r="C92" i="2"/>
  <c r="B92" i="2"/>
  <c r="U92" i="2" s="1"/>
  <c r="V91" i="2"/>
  <c r="U91" i="2"/>
  <c r="U90" i="2"/>
  <c r="V90" i="2" s="1"/>
  <c r="U89" i="2"/>
  <c r="R89" i="2"/>
  <c r="N89" i="2"/>
  <c r="S89" i="2" s="1"/>
  <c r="I89" i="2"/>
  <c r="E89" i="2"/>
  <c r="J89" i="2" s="1"/>
  <c r="T89" i="2" s="1"/>
  <c r="U88" i="2"/>
  <c r="V88" i="2" s="1"/>
  <c r="R88" i="2"/>
  <c r="N88" i="2"/>
  <c r="S88" i="2" s="1"/>
  <c r="I88" i="2"/>
  <c r="E88" i="2"/>
  <c r="J88" i="2" s="1"/>
  <c r="T88" i="2" s="1"/>
  <c r="U87" i="2"/>
  <c r="R87" i="2"/>
  <c r="R84" i="2" s="1"/>
  <c r="N87" i="2"/>
  <c r="S87" i="2" s="1"/>
  <c r="I87" i="2"/>
  <c r="E87" i="2"/>
  <c r="J87" i="2" s="1"/>
  <c r="T87" i="2" s="1"/>
  <c r="U86" i="2"/>
  <c r="R86" i="2"/>
  <c r="N86" i="2"/>
  <c r="J86" i="2"/>
  <c r="I86" i="2"/>
  <c r="E86" i="2"/>
  <c r="U85" i="2"/>
  <c r="R85" i="2"/>
  <c r="N85" i="2"/>
  <c r="S85" i="2" s="1"/>
  <c r="I85" i="2"/>
  <c r="I84" i="2" s="1"/>
  <c r="E85" i="2"/>
  <c r="Q84" i="2"/>
  <c r="P84" i="2"/>
  <c r="O84" i="2"/>
  <c r="M84" i="2"/>
  <c r="L84" i="2"/>
  <c r="K84" i="2"/>
  <c r="H84" i="2"/>
  <c r="G84" i="2"/>
  <c r="F84" i="2"/>
  <c r="D84" i="2"/>
  <c r="C84" i="2"/>
  <c r="B84" i="2"/>
  <c r="U83" i="2"/>
  <c r="V83" i="2" s="1"/>
  <c r="U82" i="2"/>
  <c r="S82" i="2"/>
  <c r="T82" i="2" s="1"/>
  <c r="R82" i="2"/>
  <c r="N82" i="2"/>
  <c r="J82" i="2"/>
  <c r="I82" i="2"/>
  <c r="E82" i="2"/>
  <c r="U81" i="2"/>
  <c r="R81" i="2"/>
  <c r="N81" i="2"/>
  <c r="S81" i="2" s="1"/>
  <c r="T81" i="2" s="1"/>
  <c r="J81" i="2"/>
  <c r="I81" i="2"/>
  <c r="E81" i="2"/>
  <c r="U80" i="2"/>
  <c r="R80" i="2"/>
  <c r="N80" i="2"/>
  <c r="S80" i="2" s="1"/>
  <c r="I80" i="2"/>
  <c r="E80" i="2"/>
  <c r="J80" i="2" s="1"/>
  <c r="T80" i="2" s="1"/>
  <c r="V80" i="2" s="1"/>
  <c r="U79" i="2"/>
  <c r="S79" i="2"/>
  <c r="T79" i="2" s="1"/>
  <c r="V79" i="2" s="1"/>
  <c r="R79" i="2"/>
  <c r="N79" i="2"/>
  <c r="I79" i="2"/>
  <c r="E79" i="2"/>
  <c r="J79" i="2" s="1"/>
  <c r="U78" i="2"/>
  <c r="R78" i="2"/>
  <c r="N78" i="2"/>
  <c r="S78" i="2" s="1"/>
  <c r="J78" i="2"/>
  <c r="T78" i="2" s="1"/>
  <c r="I78" i="2"/>
  <c r="E78" i="2"/>
  <c r="U77" i="2"/>
  <c r="S77" i="2"/>
  <c r="R77" i="2"/>
  <c r="N77" i="2"/>
  <c r="I77" i="2"/>
  <c r="E77" i="2"/>
  <c r="J77" i="2" s="1"/>
  <c r="Q76" i="2"/>
  <c r="P76" i="2"/>
  <c r="O76" i="2"/>
  <c r="M76" i="2"/>
  <c r="L76" i="2"/>
  <c r="K76" i="2"/>
  <c r="H76" i="2"/>
  <c r="G76" i="2"/>
  <c r="F76" i="2"/>
  <c r="D76" i="2"/>
  <c r="C76" i="2"/>
  <c r="B76" i="2"/>
  <c r="V75" i="2"/>
  <c r="U75" i="2"/>
  <c r="U74" i="2"/>
  <c r="R74" i="2"/>
  <c r="N74" i="2"/>
  <c r="S74" i="2" s="1"/>
  <c r="I74" i="2"/>
  <c r="E74" i="2"/>
  <c r="J74" i="2" s="1"/>
  <c r="T74" i="2" s="1"/>
  <c r="V74" i="2" s="1"/>
  <c r="U73" i="2"/>
  <c r="V73" i="2" s="1"/>
  <c r="J73" i="2"/>
  <c r="U72" i="2"/>
  <c r="R72" i="2"/>
  <c r="N72" i="2"/>
  <c r="S72" i="2" s="1"/>
  <c r="I72" i="2"/>
  <c r="E72" i="2"/>
  <c r="U71" i="2"/>
  <c r="R71" i="2"/>
  <c r="S71" i="2" s="1"/>
  <c r="N71" i="2"/>
  <c r="I71" i="2"/>
  <c r="E71" i="2"/>
  <c r="J71" i="2" s="1"/>
  <c r="U70" i="2"/>
  <c r="R70" i="2"/>
  <c r="S70" i="2" s="1"/>
  <c r="N70" i="2"/>
  <c r="I70" i="2"/>
  <c r="E70" i="2"/>
  <c r="U69" i="2"/>
  <c r="R69" i="2"/>
  <c r="N69" i="2"/>
  <c r="N68" i="2" s="1"/>
  <c r="I69" i="2"/>
  <c r="J69" i="2" s="1"/>
  <c r="E69" i="2"/>
  <c r="E68" i="2" s="1"/>
  <c r="Q68" i="2"/>
  <c r="P68" i="2"/>
  <c r="U68" i="2" s="1"/>
  <c r="O68" i="2"/>
  <c r="M68" i="2"/>
  <c r="L68" i="2"/>
  <c r="K68" i="2"/>
  <c r="H68" i="2"/>
  <c r="G68" i="2"/>
  <c r="F68" i="2"/>
  <c r="D68" i="2"/>
  <c r="C68" i="2"/>
  <c r="B68" i="2"/>
  <c r="V67" i="2"/>
  <c r="U67" i="2"/>
  <c r="U66" i="2"/>
  <c r="R66" i="2"/>
  <c r="N66" i="2"/>
  <c r="S66" i="2" s="1"/>
  <c r="I66" i="2"/>
  <c r="E66" i="2"/>
  <c r="J66" i="2" s="1"/>
  <c r="T66" i="2" s="1"/>
  <c r="U65" i="2"/>
  <c r="R65" i="2"/>
  <c r="N65" i="2"/>
  <c r="I65" i="2"/>
  <c r="E65" i="2"/>
  <c r="J65" i="2" s="1"/>
  <c r="U64" i="2"/>
  <c r="R64" i="2"/>
  <c r="N64" i="2"/>
  <c r="S64" i="2" s="1"/>
  <c r="I64" i="2"/>
  <c r="E64" i="2"/>
  <c r="J64" i="2" s="1"/>
  <c r="T64" i="2" s="1"/>
  <c r="U63" i="2"/>
  <c r="R63" i="2"/>
  <c r="N63" i="2"/>
  <c r="I63" i="2"/>
  <c r="E63" i="2"/>
  <c r="J63" i="2" s="1"/>
  <c r="U62" i="2"/>
  <c r="R62" i="2"/>
  <c r="N62" i="2"/>
  <c r="S62" i="2" s="1"/>
  <c r="I62" i="2"/>
  <c r="E62" i="2"/>
  <c r="J62" i="2" s="1"/>
  <c r="T62" i="2" s="1"/>
  <c r="U61" i="2"/>
  <c r="R61" i="2"/>
  <c r="N61" i="2"/>
  <c r="S61" i="2" s="1"/>
  <c r="I61" i="2"/>
  <c r="E61" i="2"/>
  <c r="J61" i="2" s="1"/>
  <c r="R60" i="2"/>
  <c r="Q60" i="2"/>
  <c r="P60" i="2"/>
  <c r="O60" i="2"/>
  <c r="M60" i="2"/>
  <c r="L60" i="2"/>
  <c r="K60" i="2"/>
  <c r="H60" i="2"/>
  <c r="G60" i="2"/>
  <c r="F60" i="2"/>
  <c r="E60" i="2"/>
  <c r="D60" i="2"/>
  <c r="C60" i="2"/>
  <c r="B60" i="2"/>
  <c r="U59" i="2"/>
  <c r="V59" i="2" s="1"/>
  <c r="U58" i="2"/>
  <c r="S58" i="2"/>
  <c r="R58" i="2"/>
  <c r="N58" i="2"/>
  <c r="I58" i="2"/>
  <c r="E58" i="2"/>
  <c r="J58" i="2" s="1"/>
  <c r="T58" i="2" s="1"/>
  <c r="V57" i="2"/>
  <c r="U57" i="2"/>
  <c r="R57" i="2"/>
  <c r="N57" i="2"/>
  <c r="S57" i="2" s="1"/>
  <c r="I57" i="2"/>
  <c r="E57" i="2"/>
  <c r="J57" i="2" s="1"/>
  <c r="T57" i="2" s="1"/>
  <c r="U56" i="2"/>
  <c r="S56" i="2"/>
  <c r="R56" i="2"/>
  <c r="N56" i="2"/>
  <c r="I56" i="2"/>
  <c r="E56" i="2"/>
  <c r="J56" i="2" s="1"/>
  <c r="T56" i="2" s="1"/>
  <c r="V56" i="2" s="1"/>
  <c r="U55" i="2"/>
  <c r="S55" i="2"/>
  <c r="R55" i="2"/>
  <c r="N55" i="2"/>
  <c r="J55" i="2"/>
  <c r="T55" i="2" s="1"/>
  <c r="V55" i="2" s="1"/>
  <c r="I55" i="2"/>
  <c r="E55" i="2"/>
  <c r="U54" i="2"/>
  <c r="S54" i="2"/>
  <c r="T54" i="2" s="1"/>
  <c r="R54" i="2"/>
  <c r="N54" i="2"/>
  <c r="J54" i="2"/>
  <c r="I54" i="2"/>
  <c r="E54" i="2"/>
  <c r="U53" i="2"/>
  <c r="R53" i="2"/>
  <c r="N53" i="2"/>
  <c r="S53" i="2" s="1"/>
  <c r="I53" i="2"/>
  <c r="E53" i="2"/>
  <c r="J53" i="2" s="1"/>
  <c r="T53" i="2" s="1"/>
  <c r="V53" i="2" s="1"/>
  <c r="U52" i="2"/>
  <c r="S52" i="2"/>
  <c r="R52" i="2"/>
  <c r="N52" i="2"/>
  <c r="I52" i="2"/>
  <c r="E52" i="2"/>
  <c r="J52" i="2" s="1"/>
  <c r="U51" i="2"/>
  <c r="S51" i="2"/>
  <c r="T51" i="2" s="1"/>
  <c r="R51" i="2"/>
  <c r="N51" i="2"/>
  <c r="J51" i="2"/>
  <c r="I51" i="2"/>
  <c r="E51" i="2"/>
  <c r="U50" i="2"/>
  <c r="R50" i="2"/>
  <c r="R49" i="2" s="1"/>
  <c r="N50" i="2"/>
  <c r="J50" i="2"/>
  <c r="I50" i="2"/>
  <c r="E50" i="2"/>
  <c r="Q49" i="2"/>
  <c r="P49" i="2"/>
  <c r="O49" i="2"/>
  <c r="M49" i="2"/>
  <c r="L49" i="2"/>
  <c r="K49" i="2"/>
  <c r="H49" i="2"/>
  <c r="G49" i="2"/>
  <c r="F49" i="2"/>
  <c r="D49" i="2"/>
  <c r="C49" i="2"/>
  <c r="B49" i="2"/>
  <c r="V48" i="2"/>
  <c r="U48" i="2"/>
  <c r="U47" i="2"/>
  <c r="V47" i="2" s="1"/>
  <c r="R47" i="2"/>
  <c r="N47" i="2"/>
  <c r="S47" i="2" s="1"/>
  <c r="J47" i="2"/>
  <c r="T47" i="2" s="1"/>
  <c r="I47" i="2"/>
  <c r="E47" i="2"/>
  <c r="U46" i="2"/>
  <c r="R46" i="2"/>
  <c r="S46" i="2" s="1"/>
  <c r="N46" i="2"/>
  <c r="I46" i="2"/>
  <c r="E46" i="2"/>
  <c r="J46" i="2" s="1"/>
  <c r="T46" i="2" s="1"/>
  <c r="U45" i="2"/>
  <c r="V45" i="2" s="1"/>
  <c r="T45" i="2"/>
  <c r="S45" i="2"/>
  <c r="R45" i="2"/>
  <c r="N45" i="2"/>
  <c r="J45" i="2"/>
  <c r="I45" i="2"/>
  <c r="E45" i="2"/>
  <c r="U44" i="2"/>
  <c r="V44" i="2" s="1"/>
  <c r="J44" i="2"/>
  <c r="U43" i="2"/>
  <c r="S43" i="2"/>
  <c r="S42" i="2" s="1"/>
  <c r="R43" i="2"/>
  <c r="N43" i="2"/>
  <c r="I43" i="2"/>
  <c r="E43" i="2"/>
  <c r="R42" i="2"/>
  <c r="Q42" i="2"/>
  <c r="P42" i="2"/>
  <c r="O42" i="2"/>
  <c r="N42" i="2"/>
  <c r="M42" i="2"/>
  <c r="L42" i="2"/>
  <c r="K42" i="2"/>
  <c r="H42" i="2"/>
  <c r="G42" i="2"/>
  <c r="F42" i="2"/>
  <c r="E42" i="2"/>
  <c r="D42" i="2"/>
  <c r="C42" i="2"/>
  <c r="B42" i="2"/>
  <c r="U41" i="2"/>
  <c r="V41" i="2" s="1"/>
  <c r="U40" i="2"/>
  <c r="R40" i="2"/>
  <c r="N40" i="2"/>
  <c r="I40" i="2"/>
  <c r="J40" i="2" s="1"/>
  <c r="E40" i="2"/>
  <c r="U39" i="2"/>
  <c r="S39" i="2"/>
  <c r="R39" i="2"/>
  <c r="N39" i="2"/>
  <c r="I39" i="2"/>
  <c r="E39" i="2"/>
  <c r="U38" i="2"/>
  <c r="R38" i="2"/>
  <c r="N38" i="2"/>
  <c r="J38" i="2"/>
  <c r="I38" i="2"/>
  <c r="E38" i="2"/>
  <c r="U37" i="2"/>
  <c r="R37" i="2"/>
  <c r="S37" i="2" s="1"/>
  <c r="N37" i="2"/>
  <c r="I37" i="2"/>
  <c r="E37" i="2"/>
  <c r="J37" i="2" s="1"/>
  <c r="R36" i="2"/>
  <c r="Q36" i="2"/>
  <c r="P36" i="2"/>
  <c r="O36" i="2"/>
  <c r="N36" i="2"/>
  <c r="M36" i="2"/>
  <c r="L36" i="2"/>
  <c r="L164" i="2" s="1"/>
  <c r="L170" i="2" s="1"/>
  <c r="L174" i="2" s="1"/>
  <c r="K36" i="2"/>
  <c r="H36" i="2"/>
  <c r="G36" i="2"/>
  <c r="F36" i="2"/>
  <c r="D36" i="2"/>
  <c r="C36" i="2"/>
  <c r="B36" i="2"/>
  <c r="U35" i="2"/>
  <c r="V35" i="2" s="1"/>
  <c r="U34" i="2"/>
  <c r="R34" i="2"/>
  <c r="N34" i="2"/>
  <c r="S34" i="2" s="1"/>
  <c r="J34" i="2"/>
  <c r="T34" i="2" s="1"/>
  <c r="V34" i="2" s="1"/>
  <c r="I34" i="2"/>
  <c r="E34" i="2"/>
  <c r="U33" i="2"/>
  <c r="S33" i="2"/>
  <c r="R33" i="2"/>
  <c r="N33" i="2"/>
  <c r="I33" i="2"/>
  <c r="E33" i="2"/>
  <c r="J33" i="2" s="1"/>
  <c r="T33" i="2" s="1"/>
  <c r="V33" i="2" s="1"/>
  <c r="U32" i="2"/>
  <c r="V32" i="2" s="1"/>
  <c r="R32" i="2"/>
  <c r="N32" i="2"/>
  <c r="S32" i="2" s="1"/>
  <c r="J32" i="2"/>
  <c r="T32" i="2" s="1"/>
  <c r="I32" i="2"/>
  <c r="E32" i="2"/>
  <c r="U31" i="2"/>
  <c r="S31" i="2"/>
  <c r="T31" i="2" s="1"/>
  <c r="R31" i="2"/>
  <c r="N31" i="2"/>
  <c r="I31" i="2"/>
  <c r="E31" i="2"/>
  <c r="J31" i="2" s="1"/>
  <c r="V30" i="2"/>
  <c r="U30" i="2"/>
  <c r="S30" i="2"/>
  <c r="J30" i="2"/>
  <c r="U29" i="2"/>
  <c r="R29" i="2"/>
  <c r="S29" i="2" s="1"/>
  <c r="T29" i="2" s="1"/>
  <c r="N29" i="2"/>
  <c r="I29" i="2"/>
  <c r="E29" i="2"/>
  <c r="J29" i="2" s="1"/>
  <c r="U28" i="2"/>
  <c r="R28" i="2"/>
  <c r="N28" i="2"/>
  <c r="S28" i="2" s="1"/>
  <c r="I28" i="2"/>
  <c r="E28" i="2"/>
  <c r="E27" i="2" s="1"/>
  <c r="U27" i="2"/>
  <c r="Q27" i="2"/>
  <c r="P27" i="2"/>
  <c r="O27" i="2"/>
  <c r="M27" i="2"/>
  <c r="L27" i="2"/>
  <c r="K27" i="2"/>
  <c r="I27" i="2"/>
  <c r="H27" i="2"/>
  <c r="G27" i="2"/>
  <c r="F27" i="2"/>
  <c r="D27" i="2"/>
  <c r="C27" i="2"/>
  <c r="B27" i="2"/>
  <c r="V26" i="2"/>
  <c r="U26" i="2"/>
  <c r="U25" i="2"/>
  <c r="S25" i="2"/>
  <c r="T25" i="2" s="1"/>
  <c r="R25" i="2"/>
  <c r="N25" i="2"/>
  <c r="I25" i="2"/>
  <c r="E25" i="2"/>
  <c r="J25" i="2" s="1"/>
  <c r="U24" i="2"/>
  <c r="R24" i="2"/>
  <c r="N24" i="2"/>
  <c r="S24" i="2" s="1"/>
  <c r="J24" i="2"/>
  <c r="T24" i="2" s="1"/>
  <c r="I24" i="2"/>
  <c r="E24" i="2"/>
  <c r="U23" i="2"/>
  <c r="V23" i="2" s="1"/>
  <c r="S23" i="2"/>
  <c r="J23" i="2"/>
  <c r="U22" i="2"/>
  <c r="T22" i="2"/>
  <c r="R22" i="2"/>
  <c r="N22" i="2"/>
  <c r="S22" i="2" s="1"/>
  <c r="J22" i="2"/>
  <c r="I22" i="2"/>
  <c r="E22" i="2"/>
  <c r="U21" i="2"/>
  <c r="R21" i="2"/>
  <c r="N21" i="2"/>
  <c r="S21" i="2" s="1"/>
  <c r="J21" i="2"/>
  <c r="T21" i="2" s="1"/>
  <c r="I21" i="2"/>
  <c r="E21" i="2"/>
  <c r="U20" i="2"/>
  <c r="R20" i="2"/>
  <c r="N20" i="2"/>
  <c r="S20" i="2" s="1"/>
  <c r="I20" i="2"/>
  <c r="E20" i="2"/>
  <c r="J20" i="2" s="1"/>
  <c r="T20" i="2" s="1"/>
  <c r="U19" i="2"/>
  <c r="S19" i="2"/>
  <c r="R19" i="2"/>
  <c r="N19" i="2"/>
  <c r="I19" i="2"/>
  <c r="E19" i="2"/>
  <c r="J19" i="2" s="1"/>
  <c r="T19" i="2" s="1"/>
  <c r="V19" i="2" s="1"/>
  <c r="U18" i="2"/>
  <c r="S18" i="2"/>
  <c r="T18" i="2" s="1"/>
  <c r="R18" i="2"/>
  <c r="N18" i="2"/>
  <c r="J18" i="2"/>
  <c r="I18" i="2"/>
  <c r="E18" i="2"/>
  <c r="U17" i="2"/>
  <c r="S17" i="2"/>
  <c r="R17" i="2"/>
  <c r="N17" i="2"/>
  <c r="I17" i="2"/>
  <c r="J17" i="2" s="1"/>
  <c r="T17" i="2" s="1"/>
  <c r="E17" i="2"/>
  <c r="U16" i="2"/>
  <c r="R16" i="2"/>
  <c r="N16" i="2"/>
  <c r="S16" i="2" s="1"/>
  <c r="I16" i="2"/>
  <c r="E16" i="2"/>
  <c r="J16" i="2" s="1"/>
  <c r="T16" i="2" s="1"/>
  <c r="U15" i="2"/>
  <c r="R15" i="2"/>
  <c r="S15" i="2" s="1"/>
  <c r="N15" i="2"/>
  <c r="I15" i="2"/>
  <c r="E15" i="2"/>
  <c r="U14" i="2"/>
  <c r="R14" i="2"/>
  <c r="N14" i="2"/>
  <c r="S14" i="2" s="1"/>
  <c r="I14" i="2"/>
  <c r="J14" i="2" s="1"/>
  <c r="T14" i="2" s="1"/>
  <c r="E14" i="2"/>
  <c r="U13" i="2"/>
  <c r="T13" i="2"/>
  <c r="R13" i="2"/>
  <c r="N13" i="2"/>
  <c r="S13" i="2" s="1"/>
  <c r="J13" i="2"/>
  <c r="I13" i="2"/>
  <c r="E13" i="2"/>
  <c r="U12" i="2"/>
  <c r="S12" i="2"/>
  <c r="J12" i="2"/>
  <c r="T12" i="2" s="1"/>
  <c r="U11" i="2"/>
  <c r="V11" i="2" s="1"/>
  <c r="T11" i="2"/>
  <c r="R11" i="2"/>
  <c r="N11" i="2"/>
  <c r="S11" i="2" s="1"/>
  <c r="J11" i="2"/>
  <c r="I11" i="2"/>
  <c r="E11" i="2"/>
  <c r="U10" i="2"/>
  <c r="R10" i="2"/>
  <c r="R7" i="2" s="1"/>
  <c r="N10" i="2"/>
  <c r="S10" i="2" s="1"/>
  <c r="J10" i="2"/>
  <c r="T10" i="2" s="1"/>
  <c r="I10" i="2"/>
  <c r="E10" i="2"/>
  <c r="U9" i="2"/>
  <c r="R9" i="2"/>
  <c r="N9" i="2"/>
  <c r="I9" i="2"/>
  <c r="E9" i="2"/>
  <c r="J9" i="2" s="1"/>
  <c r="U8" i="2"/>
  <c r="V8" i="2" s="1"/>
  <c r="T8" i="2"/>
  <c r="S8" i="2"/>
  <c r="R8" i="2"/>
  <c r="N8" i="2"/>
  <c r="I8" i="2"/>
  <c r="E8" i="2"/>
  <c r="J8" i="2" s="1"/>
  <c r="Q7" i="2"/>
  <c r="P7" i="2"/>
  <c r="O7" i="2"/>
  <c r="M7" i="2"/>
  <c r="L7" i="2"/>
  <c r="K7" i="2"/>
  <c r="K164" i="2" s="1"/>
  <c r="K170" i="2" s="1"/>
  <c r="K174" i="2" s="1"/>
  <c r="H7" i="2"/>
  <c r="G7" i="2"/>
  <c r="F7" i="2"/>
  <c r="D7" i="2"/>
  <c r="C7" i="2"/>
  <c r="B7" i="2"/>
  <c r="Q137" i="1"/>
  <c r="P137" i="1"/>
  <c r="O137" i="1"/>
  <c r="N137" i="1"/>
  <c r="E137" i="1"/>
  <c r="L137" i="1"/>
  <c r="U137" i="1"/>
  <c r="T137" i="1"/>
  <c r="S137" i="1"/>
  <c r="R137" i="1"/>
  <c r="I137" i="1"/>
  <c r="H137" i="1"/>
  <c r="G137" i="1"/>
  <c r="F137" i="1"/>
  <c r="D137" i="1"/>
  <c r="C137" i="1"/>
  <c r="B137" i="1"/>
  <c r="P131" i="1"/>
  <c r="D131" i="1"/>
  <c r="M131" i="1"/>
  <c r="L131" i="1"/>
  <c r="K131" i="1"/>
  <c r="J131" i="1"/>
  <c r="U131" i="1"/>
  <c r="T131" i="1"/>
  <c r="S131" i="1"/>
  <c r="R131" i="1"/>
  <c r="I131" i="1"/>
  <c r="H131" i="1"/>
  <c r="G131" i="1"/>
  <c r="F131" i="1"/>
  <c r="T125" i="1"/>
  <c r="H125" i="1"/>
  <c r="Q125" i="1"/>
  <c r="P125" i="1"/>
  <c r="O125" i="1"/>
  <c r="N125" i="1"/>
  <c r="E125" i="1"/>
  <c r="D125" i="1"/>
  <c r="C125" i="1"/>
  <c r="B125" i="1"/>
  <c r="M125" i="1"/>
  <c r="L125" i="1"/>
  <c r="K125" i="1"/>
  <c r="J125" i="1"/>
  <c r="T118" i="1"/>
  <c r="H118" i="1"/>
  <c r="U118" i="1"/>
  <c r="S118" i="1"/>
  <c r="Q118" i="1"/>
  <c r="P118" i="1"/>
  <c r="O118" i="1"/>
  <c r="I118" i="1"/>
  <c r="G118" i="1"/>
  <c r="E118" i="1"/>
  <c r="D118" i="1"/>
  <c r="C118" i="1"/>
  <c r="N118" i="1"/>
  <c r="M118" i="1"/>
  <c r="L118" i="1"/>
  <c r="K118" i="1"/>
  <c r="J118" i="1"/>
  <c r="B118" i="1"/>
  <c r="N111" i="1"/>
  <c r="M111" i="1"/>
  <c r="T111" i="1"/>
  <c r="J111" i="1"/>
  <c r="H111" i="1"/>
  <c r="S111" i="1"/>
  <c r="R111" i="1"/>
  <c r="Q111" i="1"/>
  <c r="P111" i="1"/>
  <c r="O111" i="1"/>
  <c r="G111" i="1"/>
  <c r="F111" i="1"/>
  <c r="E111" i="1"/>
  <c r="D111" i="1"/>
  <c r="C111" i="1"/>
  <c r="L111" i="1"/>
  <c r="K111" i="1"/>
  <c r="B111" i="1"/>
  <c r="R104" i="1"/>
  <c r="Q104" i="1"/>
  <c r="F104" i="1"/>
  <c r="N104" i="1"/>
  <c r="L104" i="1"/>
  <c r="E104" i="1"/>
  <c r="B104" i="1"/>
  <c r="U104" i="1"/>
  <c r="T104" i="1"/>
  <c r="S104" i="1"/>
  <c r="K104" i="1"/>
  <c r="I104" i="1"/>
  <c r="H104" i="1"/>
  <c r="G104" i="1"/>
  <c r="P104" i="1"/>
  <c r="O104" i="1"/>
  <c r="D104" i="1"/>
  <c r="C104" i="1"/>
  <c r="Q96" i="1"/>
  <c r="T96" i="1"/>
  <c r="M96" i="1"/>
  <c r="J96" i="1"/>
  <c r="H96" i="1"/>
  <c r="U96" i="1"/>
  <c r="P96" i="1"/>
  <c r="O96" i="1"/>
  <c r="I96" i="1"/>
  <c r="E96" i="1"/>
  <c r="D96" i="1"/>
  <c r="C96" i="1"/>
  <c r="B96" i="1"/>
  <c r="N96" i="1"/>
  <c r="L96" i="1"/>
  <c r="K96" i="1"/>
  <c r="P90" i="1"/>
  <c r="O90" i="1"/>
  <c r="N90" i="1"/>
  <c r="I90" i="1"/>
  <c r="Q90" i="1"/>
  <c r="L90" i="1"/>
  <c r="E90" i="1"/>
  <c r="T90" i="1"/>
  <c r="S90" i="1"/>
  <c r="R90" i="1"/>
  <c r="M90" i="1"/>
  <c r="H90" i="1"/>
  <c r="G90" i="1"/>
  <c r="U90" i="1"/>
  <c r="F90" i="1"/>
  <c r="D90" i="1"/>
  <c r="C90" i="1"/>
  <c r="B90" i="1"/>
  <c r="L86" i="1"/>
  <c r="B86" i="1"/>
  <c r="U86" i="1"/>
  <c r="T86" i="1"/>
  <c r="S86" i="1"/>
  <c r="R86" i="1"/>
  <c r="H86" i="1"/>
  <c r="G86" i="1"/>
  <c r="F86" i="1"/>
  <c r="Q86" i="1"/>
  <c r="P86" i="1"/>
  <c r="O86" i="1"/>
  <c r="N86" i="1"/>
  <c r="I86" i="1"/>
  <c r="E86" i="1"/>
  <c r="D86" i="1"/>
  <c r="C86" i="1"/>
  <c r="R79" i="1"/>
  <c r="Q79" i="1"/>
  <c r="F79" i="1"/>
  <c r="N79" i="1"/>
  <c r="L79" i="1"/>
  <c r="E79" i="1"/>
  <c r="B79" i="1"/>
  <c r="U79" i="1"/>
  <c r="T79" i="1"/>
  <c r="S79" i="1"/>
  <c r="K79" i="1"/>
  <c r="J79" i="1"/>
  <c r="I79" i="1"/>
  <c r="H79" i="1"/>
  <c r="G79" i="1"/>
  <c r="P79" i="1"/>
  <c r="O79" i="1"/>
  <c r="D79" i="1"/>
  <c r="C79" i="1"/>
  <c r="Q71" i="1"/>
  <c r="T71" i="1"/>
  <c r="M71" i="1"/>
  <c r="J71" i="1"/>
  <c r="H71" i="1"/>
  <c r="U71" i="1"/>
  <c r="P71" i="1"/>
  <c r="O71" i="1"/>
  <c r="I71" i="1"/>
  <c r="E71" i="1"/>
  <c r="D71" i="1"/>
  <c r="C71" i="1"/>
  <c r="B71" i="1"/>
  <c r="N71" i="1"/>
  <c r="L71" i="1"/>
  <c r="K71" i="1"/>
  <c r="Q64" i="1"/>
  <c r="T64" i="1"/>
  <c r="M64" i="1"/>
  <c r="J64" i="1"/>
  <c r="H64" i="1"/>
  <c r="U64" i="1"/>
  <c r="P64" i="1"/>
  <c r="O64" i="1"/>
  <c r="I64" i="1"/>
  <c r="E64" i="1"/>
  <c r="D64" i="1"/>
  <c r="C64" i="1"/>
  <c r="B64" i="1"/>
  <c r="N64" i="1"/>
  <c r="L64" i="1"/>
  <c r="K64" i="1"/>
  <c r="M56" i="1"/>
  <c r="U56" i="1"/>
  <c r="P56" i="1"/>
  <c r="I56" i="1"/>
  <c r="F56" i="1"/>
  <c r="D56" i="1"/>
  <c r="Q56" i="1"/>
  <c r="L56" i="1"/>
  <c r="K56" i="1"/>
  <c r="E56" i="1"/>
  <c r="T56" i="1"/>
  <c r="S56" i="1"/>
  <c r="R56" i="1"/>
  <c r="J56" i="1"/>
  <c r="H56" i="1"/>
  <c r="G56" i="1"/>
  <c r="Q45" i="1"/>
  <c r="P45" i="1"/>
  <c r="O45" i="1"/>
  <c r="N45" i="1"/>
  <c r="L45" i="1"/>
  <c r="B45" i="1"/>
  <c r="U45" i="1"/>
  <c r="T45" i="1"/>
  <c r="S45" i="1"/>
  <c r="R45" i="1"/>
  <c r="H45" i="1"/>
  <c r="G45" i="1"/>
  <c r="I45" i="1"/>
  <c r="F45" i="1"/>
  <c r="E45" i="1"/>
  <c r="D45" i="1"/>
  <c r="C45" i="1"/>
  <c r="J39" i="1"/>
  <c r="H39" i="1"/>
  <c r="G39" i="1"/>
  <c r="R39" i="1"/>
  <c r="P39" i="1"/>
  <c r="I39" i="1"/>
  <c r="F39" i="1"/>
  <c r="D39" i="1"/>
  <c r="D145" i="1" s="1"/>
  <c r="D151" i="1" s="1"/>
  <c r="D155" i="1" s="1"/>
  <c r="N39" i="1"/>
  <c r="M39" i="1"/>
  <c r="L39" i="1"/>
  <c r="K39" i="1"/>
  <c r="B39" i="1"/>
  <c r="U39" i="1"/>
  <c r="T39" i="1"/>
  <c r="S39" i="1"/>
  <c r="N33" i="1"/>
  <c r="T33" i="1"/>
  <c r="M33" i="1"/>
  <c r="J33" i="1"/>
  <c r="H33" i="1"/>
  <c r="S33" i="1"/>
  <c r="R33" i="1"/>
  <c r="Q33" i="1"/>
  <c r="P33" i="1"/>
  <c r="O33" i="1"/>
  <c r="G33" i="1"/>
  <c r="F33" i="1"/>
  <c r="E33" i="1"/>
  <c r="D33" i="1"/>
  <c r="C33" i="1"/>
  <c r="L33" i="1"/>
  <c r="K33" i="1"/>
  <c r="B33" i="1"/>
  <c r="J25" i="1"/>
  <c r="R25" i="1"/>
  <c r="P25" i="1"/>
  <c r="I25" i="1"/>
  <c r="F25" i="1"/>
  <c r="D25" i="1"/>
  <c r="O25" i="1"/>
  <c r="N25" i="1"/>
  <c r="M25" i="1"/>
  <c r="L25" i="1"/>
  <c r="K25" i="1"/>
  <c r="C25" i="1"/>
  <c r="B25" i="1"/>
  <c r="U25" i="1"/>
  <c r="T25" i="1"/>
  <c r="S25" i="1"/>
  <c r="H25" i="1"/>
  <c r="G25" i="1"/>
  <c r="Q7" i="1"/>
  <c r="T7" i="1"/>
  <c r="M7" i="1"/>
  <c r="H7" i="1"/>
  <c r="U7" i="1"/>
  <c r="S7" i="1"/>
  <c r="P7" i="1"/>
  <c r="P145" i="1" s="1"/>
  <c r="P151" i="1" s="1"/>
  <c r="P155" i="1" s="1"/>
  <c r="O7" i="1"/>
  <c r="I7" i="1"/>
  <c r="G7" i="1"/>
  <c r="D7" i="1"/>
  <c r="C7" i="1"/>
  <c r="B7" i="1"/>
  <c r="N7" i="1"/>
  <c r="L7" i="1"/>
  <c r="K7" i="1"/>
  <c r="J7" i="1"/>
  <c r="E7" i="1"/>
  <c r="V51" i="2" l="1"/>
  <c r="T37" i="2"/>
  <c r="V65" i="2"/>
  <c r="V71" i="2"/>
  <c r="V15" i="2"/>
  <c r="T77" i="2"/>
  <c r="T76" i="2" s="1"/>
  <c r="J76" i="2"/>
  <c r="V82" i="2"/>
  <c r="J49" i="2"/>
  <c r="V61" i="2"/>
  <c r="V131" i="2"/>
  <c r="V148" i="2"/>
  <c r="V18" i="2"/>
  <c r="S131" i="2"/>
  <c r="T142" i="2"/>
  <c r="J131" i="2"/>
  <c r="V14" i="2"/>
  <c r="E49" i="2"/>
  <c r="V54" i="2"/>
  <c r="V63" i="2"/>
  <c r="E76" i="2"/>
  <c r="V10" i="2"/>
  <c r="T63" i="2"/>
  <c r="U155" i="2"/>
  <c r="J39" i="2"/>
  <c r="T39" i="2" s="1"/>
  <c r="E36" i="2"/>
  <c r="Q164" i="2"/>
  <c r="Q170" i="2" s="1"/>
  <c r="Q174" i="2" s="1"/>
  <c r="J28" i="2"/>
  <c r="V12" i="2"/>
  <c r="V25" i="2"/>
  <c r="I76" i="2"/>
  <c r="U84" i="2"/>
  <c r="N106" i="2"/>
  <c r="D164" i="2"/>
  <c r="D170" i="2" s="1"/>
  <c r="D174" i="2" s="1"/>
  <c r="T123" i="2"/>
  <c r="J122" i="2"/>
  <c r="N27" i="2"/>
  <c r="N76" i="2"/>
  <c r="E131" i="2"/>
  <c r="S143" i="2"/>
  <c r="T143" i="2" s="1"/>
  <c r="V143" i="2" s="1"/>
  <c r="U147" i="2"/>
  <c r="V147" i="2" s="1"/>
  <c r="T159" i="2"/>
  <c r="V159" i="2" s="1"/>
  <c r="V161" i="2"/>
  <c r="V31" i="2"/>
  <c r="P164" i="2"/>
  <c r="P170" i="2" s="1"/>
  <c r="P174" i="2" s="1"/>
  <c r="V117" i="2"/>
  <c r="E92" i="2"/>
  <c r="J93" i="2"/>
  <c r="V21" i="2"/>
  <c r="V172" i="2"/>
  <c r="I49" i="2"/>
  <c r="E7" i="2"/>
  <c r="V37" i="2"/>
  <c r="F164" i="2"/>
  <c r="F170" i="2" s="1"/>
  <c r="F174" i="2" s="1"/>
  <c r="U106" i="2"/>
  <c r="T126" i="2"/>
  <c r="V126" i="2" s="1"/>
  <c r="T131" i="2"/>
  <c r="V166" i="2"/>
  <c r="V22" i="2"/>
  <c r="T99" i="2"/>
  <c r="T98" i="2" s="1"/>
  <c r="J98" i="2"/>
  <c r="R106" i="2"/>
  <c r="V40" i="2"/>
  <c r="E122" i="2"/>
  <c r="I7" i="2"/>
  <c r="V46" i="2"/>
  <c r="N49" i="2"/>
  <c r="I60" i="2"/>
  <c r="I68" i="2"/>
  <c r="S106" i="2"/>
  <c r="V13" i="2"/>
  <c r="V100" i="2"/>
  <c r="V29" i="2"/>
  <c r="V129" i="2"/>
  <c r="U42" i="2"/>
  <c r="T69" i="2"/>
  <c r="V69" i="2" s="1"/>
  <c r="J85" i="2"/>
  <c r="E84" i="2"/>
  <c r="N122" i="2"/>
  <c r="S124" i="2"/>
  <c r="S122" i="2" s="1"/>
  <c r="V78" i="2"/>
  <c r="S84" i="2"/>
  <c r="U7" i="2"/>
  <c r="I42" i="2"/>
  <c r="J43" i="2"/>
  <c r="G164" i="2"/>
  <c r="G170" i="2" s="1"/>
  <c r="G174" i="2" s="1"/>
  <c r="H164" i="2"/>
  <c r="H170" i="2" s="1"/>
  <c r="H174" i="2" s="1"/>
  <c r="V20" i="2"/>
  <c r="V24" i="2"/>
  <c r="T40" i="2"/>
  <c r="S50" i="2"/>
  <c r="T52" i="2"/>
  <c r="V52" i="2" s="1"/>
  <c r="U60" i="2"/>
  <c r="V60" i="2" s="1"/>
  <c r="J70" i="2"/>
  <c r="T70" i="2" s="1"/>
  <c r="V70" i="2" s="1"/>
  <c r="J72" i="2"/>
  <c r="T72" i="2" s="1"/>
  <c r="V72" i="2" s="1"/>
  <c r="V103" i="2"/>
  <c r="J112" i="2"/>
  <c r="T112" i="2" s="1"/>
  <c r="V112" i="2" s="1"/>
  <c r="S126" i="2"/>
  <c r="V153" i="2"/>
  <c r="V156" i="2"/>
  <c r="N7" i="2"/>
  <c r="S9" i="2"/>
  <c r="S7" i="2" s="1"/>
  <c r="V17" i="2"/>
  <c r="S27" i="2"/>
  <c r="U36" i="2"/>
  <c r="V39" i="2"/>
  <c r="V81" i="2"/>
  <c r="V87" i="2"/>
  <c r="I92" i="2"/>
  <c r="V95" i="2"/>
  <c r="J140" i="2"/>
  <c r="R27" i="2"/>
  <c r="R164" i="2" s="1"/>
  <c r="R170" i="2" s="1"/>
  <c r="R174" i="2" s="1"/>
  <c r="S38" i="2"/>
  <c r="T38" i="2" s="1"/>
  <c r="V38" i="2" s="1"/>
  <c r="U49" i="2"/>
  <c r="J60" i="2"/>
  <c r="V62" i="2"/>
  <c r="R76" i="2"/>
  <c r="V89" i="2"/>
  <c r="R98" i="2"/>
  <c r="I115" i="2"/>
  <c r="V134" i="2"/>
  <c r="T148" i="2"/>
  <c r="T147" i="2" s="1"/>
  <c r="J147" i="2"/>
  <c r="V64" i="2"/>
  <c r="S76" i="2"/>
  <c r="T86" i="2"/>
  <c r="J115" i="2"/>
  <c r="O164" i="2"/>
  <c r="O170" i="2" s="1"/>
  <c r="O174" i="2" s="1"/>
  <c r="J36" i="2"/>
  <c r="R68" i="2"/>
  <c r="T71" i="2"/>
  <c r="S86" i="2"/>
  <c r="N84" i="2"/>
  <c r="R92" i="2"/>
  <c r="E106" i="2"/>
  <c r="V127" i="2"/>
  <c r="R131" i="2"/>
  <c r="J15" i="2"/>
  <c r="T15" i="2" s="1"/>
  <c r="V16" i="2"/>
  <c r="C164" i="2"/>
  <c r="C170" i="2" s="1"/>
  <c r="C174" i="2" s="1"/>
  <c r="I36" i="2"/>
  <c r="S40" i="2"/>
  <c r="V58" i="2"/>
  <c r="S69" i="2"/>
  <c r="S68" i="2" s="1"/>
  <c r="N92" i="2"/>
  <c r="I106" i="2"/>
  <c r="V109" i="2"/>
  <c r="S113" i="2"/>
  <c r="T113" i="2" s="1"/>
  <c r="V113" i="2" s="1"/>
  <c r="S119" i="2"/>
  <c r="S115" i="2" s="1"/>
  <c r="S98" i="2"/>
  <c r="J155" i="2"/>
  <c r="B164" i="2"/>
  <c r="V66" i="2"/>
  <c r="N60" i="2"/>
  <c r="T61" i="2"/>
  <c r="T60" i="2" s="1"/>
  <c r="S63" i="2"/>
  <c r="S65" i="2"/>
  <c r="T65" i="2" s="1"/>
  <c r="U76" i="2"/>
  <c r="V86" i="2"/>
  <c r="U98" i="2"/>
  <c r="V98" i="2" s="1"/>
  <c r="J107" i="2"/>
  <c r="J110" i="2"/>
  <c r="T110" i="2" s="1"/>
  <c r="V110" i="2" s="1"/>
  <c r="V137" i="2"/>
  <c r="S155" i="2"/>
  <c r="N147" i="2"/>
  <c r="E147" i="2"/>
  <c r="S142" i="2"/>
  <c r="N131" i="2"/>
  <c r="G145" i="1"/>
  <c r="G151" i="1" s="1"/>
  <c r="G155" i="1" s="1"/>
  <c r="L145" i="1"/>
  <c r="L151" i="1" s="1"/>
  <c r="L155" i="1" s="1"/>
  <c r="E25" i="1"/>
  <c r="E145" i="1" s="1"/>
  <c r="E151" i="1" s="1"/>
  <c r="E155" i="1" s="1"/>
  <c r="M79" i="1"/>
  <c r="M104" i="1"/>
  <c r="J86" i="1"/>
  <c r="K45" i="1"/>
  <c r="M86" i="1"/>
  <c r="F125" i="1"/>
  <c r="R125" i="1"/>
  <c r="B131" i="1"/>
  <c r="N131" i="1"/>
  <c r="N145" i="1" s="1"/>
  <c r="N151" i="1" s="1"/>
  <c r="N155" i="1" s="1"/>
  <c r="J137" i="1"/>
  <c r="K145" i="1"/>
  <c r="K151" i="1" s="1"/>
  <c r="K155" i="1" s="1"/>
  <c r="Q25" i="1"/>
  <c r="Q145" i="1" s="1"/>
  <c r="Q151" i="1" s="1"/>
  <c r="Q155" i="1" s="1"/>
  <c r="U33" i="1"/>
  <c r="U145" i="1" s="1"/>
  <c r="U151" i="1" s="1"/>
  <c r="U155" i="1" s="1"/>
  <c r="C39" i="1"/>
  <c r="C145" i="1" s="1"/>
  <c r="C151" i="1" s="1"/>
  <c r="C155" i="1" s="1"/>
  <c r="I111" i="1"/>
  <c r="Q39" i="1"/>
  <c r="K86" i="1"/>
  <c r="H145" i="1"/>
  <c r="H151" i="1" s="1"/>
  <c r="H155" i="1" s="1"/>
  <c r="B56" i="1"/>
  <c r="B145" i="1" s="1"/>
  <c r="B151" i="1" s="1"/>
  <c r="B155" i="1" s="1"/>
  <c r="N56" i="1"/>
  <c r="F64" i="1"/>
  <c r="R64" i="1"/>
  <c r="F71" i="1"/>
  <c r="R71" i="1"/>
  <c r="J90" i="1"/>
  <c r="J145" i="1" s="1"/>
  <c r="J151" i="1" s="1"/>
  <c r="J155" i="1" s="1"/>
  <c r="F96" i="1"/>
  <c r="R96" i="1"/>
  <c r="G125" i="1"/>
  <c r="S125" i="1"/>
  <c r="C131" i="1"/>
  <c r="O131" i="1"/>
  <c r="O145" i="1" s="1"/>
  <c r="O151" i="1" s="1"/>
  <c r="O155" i="1" s="1"/>
  <c r="K137" i="1"/>
  <c r="U111" i="1"/>
  <c r="E39" i="1"/>
  <c r="M45" i="1"/>
  <c r="M145" i="1" s="1"/>
  <c r="M151" i="1" s="1"/>
  <c r="M155" i="1" s="1"/>
  <c r="C56" i="1"/>
  <c r="O56" i="1"/>
  <c r="G64" i="1"/>
  <c r="S64" i="1"/>
  <c r="G71" i="1"/>
  <c r="S71" i="1"/>
  <c r="K90" i="1"/>
  <c r="G96" i="1"/>
  <c r="S96" i="1"/>
  <c r="S145" i="1" s="1"/>
  <c r="S151" i="1" s="1"/>
  <c r="S155" i="1" s="1"/>
  <c r="J104" i="1"/>
  <c r="I33" i="1"/>
  <c r="I145" i="1" s="1"/>
  <c r="I151" i="1" s="1"/>
  <c r="I155" i="1" s="1"/>
  <c r="O39" i="1"/>
  <c r="J45" i="1"/>
  <c r="T145" i="1"/>
  <c r="T151" i="1" s="1"/>
  <c r="T155" i="1" s="1"/>
  <c r="F7" i="1"/>
  <c r="R7" i="1"/>
  <c r="F118" i="1"/>
  <c r="R118" i="1"/>
  <c r="I125" i="1"/>
  <c r="U125" i="1"/>
  <c r="E131" i="1"/>
  <c r="Q131" i="1"/>
  <c r="M137" i="1"/>
  <c r="S49" i="2" l="1"/>
  <c r="T50" i="2"/>
  <c r="T36" i="2"/>
  <c r="S140" i="2"/>
  <c r="V99" i="2"/>
  <c r="N164" i="2"/>
  <c r="N170" i="2" s="1"/>
  <c r="N174" i="2" s="1"/>
  <c r="J84" i="2"/>
  <c r="T85" i="2"/>
  <c r="T93" i="2"/>
  <c r="J92" i="2"/>
  <c r="S36" i="2"/>
  <c r="S164" i="2" s="1"/>
  <c r="S170" i="2" s="1"/>
  <c r="S174" i="2" s="1"/>
  <c r="S60" i="2"/>
  <c r="J68" i="2"/>
  <c r="V123" i="2"/>
  <c r="T119" i="2"/>
  <c r="T124" i="2"/>
  <c r="V124" i="2" s="1"/>
  <c r="E164" i="2"/>
  <c r="E170" i="2" s="1"/>
  <c r="E174" i="2" s="1"/>
  <c r="T28" i="2"/>
  <c r="J27" i="2"/>
  <c r="V76" i="2"/>
  <c r="V77" i="2"/>
  <c r="V142" i="2"/>
  <c r="T140" i="2"/>
  <c r="V140" i="2" s="1"/>
  <c r="J42" i="2"/>
  <c r="T43" i="2"/>
  <c r="T9" i="2"/>
  <c r="T107" i="2"/>
  <c r="J106" i="2"/>
  <c r="V36" i="2"/>
  <c r="T155" i="2"/>
  <c r="V155" i="2" s="1"/>
  <c r="T68" i="2"/>
  <c r="V68" i="2" s="1"/>
  <c r="I164" i="2"/>
  <c r="I170" i="2" s="1"/>
  <c r="I174" i="2" s="1"/>
  <c r="J7" i="2"/>
  <c r="U164" i="2"/>
  <c r="B170" i="2"/>
  <c r="F145" i="1"/>
  <c r="F151" i="1" s="1"/>
  <c r="F155" i="1" s="1"/>
  <c r="R145" i="1"/>
  <c r="R151" i="1" s="1"/>
  <c r="R155" i="1" s="1"/>
  <c r="V9" i="2" l="1"/>
  <c r="T7" i="2"/>
  <c r="T42" i="2"/>
  <c r="V42" i="2" s="1"/>
  <c r="V43" i="2"/>
  <c r="V28" i="2"/>
  <c r="T27" i="2"/>
  <c r="V27" i="2" s="1"/>
  <c r="T106" i="2"/>
  <c r="V106" i="2" s="1"/>
  <c r="V107" i="2"/>
  <c r="T84" i="2"/>
  <c r="V84" i="2" s="1"/>
  <c r="V85" i="2"/>
  <c r="T49" i="2"/>
  <c r="V49" i="2" s="1"/>
  <c r="V50" i="2"/>
  <c r="V93" i="2"/>
  <c r="T92" i="2"/>
  <c r="V92" i="2" s="1"/>
  <c r="B174" i="2"/>
  <c r="U174" i="2" s="1"/>
  <c r="U170" i="2"/>
  <c r="V119" i="2"/>
  <c r="T115" i="2"/>
  <c r="V115" i="2" s="1"/>
  <c r="J164" i="2"/>
  <c r="J170" i="2" s="1"/>
  <c r="J174" i="2" s="1"/>
  <c r="T122" i="2"/>
  <c r="V122" i="2" s="1"/>
  <c r="T164" i="2" l="1"/>
  <c r="V7" i="2"/>
  <c r="T170" i="2" l="1"/>
  <c r="V164" i="2"/>
  <c r="T174" i="2" l="1"/>
  <c r="V174" i="2" s="1"/>
  <c r="V170" i="2"/>
</calcChain>
</file>

<file path=xl/sharedStrings.xml><?xml version="1.0" encoding="utf-8"?>
<sst xmlns="http://schemas.openxmlformats.org/spreadsheetml/2006/main" count="316" uniqueCount="220">
  <si>
    <t>INTERNAL REVENUE COLLECTIONS BY REGION AND BY PROVINCE *</t>
  </si>
  <si>
    <t>(Amount in Million Pesos)</t>
  </si>
  <si>
    <t>PARTICULARS</t>
  </si>
  <si>
    <t>National Capital Region (NCR)</t>
  </si>
  <si>
    <t>City of Caloocan</t>
  </si>
  <si>
    <t>City of Las Piñas**</t>
  </si>
  <si>
    <t>City of Makati</t>
  </si>
  <si>
    <t>Cities of Malabon and Navotas</t>
  </si>
  <si>
    <t>City of Mandaluyong</t>
  </si>
  <si>
    <t>City of Manila</t>
  </si>
  <si>
    <r>
      <t xml:space="preserve">City of Marikina </t>
    </r>
    <r>
      <rPr>
        <vertAlign val="superscript"/>
        <sz val="9"/>
        <color theme="1"/>
        <rFont val="Century Gothic"/>
        <family val="2"/>
      </rPr>
      <t>1/</t>
    </r>
  </si>
  <si>
    <t>City of Muntinlupa</t>
  </si>
  <si>
    <t>City of Parañaque</t>
  </si>
  <si>
    <t>Pasay City</t>
  </si>
  <si>
    <t>City of Pasig</t>
  </si>
  <si>
    <t>Quezon City</t>
  </si>
  <si>
    <t>City of San Juan</t>
  </si>
  <si>
    <t>City of Taguig and Pateros</t>
  </si>
  <si>
    <t>City of Valenzuela</t>
  </si>
  <si>
    <r>
      <t xml:space="preserve">Large Taxpayers Service </t>
    </r>
    <r>
      <rPr>
        <vertAlign val="superscript"/>
        <sz val="9"/>
        <color theme="1"/>
        <rFont val="Century Gothic"/>
        <family val="2"/>
      </rPr>
      <t>2/</t>
    </r>
  </si>
  <si>
    <t>Cordillera Administrative Region  (CAR)</t>
  </si>
  <si>
    <t>Abra</t>
  </si>
  <si>
    <t>Apayao and Kalinga</t>
  </si>
  <si>
    <t>Benguet</t>
  </si>
  <si>
    <t>Ifugao</t>
  </si>
  <si>
    <t>Mountain Province</t>
  </si>
  <si>
    <t>City of Baguio</t>
  </si>
  <si>
    <t>Region I  (Ilocos Region)</t>
  </si>
  <si>
    <t>Ilocos Norte</t>
  </si>
  <si>
    <t>Ilocos Sur</t>
  </si>
  <si>
    <t>La Union</t>
  </si>
  <si>
    <t>Pangasinan</t>
  </si>
  <si>
    <t>Region II (Cagayan Valley)</t>
  </si>
  <si>
    <t xml:space="preserve">Cagayan and Batanes </t>
  </si>
  <si>
    <t>Isabela</t>
  </si>
  <si>
    <t>Nueva Vizcaya</t>
  </si>
  <si>
    <t>Quirino</t>
  </si>
  <si>
    <t>Region III (Central Luzon)</t>
  </si>
  <si>
    <t>Aurora</t>
  </si>
  <si>
    <t>Bataan</t>
  </si>
  <si>
    <t>Bulacan</t>
  </si>
  <si>
    <t>Nueva Ecija</t>
  </si>
  <si>
    <r>
      <t xml:space="preserve">Pampanga </t>
    </r>
    <r>
      <rPr>
        <vertAlign val="superscript"/>
        <sz val="9"/>
        <color theme="1"/>
        <rFont val="Century Gothic"/>
        <family val="2"/>
      </rPr>
      <t>3/</t>
    </r>
  </si>
  <si>
    <t>Tarlac</t>
  </si>
  <si>
    <r>
      <t xml:space="preserve">Zambales </t>
    </r>
    <r>
      <rPr>
        <vertAlign val="superscript"/>
        <sz val="9"/>
        <color theme="1"/>
        <rFont val="Century Gothic"/>
        <family val="2"/>
      </rPr>
      <t>4/</t>
    </r>
  </si>
  <si>
    <t>City of Angeles</t>
  </si>
  <si>
    <t>City of Olongapo</t>
  </si>
  <si>
    <t>Region IV-A  (CALABARZON)</t>
  </si>
  <si>
    <t>Batangas</t>
  </si>
  <si>
    <t>Cavite</t>
  </si>
  <si>
    <t>Laguna</t>
  </si>
  <si>
    <t>Quezon</t>
  </si>
  <si>
    <r>
      <t xml:space="preserve">Rizal </t>
    </r>
    <r>
      <rPr>
        <vertAlign val="superscript"/>
        <sz val="9"/>
        <color theme="1"/>
        <rFont val="Century Gothic"/>
        <family val="2"/>
      </rPr>
      <t>5/</t>
    </r>
  </si>
  <si>
    <r>
      <t xml:space="preserve">City of Lucena </t>
    </r>
    <r>
      <rPr>
        <vertAlign val="superscript"/>
        <sz val="9"/>
        <color theme="1"/>
        <rFont val="Century Gothic"/>
        <family val="2"/>
      </rPr>
      <t>6/</t>
    </r>
  </si>
  <si>
    <t>MIMAROPA Region</t>
  </si>
  <si>
    <t>Marinduque</t>
  </si>
  <si>
    <t>Occidental Mindoro</t>
  </si>
  <si>
    <t>Oriental Mindoro</t>
  </si>
  <si>
    <t>Palawan (includes City of Puerto Princesa)</t>
  </si>
  <si>
    <t>Romblon</t>
  </si>
  <si>
    <t>Region V  (Bicol Region)</t>
  </si>
  <si>
    <t>Albay</t>
  </si>
  <si>
    <t>Camarines Norte</t>
  </si>
  <si>
    <t>Camarines Sur</t>
  </si>
  <si>
    <t>Catanduanes</t>
  </si>
  <si>
    <t>Masbate</t>
  </si>
  <si>
    <t>Sorsogon</t>
  </si>
  <si>
    <t>Region VI  (Western Visayas)</t>
  </si>
  <si>
    <t>Aklan</t>
  </si>
  <si>
    <t>Antique</t>
  </si>
  <si>
    <t>Capiz</t>
  </si>
  <si>
    <t>Iloilo</t>
  </si>
  <si>
    <r>
      <t xml:space="preserve">City of Iloilo (includes the province of Guimaras) </t>
    </r>
    <r>
      <rPr>
        <vertAlign val="superscript"/>
        <sz val="9"/>
        <color theme="1"/>
        <rFont val="Century Gothic"/>
        <family val="2"/>
      </rPr>
      <t>7/</t>
    </r>
  </si>
  <si>
    <t>Negros Island Region (NIR)</t>
  </si>
  <si>
    <t>Negros Occidental (includes City of Bacolod)</t>
  </si>
  <si>
    <t>Negros Oriental and Siquijor</t>
  </si>
  <si>
    <t>Region VII  (Central Visayas)</t>
  </si>
  <si>
    <t>Bohol</t>
  </si>
  <si>
    <t>Cebu (includes Cities of Lapu-Lapu and Mandaue)</t>
  </si>
  <si>
    <t>City of Cebu</t>
  </si>
  <si>
    <r>
      <t xml:space="preserve">LTD Cebu </t>
    </r>
    <r>
      <rPr>
        <vertAlign val="superscript"/>
        <sz val="9"/>
        <color theme="1"/>
        <rFont val="Century Gothic"/>
        <family val="2"/>
      </rPr>
      <t>8/</t>
    </r>
  </si>
  <si>
    <t>Region VIII  (Eastern Visayas)</t>
  </si>
  <si>
    <t>Eastern Samar</t>
  </si>
  <si>
    <t>Leyte</t>
  </si>
  <si>
    <t>Northern Samar</t>
  </si>
  <si>
    <t>Samar</t>
  </si>
  <si>
    <t>Southern Leyte</t>
  </si>
  <si>
    <r>
      <t xml:space="preserve">City of Tacloban (includes the province of Biliran) </t>
    </r>
    <r>
      <rPr>
        <vertAlign val="superscript"/>
        <sz val="9"/>
        <color theme="1"/>
        <rFont val="Century Gothic"/>
        <family val="2"/>
      </rPr>
      <t>9/</t>
    </r>
  </si>
  <si>
    <t>Region IX  (Zamboanga Peninsula)</t>
  </si>
  <si>
    <t>Zamboanga del Norte</t>
  </si>
  <si>
    <t>Zamboanga del Sur</t>
  </si>
  <si>
    <t>Zamboanga Sibugay</t>
  </si>
  <si>
    <r>
      <t xml:space="preserve">City of Isabela </t>
    </r>
    <r>
      <rPr>
        <vertAlign val="superscript"/>
        <sz val="9"/>
        <color theme="1"/>
        <rFont val="Century Gothic"/>
        <family val="2"/>
      </rPr>
      <t>10/</t>
    </r>
  </si>
  <si>
    <t>City of Zamboanga</t>
  </si>
  <si>
    <t>Region X  (Northern Mindanao)</t>
  </si>
  <si>
    <t>Bukidnon</t>
  </si>
  <si>
    <t>Lanao del Norte (includes City of Iligan)</t>
  </si>
  <si>
    <t>Misamis Occidental</t>
  </si>
  <si>
    <r>
      <t xml:space="preserve">Misamis Oriental (includes the province of Camiguin) </t>
    </r>
    <r>
      <rPr>
        <vertAlign val="superscript"/>
        <sz val="9"/>
        <color theme="1"/>
        <rFont val="Century Gothic"/>
        <family val="2"/>
      </rPr>
      <t>11/</t>
    </r>
  </si>
  <si>
    <r>
      <t xml:space="preserve">City of Cagayan de Oro </t>
    </r>
    <r>
      <rPr>
        <vertAlign val="superscript"/>
        <sz val="9"/>
        <color theme="1"/>
        <rFont val="Century Gothic"/>
        <family val="2"/>
      </rPr>
      <t>12/</t>
    </r>
  </si>
  <si>
    <t>Region XI (Davao Region)</t>
  </si>
  <si>
    <t xml:space="preserve">Davao del Norte and Davao de Oro </t>
  </si>
  <si>
    <t>Davao del Sur and Davao Occidental</t>
  </si>
  <si>
    <t>Davao Oriental</t>
  </si>
  <si>
    <t>City of Davao</t>
  </si>
  <si>
    <r>
      <t xml:space="preserve">LTD Davao </t>
    </r>
    <r>
      <rPr>
        <vertAlign val="superscript"/>
        <sz val="9"/>
        <color theme="1"/>
        <rFont val="Century Gothic"/>
        <family val="2"/>
      </rPr>
      <t>13/</t>
    </r>
  </si>
  <si>
    <t>Region XII (SOCCSKSARGEN)</t>
  </si>
  <si>
    <t>Cotabato</t>
  </si>
  <si>
    <t>City of General Santos (includes the province of Sarangani)</t>
  </si>
  <si>
    <t>South Cotabato</t>
  </si>
  <si>
    <t>Sultan Kudarat</t>
  </si>
  <si>
    <t>Region XIII (Caraga)</t>
  </si>
  <si>
    <t>Agusan del Norte (includes City of Butuan)</t>
  </si>
  <si>
    <t>Agusan del Sur</t>
  </si>
  <si>
    <t>Surigao del Norte and Dinagat Islands</t>
  </si>
  <si>
    <t>Surigao del Sur</t>
  </si>
  <si>
    <t>Bangsamoro Autonomous Region in Muslim Mindanao (BARMM)</t>
  </si>
  <si>
    <t>Basilan (includes City of Isabela)</t>
  </si>
  <si>
    <t>Lanao del Sur</t>
  </si>
  <si>
    <t>Maguindanao del Norte and Maguindanao del Sur</t>
  </si>
  <si>
    <t>Sulu</t>
  </si>
  <si>
    <t>Tawi-tawi</t>
  </si>
  <si>
    <r>
      <t xml:space="preserve">Special Geographic Area </t>
    </r>
    <r>
      <rPr>
        <vertAlign val="superscript"/>
        <sz val="9"/>
        <color theme="1"/>
        <rFont val="Century Gothic"/>
        <family val="2"/>
      </rPr>
      <t>14/</t>
    </r>
  </si>
  <si>
    <t>Total BIR Operations</t>
  </si>
  <si>
    <t>Total Non-BIR Operations</t>
  </si>
  <si>
    <t xml:space="preserve">Others  </t>
  </si>
  <si>
    <t>Total Gross Collection</t>
  </si>
  <si>
    <t>Tax Refund</t>
  </si>
  <si>
    <t>Total Collection - Net of Tax Refund</t>
  </si>
  <si>
    <t>* Regional and Provincial Summary is based on Philippine Statistics Authority - Philippine Standard Geographic Code (PSGC), as of June, 2024</t>
  </si>
  <si>
    <t xml:space="preserve">** From 2005 to 2008 collections from the City of Las Piñas includes collections from the City of Muntinlupa </t>
  </si>
  <si>
    <t>Source of Data: Research and Statistics Division</t>
  </si>
  <si>
    <t>Notes:</t>
  </si>
  <si>
    <r>
      <rPr>
        <vertAlign val="superscript"/>
        <sz val="8"/>
        <color theme="1"/>
        <rFont val="Century Gothic"/>
        <family val="2"/>
      </rPr>
      <t>1/</t>
    </r>
    <r>
      <rPr>
        <sz val="8"/>
        <color theme="1"/>
        <rFont val="Century Gothic"/>
        <family val="2"/>
      </rPr>
      <t xml:space="preserve"> Includes collections from San Mateo, Antipolo, Rodriguez and Teresa in the province of Rizal </t>
    </r>
  </si>
  <si>
    <r>
      <rPr>
        <vertAlign val="superscript"/>
        <sz val="8"/>
        <color theme="1"/>
        <rFont val="Century Gothic"/>
        <family val="2"/>
      </rPr>
      <t>2/</t>
    </r>
    <r>
      <rPr>
        <sz val="8"/>
        <color theme="1"/>
        <rFont val="Century Gothic"/>
        <family val="2"/>
      </rPr>
      <t xml:space="preserve"> Consists of the country’s largest corporate clients, which are mostly multinationals and publicly-listed companies under NCR</t>
    </r>
  </si>
  <si>
    <r>
      <rPr>
        <vertAlign val="superscript"/>
        <sz val="8"/>
        <color theme="1"/>
        <rFont val="Century Gothic"/>
        <family val="2"/>
      </rPr>
      <t>3/</t>
    </r>
    <r>
      <rPr>
        <sz val="8"/>
        <color theme="1"/>
        <rFont val="Century Gothic"/>
        <family val="2"/>
      </rPr>
      <t xml:space="preserve"> Includes collections from Clark Freeport and Special Economic Zone (CFEZ)</t>
    </r>
  </si>
  <si>
    <r>
      <rPr>
        <vertAlign val="superscript"/>
        <sz val="8"/>
        <color theme="1"/>
        <rFont val="Century Gothic"/>
        <family val="2"/>
      </rPr>
      <t>4/</t>
    </r>
    <r>
      <rPr>
        <sz val="8"/>
        <color theme="1"/>
        <rFont val="Century Gothic"/>
        <family val="2"/>
      </rPr>
      <t xml:space="preserve"> Includes collections from Subic Bay Freeport Zone only</t>
    </r>
  </si>
  <si>
    <r>
      <rPr>
        <vertAlign val="superscript"/>
        <sz val="8"/>
        <color theme="1"/>
        <rFont val="Century Gothic"/>
        <family val="2"/>
      </rPr>
      <t>5/</t>
    </r>
    <r>
      <rPr>
        <sz val="8"/>
        <color theme="1"/>
        <rFont val="Century Gothic"/>
        <family val="2"/>
      </rPr>
      <t xml:space="preserve"> Includes only collections from Cainta and Taytay in the province of Rizal</t>
    </r>
  </si>
  <si>
    <r>
      <rPr>
        <vertAlign val="superscript"/>
        <sz val="8"/>
        <color theme="1"/>
        <rFont val="Century Gothic"/>
        <family val="2"/>
      </rPr>
      <t>6/</t>
    </r>
    <r>
      <rPr>
        <sz val="8"/>
        <color theme="1"/>
        <rFont val="Century Gothic"/>
        <family val="2"/>
      </rPr>
      <t xml:space="preserve"> Also includes collections from 1 city and 17 municipalities in Quezon (Burdeos, Candelaria, Dolores, General Nakar, Infanta, Jomalig, Lucban, Mauban, Pagbilao, Panukulan, Patnanungan, Polillo, Real, Sampaloc, San Antonio, Sariaya, City of Tayabas, Tiaong) </t>
    </r>
  </si>
  <si>
    <r>
      <rPr>
        <vertAlign val="superscript"/>
        <sz val="8"/>
        <color theme="1"/>
        <rFont val="Century Gothic"/>
        <family val="2"/>
      </rPr>
      <t>7/</t>
    </r>
    <r>
      <rPr>
        <sz val="8"/>
        <color theme="1"/>
        <rFont val="Century Gothic"/>
        <family val="2"/>
      </rPr>
      <t xml:space="preserve"> Also includes 15 municipalities in Iloilo (Alimodian, Cabatuan, Guimbal, Igbaras, Leganes, Leon, Maasin, Miagao, Oton, Pavia, San Joaquin, San Miguel, Santa Barbara, Tigbauan, Tubungan) </t>
    </r>
  </si>
  <si>
    <r>
      <rPr>
        <vertAlign val="superscript"/>
        <sz val="8"/>
        <color theme="1"/>
        <rFont val="Century Gothic"/>
        <family val="2"/>
      </rPr>
      <t>8/</t>
    </r>
    <r>
      <rPr>
        <sz val="8"/>
        <color theme="1"/>
        <rFont val="Century Gothic"/>
        <family val="2"/>
      </rPr>
      <t xml:space="preserve"> Consists of the largest corporate clients, which are mostly multinationals and publicly-listed companies under the province of Cebu</t>
    </r>
  </si>
  <si>
    <r>
      <rPr>
        <vertAlign val="superscript"/>
        <sz val="8"/>
        <color theme="1"/>
        <rFont val="Century Gothic"/>
        <family val="2"/>
      </rPr>
      <t>9/</t>
    </r>
    <r>
      <rPr>
        <sz val="8"/>
        <color theme="1"/>
        <rFont val="Century Gothic"/>
        <family val="2"/>
      </rPr>
      <t xml:space="preserve"> Also includes 24 municipalities in Leyte (Abuyog, Alangalang, Babatngon, Barugo, Burauen, Capoocan, Carigara, Dagami, Dulag, Jaro, Javier, Julita, La Paz, Macarthur, Mahaplag, Mayorga, Palo, Pastrana, San Miguel, Santa Fe, Tabontabon, Tanauan, Tolosa, Tunga) </t>
    </r>
  </si>
  <si>
    <r>
      <rPr>
        <vertAlign val="superscript"/>
        <sz val="8"/>
        <color theme="1"/>
        <rFont val="Century Gothic"/>
        <family val="2"/>
      </rPr>
      <t xml:space="preserve">10/ </t>
    </r>
    <r>
      <rPr>
        <sz val="8"/>
        <color theme="1"/>
        <rFont val="Century Gothic"/>
        <family val="2"/>
      </rPr>
      <t>Classified under Region IX (Zamboanga Peninsula) but is geographically located in the province of Basilan (Bangsamoro Autonomous Region in Muslim Mindanao)</t>
    </r>
  </si>
  <si>
    <r>
      <rPr>
        <vertAlign val="superscript"/>
        <sz val="8"/>
        <color theme="1"/>
        <rFont val="Century Gothic"/>
        <family val="2"/>
      </rPr>
      <t xml:space="preserve">11/ </t>
    </r>
    <r>
      <rPr>
        <sz val="8"/>
        <color theme="1"/>
        <rFont val="Century Gothic"/>
        <family val="2"/>
      </rPr>
      <t xml:space="preserve">Also includes 1 city and 9 municipalities in Misamis Oriental (City of Gingoog, Balingoan, Binuangan, Kinoguitan, Lagonglong, Magsaysay, Medina, Salay, Sugbongcogon, Talisayan) </t>
    </r>
  </si>
  <si>
    <r>
      <rPr>
        <vertAlign val="superscript"/>
        <sz val="8"/>
        <color theme="1"/>
        <rFont val="Century Gothic"/>
        <family val="2"/>
      </rPr>
      <t>12/</t>
    </r>
    <r>
      <rPr>
        <sz val="8"/>
        <color theme="1"/>
        <rFont val="Century Gothic"/>
        <family val="2"/>
      </rPr>
      <t xml:space="preserve"> Also includes 1 city and 14 municipalities in Misamis Oriental (Alubijid, Balingasag, Claveria, City of El Salvador, Gitagum, Initao, Jasaan, Laguindingan, Libertad, Lugait, Manticao, Naawan, Opol, Tagoloan, Villanueva) </t>
    </r>
  </si>
  <si>
    <r>
      <rPr>
        <vertAlign val="superscript"/>
        <sz val="8"/>
        <color theme="1"/>
        <rFont val="Century Gothic"/>
        <family val="2"/>
      </rPr>
      <t>13/</t>
    </r>
    <r>
      <rPr>
        <sz val="8"/>
        <color theme="1"/>
        <rFont val="Century Gothic"/>
        <family val="2"/>
      </rPr>
      <t xml:space="preserve"> Consists of the largest corporate clients, which are mostly multinationals and publicly-listed companies situated in Region XI (Davao Region)</t>
    </r>
  </si>
  <si>
    <r>
      <rPr>
        <vertAlign val="superscript"/>
        <sz val="8"/>
        <color theme="1"/>
        <rFont val="Century Gothic"/>
        <family val="2"/>
      </rPr>
      <t>14/</t>
    </r>
    <r>
      <rPr>
        <sz val="8"/>
        <color theme="1"/>
        <rFont val="Century Gothic"/>
        <family val="2"/>
      </rPr>
      <t xml:space="preserve"> Executive Order No. 001, series of 2020, establishes one (1) Development Coordinating Office with eight (8) Area Clusters in Bangsamoro Autonomous Region in Muslim Mindanao.</t>
    </r>
  </si>
  <si>
    <t>For the Period: CY 2005 - CY 2024</t>
  </si>
  <si>
    <t>For the Period: CY 2025</t>
  </si>
  <si>
    <t>(In Million Pesos)</t>
  </si>
  <si>
    <t>JANUARY</t>
  </si>
  <si>
    <t>FEBRUARY</t>
  </si>
  <si>
    <t>MARCH</t>
  </si>
  <si>
    <t>1st QUARTER</t>
  </si>
  <si>
    <t>APRIL</t>
  </si>
  <si>
    <t>MAY</t>
  </si>
  <si>
    <t>JUNE</t>
  </si>
  <si>
    <t>2nd QUARTER</t>
  </si>
  <si>
    <t>1st SEMESTER</t>
  </si>
  <si>
    <t>JULY</t>
  </si>
  <si>
    <t>AUGUST</t>
  </si>
  <si>
    <t>SEPTEMBER</t>
  </si>
  <si>
    <t>3rd QUARTER</t>
  </si>
  <si>
    <t>OCTOBER</t>
  </si>
  <si>
    <t>NOVEMBER</t>
  </si>
  <si>
    <t>DECEMBER</t>
  </si>
  <si>
    <t>4th QUARTER</t>
  </si>
  <si>
    <t>2nd SEMESTER</t>
  </si>
  <si>
    <t>TOTAL</t>
  </si>
  <si>
    <t>City of Las Piñas</t>
  </si>
  <si>
    <t xml:space="preserve">City of Malabon </t>
  </si>
  <si>
    <t>City of Navotas</t>
  </si>
  <si>
    <t xml:space="preserve">City of Taguig </t>
  </si>
  <si>
    <t>Pateros</t>
  </si>
  <si>
    <t xml:space="preserve">Apayao </t>
  </si>
  <si>
    <t>Kalinga</t>
  </si>
  <si>
    <t xml:space="preserve">Batanes </t>
  </si>
  <si>
    <t>Cagayan</t>
  </si>
  <si>
    <r>
      <t xml:space="preserve">City of Angeles </t>
    </r>
    <r>
      <rPr>
        <vertAlign val="superscript"/>
        <sz val="9"/>
        <color theme="1"/>
        <rFont val="Century Gothic"/>
        <family val="2"/>
      </rPr>
      <t>5/</t>
    </r>
  </si>
  <si>
    <r>
      <t xml:space="preserve">City of Olongapo </t>
    </r>
    <r>
      <rPr>
        <vertAlign val="superscript"/>
        <sz val="9"/>
        <color theme="1"/>
        <rFont val="Century Gothic"/>
        <family val="2"/>
      </rPr>
      <t>6/</t>
    </r>
  </si>
  <si>
    <r>
      <t xml:space="preserve">Quezon </t>
    </r>
    <r>
      <rPr>
        <vertAlign val="superscript"/>
        <sz val="9"/>
        <color theme="1"/>
        <rFont val="Century Gothic"/>
        <family val="2"/>
      </rPr>
      <t>7/</t>
    </r>
  </si>
  <si>
    <r>
      <t xml:space="preserve">Rizal </t>
    </r>
    <r>
      <rPr>
        <vertAlign val="superscript"/>
        <sz val="9"/>
        <color theme="1"/>
        <rFont val="Century Gothic"/>
        <family val="2"/>
      </rPr>
      <t>8/</t>
    </r>
  </si>
  <si>
    <r>
      <t xml:space="preserve">City of Lucena </t>
    </r>
    <r>
      <rPr>
        <vertAlign val="superscript"/>
        <sz val="9"/>
        <color theme="1"/>
        <rFont val="Century Gothic"/>
        <family val="2"/>
      </rPr>
      <t>9/</t>
    </r>
  </si>
  <si>
    <t xml:space="preserve">Palawan </t>
  </si>
  <si>
    <t>City of Puerto Princesa</t>
  </si>
  <si>
    <r>
      <t xml:space="preserve">Iloilo </t>
    </r>
    <r>
      <rPr>
        <vertAlign val="superscript"/>
        <sz val="9"/>
        <color theme="1"/>
        <rFont val="Century Gothic"/>
        <family val="2"/>
      </rPr>
      <t>10/</t>
    </r>
  </si>
  <si>
    <r>
      <t xml:space="preserve">City of Iloilo </t>
    </r>
    <r>
      <rPr>
        <vertAlign val="superscript"/>
        <sz val="9"/>
        <color theme="1"/>
        <rFont val="Century Gothic"/>
        <family val="2"/>
      </rPr>
      <t>11/</t>
    </r>
  </si>
  <si>
    <t xml:space="preserve">Guimaras </t>
  </si>
  <si>
    <t>Negros Occidental</t>
  </si>
  <si>
    <t>City of Bacolod</t>
  </si>
  <si>
    <t xml:space="preserve">Negros Oriental </t>
  </si>
  <si>
    <t>Siquijor</t>
  </si>
  <si>
    <t xml:space="preserve">Cebu </t>
  </si>
  <si>
    <t xml:space="preserve">City of Lapu-Lapu </t>
  </si>
  <si>
    <t>City of Mandaue</t>
  </si>
  <si>
    <r>
      <t xml:space="preserve">LTD Cebu </t>
    </r>
    <r>
      <rPr>
        <vertAlign val="superscript"/>
        <sz val="9"/>
        <color theme="1"/>
        <rFont val="Century Gothic"/>
        <family val="2"/>
      </rPr>
      <t>12/</t>
    </r>
  </si>
  <si>
    <t xml:space="preserve">Biliran </t>
  </si>
  <si>
    <r>
      <t xml:space="preserve">City of Tacloban </t>
    </r>
    <r>
      <rPr>
        <vertAlign val="superscript"/>
        <sz val="9"/>
        <color theme="1"/>
        <rFont val="Century Gothic"/>
        <family val="2"/>
      </rPr>
      <t>13/</t>
    </r>
  </si>
  <si>
    <r>
      <t xml:space="preserve">Leyte </t>
    </r>
    <r>
      <rPr>
        <vertAlign val="superscript"/>
        <sz val="9"/>
        <color theme="1"/>
        <rFont val="Century Gothic"/>
        <family val="2"/>
      </rPr>
      <t>14/</t>
    </r>
  </si>
  <si>
    <r>
      <t xml:space="preserve">Misamis Oriental </t>
    </r>
    <r>
      <rPr>
        <vertAlign val="superscript"/>
        <sz val="9"/>
        <color theme="1"/>
        <rFont val="Century Gothic"/>
        <family val="2"/>
      </rPr>
      <t>15/</t>
    </r>
  </si>
  <si>
    <t>Camiguin</t>
  </si>
  <si>
    <r>
      <t xml:space="preserve">City of Cagayan de Oro </t>
    </r>
    <r>
      <rPr>
        <vertAlign val="superscript"/>
        <sz val="9"/>
        <color theme="1"/>
        <rFont val="Century Gothic"/>
        <family val="2"/>
      </rPr>
      <t>16/</t>
    </r>
  </si>
  <si>
    <t>Lanao del Norte</t>
  </si>
  <si>
    <t>City of Iligan</t>
  </si>
  <si>
    <t>Davao de Oro</t>
  </si>
  <si>
    <t>Davao del Norte</t>
  </si>
  <si>
    <t>Davao del Sur</t>
  </si>
  <si>
    <t>Davao Occidental</t>
  </si>
  <si>
    <r>
      <t xml:space="preserve">LTD Davao </t>
    </r>
    <r>
      <rPr>
        <vertAlign val="superscript"/>
        <sz val="9"/>
        <color theme="1"/>
        <rFont val="Century Gothic"/>
        <family val="2"/>
      </rPr>
      <t>17/</t>
    </r>
  </si>
  <si>
    <t>City of General Santos</t>
  </si>
  <si>
    <t>Sarangani</t>
  </si>
  <si>
    <t>Agusan del Norte</t>
  </si>
  <si>
    <t>City of Butuan</t>
  </si>
  <si>
    <t>Dinagat Islands</t>
  </si>
  <si>
    <t>Surigao del Norte</t>
  </si>
  <si>
    <t>Basilan</t>
  </si>
  <si>
    <r>
      <t xml:space="preserve">City of Isabela </t>
    </r>
    <r>
      <rPr>
        <vertAlign val="superscript"/>
        <sz val="9"/>
        <color theme="1"/>
        <rFont val="Century Gothic"/>
        <family val="2"/>
      </rPr>
      <t>18/</t>
    </r>
  </si>
  <si>
    <t>Maguindanao del Norte</t>
  </si>
  <si>
    <t>Maguindanao del Sur</t>
  </si>
  <si>
    <r>
      <t xml:space="preserve">Special Geographic Area </t>
    </r>
    <r>
      <rPr>
        <vertAlign val="superscript"/>
        <sz val="9"/>
        <color theme="1"/>
        <rFont val="Century Gothic"/>
        <family val="2"/>
      </rPr>
      <t>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</si>
</sst>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_);\(0\)"/>
  </numFmts>
  <fonts count="15" x14ac:knownFonts="1">
    <font>
      <sz val="11"/>
      <color theme="1"/>
      <name val="Arial"/>
      <family val="2"/>
    </font>
    <font>
      <sz val="11"/>
      <color theme="1"/>
      <name val="Century Gothic"/>
      <family val="2"/>
    </font>
    <font>
      <sz val="11"/>
      <color theme="1"/>
      <name val="Arial"/>
      <family val="2"/>
    </font>
    <font>
      <b/>
      <sz val="9"/>
      <color theme="1"/>
      <name val="Century Gothic"/>
      <family val="2"/>
    </font>
    <font>
      <sz val="9"/>
      <color theme="1"/>
      <name val="Century Gothic"/>
      <family val="2"/>
    </font>
    <font>
      <b/>
      <sz val="9"/>
      <color theme="0"/>
      <name val="Century Gothic"/>
      <family val="2"/>
    </font>
    <font>
      <b/>
      <sz val="9"/>
      <color rgb="FFFF0000"/>
      <name val="Century Gothic"/>
      <family val="2"/>
    </font>
    <font>
      <vertAlign val="superscript"/>
      <sz val="9"/>
      <color theme="1"/>
      <name val="Century Gothic"/>
      <family val="2"/>
    </font>
    <font>
      <b/>
      <sz val="8"/>
      <name val="Century Gothic"/>
      <family val="2"/>
    </font>
    <font>
      <sz val="8"/>
      <name val="Century Gothic"/>
      <family val="2"/>
    </font>
    <font>
      <b/>
      <sz val="8"/>
      <color rgb="FFFF0000"/>
      <name val="Century Gothic"/>
      <family val="2"/>
    </font>
    <font>
      <sz val="8"/>
      <color theme="1"/>
      <name val="Century Gothic"/>
      <family val="2"/>
    </font>
    <font>
      <vertAlign val="superscript"/>
      <sz val="8"/>
      <color theme="1"/>
      <name val="Century Gothic"/>
      <family val="2"/>
    </font>
    <font>
      <sz val="9"/>
      <color theme="0"/>
      <name val="Century Gothic"/>
      <family val="2"/>
    </font>
    <font>
      <b/>
      <sz val="9"/>
      <name val="Century Gothic"/>
      <family val="2"/>
    </font>
  </fonts>
  <fills count="3">
    <fill>
      <patternFill patternType="none"/>
    </fill>
    <fill>
      <patternFill patternType="gray125"/>
    </fill>
    <fill>
      <patternFill patternType="solid">
        <fgColor rgb="FF7030A0"/>
        <bgColor indexed="64"/>
      </patternFill>
    </fill>
  </fills>
  <borders count="6">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top/>
      <bottom style="thick">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s>
  <cellStyleXfs count="6">
    <xf numFmtId="0" fontId="0" fillId="0" borderId="0"/>
    <xf numFmtId="43" fontId="2"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43" fontId="2" fillId="0" borderId="0" applyFont="0" applyFill="0" applyBorder="0" applyAlignment="0" applyProtection="0"/>
  </cellStyleXfs>
  <cellXfs count="58">
    <xf numFmtId="0" fontId="0" fillId="0" borderId="0" xfId="0"/>
    <xf numFmtId="0" fontId="3" fillId="0" borderId="0" xfId="0" applyFont="1"/>
    <xf numFmtId="0" fontId="3" fillId="0" borderId="0" xfId="0" applyFont="1" applyAlignment="1">
      <alignment horizontal="center"/>
    </xf>
    <xf numFmtId="0" fontId="4" fillId="0" borderId="0" xfId="0" applyFont="1"/>
    <xf numFmtId="0" fontId="5" fillId="2" borderId="1" xfId="0" applyFont="1" applyFill="1" applyBorder="1" applyAlignment="1">
      <alignment horizontal="center"/>
    </xf>
    <xf numFmtId="164" fontId="5" fillId="2" borderId="2" xfId="1" applyNumberFormat="1" applyFont="1" applyFill="1" applyBorder="1" applyAlignment="1">
      <alignment horizontal="center"/>
    </xf>
    <xf numFmtId="43" fontId="3" fillId="0" borderId="0" xfId="1" applyFont="1" applyAlignment="1">
      <alignment horizontal="center"/>
    </xf>
    <xf numFmtId="43" fontId="4" fillId="0" borderId="0" xfId="1" applyFont="1" applyAlignment="1"/>
    <xf numFmtId="43" fontId="4" fillId="0" borderId="0" xfId="1" applyFont="1"/>
    <xf numFmtId="0" fontId="6" fillId="0" borderId="0" xfId="0" applyFont="1"/>
    <xf numFmtId="43" fontId="6" fillId="0" borderId="0" xfId="1" applyFont="1" applyAlignment="1"/>
    <xf numFmtId="0" fontId="4" fillId="0" borderId="0" xfId="0" applyFont="1" applyAlignment="1">
      <alignment horizontal="left" indent="1"/>
    </xf>
    <xf numFmtId="0" fontId="6" fillId="0" borderId="0" xfId="0" applyFont="1" applyAlignment="1">
      <alignment horizontal="left"/>
    </xf>
    <xf numFmtId="0" fontId="6" fillId="0" borderId="0" xfId="0" applyFont="1" applyAlignment="1">
      <alignment horizontal="left" wrapText="1"/>
    </xf>
    <xf numFmtId="43" fontId="6" fillId="0" borderId="0" xfId="1" applyFont="1"/>
    <xf numFmtId="0" fontId="6" fillId="0" borderId="3" xfId="0" applyFont="1" applyBorder="1"/>
    <xf numFmtId="43" fontId="6" fillId="0" borderId="3" xfId="1" applyFont="1" applyBorder="1"/>
    <xf numFmtId="0" fontId="8" fillId="0" borderId="0" xfId="0" applyFont="1"/>
    <xf numFmtId="43" fontId="6" fillId="0" borderId="0" xfId="1" applyFont="1" applyBorder="1"/>
    <xf numFmtId="0" fontId="9" fillId="0" borderId="0" xfId="0" applyFont="1" applyAlignment="1">
      <alignment wrapText="1"/>
    </xf>
    <xf numFmtId="43" fontId="10" fillId="0" borderId="0" xfId="1" applyFont="1"/>
    <xf numFmtId="0" fontId="10" fillId="0" borderId="0" xfId="0" applyFont="1"/>
    <xf numFmtId="0" fontId="11" fillId="0" borderId="0" xfId="0" applyFont="1" applyAlignment="1">
      <alignment wrapText="1"/>
    </xf>
    <xf numFmtId="0" fontId="11" fillId="0" borderId="0" xfId="0" applyFont="1"/>
    <xf numFmtId="0" fontId="11" fillId="0" borderId="0" xfId="0" applyFont="1" applyAlignment="1">
      <alignment horizontal="left" indent="1"/>
    </xf>
    <xf numFmtId="0" fontId="3" fillId="0" borderId="0" xfId="2" applyFont="1"/>
    <xf numFmtId="43" fontId="3" fillId="0" borderId="0" xfId="3" applyFont="1"/>
    <xf numFmtId="43" fontId="13" fillId="0" borderId="0" xfId="3" applyFont="1"/>
    <xf numFmtId="43" fontId="3" fillId="0" borderId="0" xfId="3" applyFont="1" applyAlignment="1">
      <alignment horizontal="center"/>
    </xf>
    <xf numFmtId="43" fontId="4" fillId="0" borderId="0" xfId="3" applyFont="1"/>
    <xf numFmtId="0" fontId="4" fillId="0" borderId="0" xfId="2" applyFont="1"/>
    <xf numFmtId="0" fontId="14" fillId="0" borderId="0" xfId="2" applyFont="1"/>
    <xf numFmtId="0" fontId="3" fillId="0" borderId="0" xfId="4" applyFont="1" applyAlignment="1">
      <alignment horizontal="center"/>
    </xf>
    <xf numFmtId="0" fontId="4" fillId="0" borderId="0" xfId="4" applyFont="1"/>
    <xf numFmtId="0" fontId="5" fillId="2" borderId="4" xfId="4" applyFont="1" applyFill="1" applyBorder="1" applyAlignment="1">
      <alignment horizontal="center"/>
    </xf>
    <xf numFmtId="43" fontId="5" fillId="2" borderId="4" xfId="3" applyFont="1" applyFill="1" applyBorder="1" applyAlignment="1">
      <alignment horizontal="center"/>
    </xf>
    <xf numFmtId="43" fontId="13" fillId="0" borderId="0" xfId="3" applyFont="1" applyAlignment="1">
      <alignment horizontal="center"/>
    </xf>
    <xf numFmtId="0" fontId="3" fillId="0" borderId="0" xfId="4" applyFont="1"/>
    <xf numFmtId="0" fontId="4" fillId="0" borderId="0" xfId="2" applyFont="1" applyAlignment="1">
      <alignment horizontal="left"/>
    </xf>
    <xf numFmtId="0" fontId="3" fillId="0" borderId="0" xfId="4" applyFont="1" applyAlignment="1">
      <alignment wrapText="1"/>
    </xf>
    <xf numFmtId="43" fontId="3" fillId="0" borderId="0" xfId="3" applyFont="1" applyAlignment="1">
      <alignment vertical="top"/>
    </xf>
    <xf numFmtId="43" fontId="4" fillId="0" borderId="0" xfId="3" applyFont="1" applyAlignment="1">
      <alignment horizontal="center"/>
    </xf>
    <xf numFmtId="43" fontId="3" fillId="0" borderId="0" xfId="3" applyFont="1" applyBorder="1"/>
    <xf numFmtId="0" fontId="3" fillId="0" borderId="5" xfId="4" applyFont="1" applyBorder="1"/>
    <xf numFmtId="43" fontId="3" fillId="0" borderId="5" xfId="3" applyFont="1" applyBorder="1"/>
    <xf numFmtId="0" fontId="14" fillId="0" borderId="0" xfId="2" applyFont="1" applyAlignment="1">
      <alignment vertical="top"/>
    </xf>
    <xf numFmtId="0" fontId="9" fillId="0" borderId="0" xfId="2" applyFont="1"/>
    <xf numFmtId="43" fontId="10" fillId="0" borderId="0" xfId="5" applyFont="1"/>
    <xf numFmtId="43" fontId="6" fillId="0" borderId="0" xfId="5" applyFont="1"/>
    <xf numFmtId="43" fontId="13" fillId="0" borderId="0" xfId="5" applyFont="1"/>
    <xf numFmtId="0" fontId="6" fillId="0" borderId="0" xfId="2" applyFont="1"/>
    <xf numFmtId="0" fontId="10" fillId="0" borderId="0" xfId="2" applyFont="1"/>
    <xf numFmtId="0" fontId="13" fillId="0" borderId="0" xfId="2" applyFont="1"/>
    <xf numFmtId="0" fontId="8" fillId="0" borderId="0" xfId="2" applyFont="1"/>
    <xf numFmtId="0" fontId="11" fillId="0" borderId="0" xfId="4" applyFont="1"/>
    <xf numFmtId="0" fontId="11" fillId="0" borderId="0" xfId="0" applyFont="1" applyAlignment="1">
      <alignment horizontal="left" wrapText="1" indent="1"/>
    </xf>
    <xf numFmtId="43" fontId="4" fillId="0" borderId="0" xfId="3" applyFont="1" applyAlignment="1">
      <alignment horizontal="center" vertical="center"/>
    </xf>
    <xf numFmtId="0" fontId="1" fillId="0" borderId="0" xfId="4" applyAlignment="1">
      <alignment horizontal="center" vertical="center"/>
    </xf>
  </cellXfs>
  <cellStyles count="6">
    <cellStyle name="Comma" xfId="1" builtinId="3"/>
    <cellStyle name="Comma 2" xfId="3" xr:uid="{A19DC5B4-77C9-41CF-8272-8DE865791260}"/>
    <cellStyle name="Comma 2 2" xfId="5" xr:uid="{47369305-F9E2-4DC5-BF3A-203D1AEEFB9F}"/>
    <cellStyle name="Normal" xfId="0" builtinId="0"/>
    <cellStyle name="Normal 2" xfId="2" xr:uid="{EB569E00-6F06-49ED-A12F-ADE1A4C57DFE}"/>
    <cellStyle name="Normal 3" xfId="4" xr:uid="{5FDF3586-5FD9-4B97-A718-F9832809D9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175</xdr:row>
      <xdr:rowOff>76200</xdr:rowOff>
    </xdr:from>
    <xdr:to>
      <xdr:col>35</xdr:col>
      <xdr:colOff>295275</xdr:colOff>
      <xdr:row>208</xdr:row>
      <xdr:rowOff>0</xdr:rowOff>
    </xdr:to>
    <xdr:pic>
      <xdr:nvPicPr>
        <xdr:cNvPr id="2" name="Picture 1">
          <a:extLst>
            <a:ext uri="{FF2B5EF4-FFF2-40B4-BE49-F238E27FC236}">
              <a16:creationId xmlns:a16="http://schemas.microsoft.com/office/drawing/2014/main" id="{9118C855-5FDC-47B6-8EBC-BF182EB0E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2318325"/>
          <a:ext cx="15297150" cy="591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A402C-D90F-49B0-8EBF-2B9E793C145C}">
  <dimension ref="A1:AJ184"/>
  <sheetViews>
    <sheetView showGridLines="0" workbookViewId="0">
      <pane xSplit="1" ySplit="5" topLeftCell="M144" activePane="bottomRight" state="frozen"/>
      <selection pane="topRight" activeCell="B1" sqref="B1"/>
      <selection pane="bottomLeft" activeCell="A6" sqref="A6"/>
      <selection pane="bottomRight" activeCell="U18" sqref="U18"/>
    </sheetView>
  </sheetViews>
  <sheetFormatPr defaultRowHeight="14.25" x14ac:dyDescent="0.3"/>
  <cols>
    <col min="1" max="1" width="50.625" style="3" customWidth="1"/>
    <col min="2" max="21" width="11.625" style="3" customWidth="1"/>
    <col min="22"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147</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6" customFormat="1" ht="15" thickTop="1" thickBot="1" x14ac:dyDescent="0.3">
      <c r="A5" s="4" t="s">
        <v>2</v>
      </c>
      <c r="B5" s="5">
        <v>2005</v>
      </c>
      <c r="C5" s="5">
        <v>2006</v>
      </c>
      <c r="D5" s="5">
        <v>2007</v>
      </c>
      <c r="E5" s="5">
        <v>2008</v>
      </c>
      <c r="F5" s="5">
        <v>2009</v>
      </c>
      <c r="G5" s="5">
        <v>2010</v>
      </c>
      <c r="H5" s="5">
        <v>2011</v>
      </c>
      <c r="I5" s="5">
        <v>2012</v>
      </c>
      <c r="J5" s="5">
        <v>2013</v>
      </c>
      <c r="K5" s="5">
        <v>2014</v>
      </c>
      <c r="L5" s="5">
        <v>2015</v>
      </c>
      <c r="M5" s="5">
        <v>2016</v>
      </c>
      <c r="N5" s="5">
        <v>2017</v>
      </c>
      <c r="O5" s="5">
        <v>2018</v>
      </c>
      <c r="P5" s="5">
        <v>2019</v>
      </c>
      <c r="Q5" s="5">
        <v>2020</v>
      </c>
      <c r="R5" s="5">
        <v>2021</v>
      </c>
      <c r="S5" s="5">
        <v>2022</v>
      </c>
      <c r="T5" s="5">
        <v>2023</v>
      </c>
      <c r="U5" s="5">
        <v>2024</v>
      </c>
    </row>
    <row r="6" spans="1:22" s="8" customFormat="1" ht="15" thickTop="1" x14ac:dyDescent="0.3">
      <c r="A6" s="3"/>
      <c r="B6" s="7"/>
      <c r="C6" s="7"/>
      <c r="D6" s="7"/>
      <c r="E6" s="7"/>
      <c r="F6" s="7"/>
      <c r="G6" s="7"/>
      <c r="H6" s="7"/>
      <c r="I6" s="7"/>
      <c r="J6" s="7"/>
      <c r="K6" s="7"/>
      <c r="L6" s="7"/>
      <c r="M6" s="7"/>
      <c r="N6" s="7"/>
      <c r="O6" s="7"/>
      <c r="P6" s="7"/>
      <c r="Q6" s="7"/>
      <c r="R6" s="7"/>
      <c r="S6" s="7"/>
      <c r="T6" s="7"/>
      <c r="U6" s="7"/>
      <c r="V6" s="7"/>
    </row>
    <row r="7" spans="1:22" s="9" customFormat="1" ht="15" customHeight="1" x14ac:dyDescent="0.25">
      <c r="A7" s="9" t="s">
        <v>3</v>
      </c>
      <c r="B7" s="10">
        <f>SUM(B8:B23)</f>
        <v>455970.78815362742</v>
      </c>
      <c r="C7" s="10">
        <f t="shared" ref="C7:U7" si="0">SUM(C8:C23)</f>
        <v>513429.26272164762</v>
      </c>
      <c r="D7" s="10">
        <f t="shared" si="0"/>
        <v>574298.86011077277</v>
      </c>
      <c r="E7" s="10">
        <f t="shared" si="0"/>
        <v>625324.61822415714</v>
      </c>
      <c r="F7" s="10">
        <f t="shared" si="0"/>
        <v>609059.8282408677</v>
      </c>
      <c r="G7" s="10">
        <f t="shared" si="0"/>
        <v>655000.89560809382</v>
      </c>
      <c r="H7" s="10">
        <f t="shared" si="0"/>
        <v>761057.36772465869</v>
      </c>
      <c r="I7" s="10">
        <f t="shared" si="0"/>
        <v>862087.74123626866</v>
      </c>
      <c r="J7" s="10">
        <f t="shared" si="0"/>
        <v>998759.61420161568</v>
      </c>
      <c r="K7" s="10">
        <f t="shared" si="0"/>
        <v>1087826.8347848982</v>
      </c>
      <c r="L7" s="10">
        <f t="shared" si="0"/>
        <v>1162159.5519580473</v>
      </c>
      <c r="M7" s="10">
        <f t="shared" si="0"/>
        <v>1270356.9665958332</v>
      </c>
      <c r="N7" s="10">
        <f t="shared" si="0"/>
        <v>1426161.598819287</v>
      </c>
      <c r="O7" s="10">
        <f t="shared" si="0"/>
        <v>1630613.4029089091</v>
      </c>
      <c r="P7" s="10">
        <f t="shared" si="0"/>
        <v>1805223.7544202299</v>
      </c>
      <c r="Q7" s="10">
        <f t="shared" si="0"/>
        <v>1605684.138242804</v>
      </c>
      <c r="R7" s="10">
        <f t="shared" si="0"/>
        <v>1689607.0202440871</v>
      </c>
      <c r="S7" s="10">
        <f t="shared" si="0"/>
        <v>1872204.4040522464</v>
      </c>
      <c r="T7" s="10">
        <f t="shared" si="0"/>
        <v>1982825.7207693602</v>
      </c>
      <c r="U7" s="10">
        <f t="shared" si="0"/>
        <v>2242863.8747416195</v>
      </c>
      <c r="V7" s="10"/>
    </row>
    <row r="8" spans="1:22" ht="15" customHeight="1" x14ac:dyDescent="0.3">
      <c r="A8" s="11" t="s">
        <v>4</v>
      </c>
      <c r="B8" s="7">
        <v>2357.6112937687853</v>
      </c>
      <c r="C8" s="7">
        <v>2997.7212163873219</v>
      </c>
      <c r="D8" s="7">
        <v>2543.0557664799999</v>
      </c>
      <c r="E8" s="7">
        <v>3131.8871066065417</v>
      </c>
      <c r="F8" s="7">
        <v>2450.0283696392084</v>
      </c>
      <c r="G8" s="7">
        <v>2999.6432685508566</v>
      </c>
      <c r="H8" s="7">
        <v>2946.8480035073089</v>
      </c>
      <c r="I8" s="7">
        <v>3320.4377584736812</v>
      </c>
      <c r="J8" s="7">
        <v>3804.0676404084038</v>
      </c>
      <c r="K8" s="7">
        <v>4533.4677620175062</v>
      </c>
      <c r="L8" s="7">
        <v>5130.5792914165913</v>
      </c>
      <c r="M8" s="7">
        <v>5612.0156978048299</v>
      </c>
      <c r="N8" s="7">
        <v>6056.9211984600015</v>
      </c>
      <c r="O8" s="7">
        <v>6025.679380729448</v>
      </c>
      <c r="P8" s="7">
        <v>6148.0916760199989</v>
      </c>
      <c r="Q8" s="7">
        <v>4850.0027569899994</v>
      </c>
      <c r="R8" s="7">
        <v>5768.9708708199987</v>
      </c>
      <c r="S8" s="7">
        <v>6204.2197430200013</v>
      </c>
      <c r="T8" s="7">
        <v>7489.1170109000004</v>
      </c>
      <c r="U8" s="7">
        <v>8245.0534049300022</v>
      </c>
      <c r="V8" s="7"/>
    </row>
    <row r="9" spans="1:22" ht="15" customHeight="1" x14ac:dyDescent="0.3">
      <c r="A9" s="11" t="s">
        <v>5</v>
      </c>
      <c r="B9" s="7">
        <v>8314.9229883987755</v>
      </c>
      <c r="C9" s="7">
        <v>15236.117556389261</v>
      </c>
      <c r="D9" s="7">
        <v>5485.0086544300002</v>
      </c>
      <c r="E9" s="7">
        <v>7504.1227099228572</v>
      </c>
      <c r="F9" s="7">
        <v>2358.4616808158416</v>
      </c>
      <c r="G9" s="7">
        <v>2098.8747376815936</v>
      </c>
      <c r="H9" s="7">
        <v>2231.4250339568948</v>
      </c>
      <c r="I9" s="7">
        <v>2553.9881872739929</v>
      </c>
      <c r="J9" s="7">
        <v>2822.5661346921161</v>
      </c>
      <c r="K9" s="7">
        <v>3427.7957942079497</v>
      </c>
      <c r="L9" s="7">
        <v>3935.0491341426068</v>
      </c>
      <c r="M9" s="7">
        <v>4995.8129716506128</v>
      </c>
      <c r="N9" s="7">
        <v>4604.449592699998</v>
      </c>
      <c r="O9" s="7">
        <v>5452.2192781999993</v>
      </c>
      <c r="P9" s="7">
        <v>7263.6760404100005</v>
      </c>
      <c r="Q9" s="7">
        <v>5783.1624812600003</v>
      </c>
      <c r="R9" s="7">
        <v>6673.30843396</v>
      </c>
      <c r="S9" s="7">
        <v>7519.3544501100014</v>
      </c>
      <c r="T9" s="7">
        <v>6781.0526282100009</v>
      </c>
      <c r="U9" s="7">
        <v>7097.4933869300003</v>
      </c>
      <c r="V9" s="7"/>
    </row>
    <row r="10" spans="1:22" ht="15" customHeight="1" x14ac:dyDescent="0.3">
      <c r="A10" s="11" t="s">
        <v>6</v>
      </c>
      <c r="B10" s="7">
        <v>34059.638264467554</v>
      </c>
      <c r="C10" s="7">
        <v>49008.692902166345</v>
      </c>
      <c r="D10" s="7">
        <v>45868.92870823</v>
      </c>
      <c r="E10" s="7">
        <v>71236.819743364511</v>
      </c>
      <c r="F10" s="7">
        <v>53712.796356127066</v>
      </c>
      <c r="G10" s="7">
        <v>61965.445376573763</v>
      </c>
      <c r="H10" s="7">
        <v>57746.70077445553</v>
      </c>
      <c r="I10" s="7">
        <v>66020.284353633004</v>
      </c>
      <c r="J10" s="7">
        <v>79610.446146083574</v>
      </c>
      <c r="K10" s="7">
        <v>83434.669167084168</v>
      </c>
      <c r="L10" s="7">
        <v>87817.858173481334</v>
      </c>
      <c r="M10" s="7">
        <v>89075.310773053963</v>
      </c>
      <c r="N10" s="7">
        <v>93230.211384030001</v>
      </c>
      <c r="O10" s="7">
        <v>99951.270323489996</v>
      </c>
      <c r="P10" s="7">
        <v>111317.58583100002</v>
      </c>
      <c r="Q10" s="7">
        <v>100727.05848024998</v>
      </c>
      <c r="R10" s="7">
        <v>110887.71546358003</v>
      </c>
      <c r="S10" s="7">
        <v>129541.56722722002</v>
      </c>
      <c r="T10" s="7">
        <v>132063.29063228</v>
      </c>
      <c r="U10" s="7">
        <v>143494.84742782998</v>
      </c>
      <c r="V10" s="7"/>
    </row>
    <row r="11" spans="1:22" ht="15" customHeight="1" x14ac:dyDescent="0.3">
      <c r="A11" s="11" t="s">
        <v>7</v>
      </c>
      <c r="B11" s="7">
        <v>1492.9695533848835</v>
      </c>
      <c r="C11" s="7">
        <v>1683.1464390688361</v>
      </c>
      <c r="D11" s="7">
        <v>1395.7628673099996</v>
      </c>
      <c r="E11" s="7">
        <v>1453.3595798494516</v>
      </c>
      <c r="F11" s="7">
        <v>1222.5921610747657</v>
      </c>
      <c r="G11" s="7">
        <v>1429.8249751451303</v>
      </c>
      <c r="H11" s="7">
        <v>1715.8519509020748</v>
      </c>
      <c r="I11" s="7">
        <v>1951.502741624902</v>
      </c>
      <c r="J11" s="7">
        <v>2240.0508300899633</v>
      </c>
      <c r="K11" s="7">
        <v>3133.3606676961554</v>
      </c>
      <c r="L11" s="7">
        <v>2837.5536583589533</v>
      </c>
      <c r="M11" s="7">
        <v>3241.0249599393142</v>
      </c>
      <c r="N11" s="7">
        <v>3515.4765147499988</v>
      </c>
      <c r="O11" s="7">
        <v>3463.0786313499993</v>
      </c>
      <c r="P11" s="7">
        <v>3655.8479864600013</v>
      </c>
      <c r="Q11" s="7">
        <v>2756.0801760299996</v>
      </c>
      <c r="R11" s="7">
        <v>3273.6760234199992</v>
      </c>
      <c r="S11" s="7">
        <v>3742.1006119900007</v>
      </c>
      <c r="T11" s="7">
        <v>4206.4652342500003</v>
      </c>
      <c r="U11" s="7">
        <v>4876.2073401500011</v>
      </c>
      <c r="V11" s="7"/>
    </row>
    <row r="12" spans="1:22" ht="15" customHeight="1" x14ac:dyDescent="0.3">
      <c r="A12" s="11" t="s">
        <v>8</v>
      </c>
      <c r="B12" s="7">
        <v>5749.4640910243879</v>
      </c>
      <c r="C12" s="7">
        <v>7526.9796202215884</v>
      </c>
      <c r="D12" s="7">
        <v>7171.7697704526308</v>
      </c>
      <c r="E12" s="7">
        <v>9673.9906085782768</v>
      </c>
      <c r="F12" s="7">
        <v>9751.1724784694543</v>
      </c>
      <c r="G12" s="7">
        <v>10810.326989276113</v>
      </c>
      <c r="H12" s="7">
        <v>9735.0060270247413</v>
      </c>
      <c r="I12" s="7">
        <v>10521.714044028604</v>
      </c>
      <c r="J12" s="7">
        <v>14009.735728619136</v>
      </c>
      <c r="K12" s="7">
        <v>14903.949673950105</v>
      </c>
      <c r="L12" s="7">
        <v>16988.332367003968</v>
      </c>
      <c r="M12" s="7">
        <v>16604.51428058798</v>
      </c>
      <c r="N12" s="7">
        <v>17341.552712699999</v>
      </c>
      <c r="O12" s="7">
        <v>16824.699760111551</v>
      </c>
      <c r="P12" s="7">
        <v>19979.980597639998</v>
      </c>
      <c r="Q12" s="7">
        <v>18673.898891010002</v>
      </c>
      <c r="R12" s="7">
        <v>21553.770572919995</v>
      </c>
      <c r="S12" s="7">
        <v>25943.350970739993</v>
      </c>
      <c r="T12" s="7">
        <v>26779.369792830003</v>
      </c>
      <c r="U12" s="7">
        <v>34105.330592749975</v>
      </c>
      <c r="V12" s="7"/>
    </row>
    <row r="13" spans="1:22" ht="15" customHeight="1" x14ac:dyDescent="0.3">
      <c r="A13" s="11" t="s">
        <v>9</v>
      </c>
      <c r="B13" s="7">
        <v>66783.641996833554</v>
      </c>
      <c r="C13" s="7">
        <v>29112.298293910226</v>
      </c>
      <c r="D13" s="7">
        <v>24932.538705214043</v>
      </c>
      <c r="E13" s="7">
        <v>46726.993086346658</v>
      </c>
      <c r="F13" s="7">
        <v>28675.629505658373</v>
      </c>
      <c r="G13" s="7">
        <v>33165.647001479934</v>
      </c>
      <c r="H13" s="7">
        <v>45747.849525327052</v>
      </c>
      <c r="I13" s="7">
        <v>27850.192274581121</v>
      </c>
      <c r="J13" s="7">
        <v>33135.70808485763</v>
      </c>
      <c r="K13" s="7">
        <v>35197.664844476363</v>
      </c>
      <c r="L13" s="7">
        <v>36640.215344410404</v>
      </c>
      <c r="M13" s="7">
        <v>41596.566728630409</v>
      </c>
      <c r="N13" s="7">
        <v>43491.535509749992</v>
      </c>
      <c r="O13" s="7">
        <v>41316.047818393454</v>
      </c>
      <c r="P13" s="7">
        <v>46931.957741879989</v>
      </c>
      <c r="Q13" s="7">
        <v>40326.542575750005</v>
      </c>
      <c r="R13" s="7">
        <v>42629.351627409989</v>
      </c>
      <c r="S13" s="7">
        <v>52551.734059460003</v>
      </c>
      <c r="T13" s="7">
        <v>54901.258447789995</v>
      </c>
      <c r="U13" s="7">
        <v>60391.447357629986</v>
      </c>
      <c r="V13" s="7"/>
    </row>
    <row r="14" spans="1:22" ht="18" customHeight="1" x14ac:dyDescent="0.3">
      <c r="A14" s="11" t="s">
        <v>10</v>
      </c>
      <c r="B14" s="7">
        <v>1809.4467040533468</v>
      </c>
      <c r="C14" s="7">
        <v>2334.7200493156079</v>
      </c>
      <c r="D14" s="7">
        <v>2429.71518939</v>
      </c>
      <c r="E14" s="7">
        <v>2560.5611021763384</v>
      </c>
      <c r="F14" s="7">
        <v>2664.3547253797728</v>
      </c>
      <c r="G14" s="7">
        <v>3166.5739950563498</v>
      </c>
      <c r="H14" s="7">
        <v>2875.9040191085937</v>
      </c>
      <c r="I14" s="7">
        <v>3484.7723486355503</v>
      </c>
      <c r="J14" s="7">
        <v>3892.8690278056761</v>
      </c>
      <c r="K14" s="7">
        <v>4474.8536524810515</v>
      </c>
      <c r="L14" s="7">
        <v>4891.3487058938517</v>
      </c>
      <c r="M14" s="7">
        <v>5515.0783570698932</v>
      </c>
      <c r="N14" s="7">
        <v>6749.9539076699984</v>
      </c>
      <c r="O14" s="7">
        <v>6521.436479018349</v>
      </c>
      <c r="P14" s="7">
        <v>7230.5531351199988</v>
      </c>
      <c r="Q14" s="7">
        <v>6009.6751645599998</v>
      </c>
      <c r="R14" s="7">
        <v>7231.7410806300004</v>
      </c>
      <c r="S14" s="7">
        <v>8462.6911954599982</v>
      </c>
      <c r="T14" s="7">
        <v>9452.8656502800004</v>
      </c>
      <c r="U14" s="7">
        <v>11687.608604299998</v>
      </c>
      <c r="V14" s="7"/>
    </row>
    <row r="15" spans="1:22" ht="15" customHeight="1" x14ac:dyDescent="0.3">
      <c r="A15" s="11" t="s">
        <v>11</v>
      </c>
      <c r="B15" s="7">
        <v>0</v>
      </c>
      <c r="C15" s="7">
        <v>0</v>
      </c>
      <c r="D15" s="7">
        <v>0</v>
      </c>
      <c r="E15" s="7">
        <v>0</v>
      </c>
      <c r="F15" s="7">
        <v>3621.0960409957056</v>
      </c>
      <c r="G15" s="7">
        <v>5417.4057816462764</v>
      </c>
      <c r="H15" s="7">
        <v>5640.974360073531</v>
      </c>
      <c r="I15" s="7">
        <v>5926.7621690774931</v>
      </c>
      <c r="J15" s="7">
        <v>7129.1372526729174</v>
      </c>
      <c r="K15" s="7">
        <v>8081.240999783925</v>
      </c>
      <c r="L15" s="7">
        <v>8662.4943377721047</v>
      </c>
      <c r="M15" s="7">
        <v>9784.8508193815269</v>
      </c>
      <c r="N15" s="7">
        <v>11447.817284869992</v>
      </c>
      <c r="O15" s="7">
        <v>11518.576355230005</v>
      </c>
      <c r="P15" s="7">
        <v>13547.889664030003</v>
      </c>
      <c r="Q15" s="7">
        <v>12045.173775590003</v>
      </c>
      <c r="R15" s="7">
        <v>13446.379811480001</v>
      </c>
      <c r="S15" s="7">
        <v>15184.760392199994</v>
      </c>
      <c r="T15" s="7">
        <v>16205.23947484</v>
      </c>
      <c r="U15" s="7">
        <v>16665.42182594</v>
      </c>
      <c r="V15" s="7"/>
    </row>
    <row r="16" spans="1:22" ht="15" customHeight="1" x14ac:dyDescent="0.3">
      <c r="A16" s="11" t="s">
        <v>12</v>
      </c>
      <c r="B16" s="7">
        <v>4972.4613697794975</v>
      </c>
      <c r="C16" s="7">
        <v>5715.8805801661792</v>
      </c>
      <c r="D16" s="7">
        <v>5684.4694508099992</v>
      </c>
      <c r="E16" s="7">
        <v>7543.1820320244224</v>
      </c>
      <c r="F16" s="7">
        <v>4988.3391453138929</v>
      </c>
      <c r="G16" s="7">
        <v>6339.2285669827306</v>
      </c>
      <c r="H16" s="7">
        <v>6309.348296660628</v>
      </c>
      <c r="I16" s="7">
        <v>7161.2697836085581</v>
      </c>
      <c r="J16" s="7">
        <v>8605.0142896068955</v>
      </c>
      <c r="K16" s="7">
        <v>9994.9407164774038</v>
      </c>
      <c r="L16" s="7">
        <v>11942.674934281746</v>
      </c>
      <c r="M16" s="7">
        <v>11171.424733551936</v>
      </c>
      <c r="N16" s="7">
        <v>12874.479141129996</v>
      </c>
      <c r="O16" s="7">
        <v>18232.751412654256</v>
      </c>
      <c r="P16" s="7">
        <v>15581.029407890011</v>
      </c>
      <c r="Q16" s="7">
        <v>13449.550289029999</v>
      </c>
      <c r="R16" s="7">
        <v>15502.090382200004</v>
      </c>
      <c r="S16" s="7">
        <v>18042.258734589988</v>
      </c>
      <c r="T16" s="7">
        <v>19074.940999049999</v>
      </c>
      <c r="U16" s="7">
        <v>21110.547623729992</v>
      </c>
      <c r="V16" s="7"/>
    </row>
    <row r="17" spans="1:22" ht="15" customHeight="1" x14ac:dyDescent="0.3">
      <c r="A17" s="11" t="s">
        <v>13</v>
      </c>
      <c r="B17" s="7">
        <v>4050.3093118422471</v>
      </c>
      <c r="C17" s="7">
        <v>5949.1802099969245</v>
      </c>
      <c r="D17" s="7">
        <v>5462.6211439900007</v>
      </c>
      <c r="E17" s="7">
        <v>6800.3549193921044</v>
      </c>
      <c r="F17" s="7">
        <v>7184.1636719099188</v>
      </c>
      <c r="G17" s="7">
        <v>8979.4164525733704</v>
      </c>
      <c r="H17" s="7">
        <v>6009.8819874342016</v>
      </c>
      <c r="I17" s="7">
        <v>7793.6184034272746</v>
      </c>
      <c r="J17" s="7">
        <v>10331.97910844244</v>
      </c>
      <c r="K17" s="7">
        <v>10490.920804316782</v>
      </c>
      <c r="L17" s="7">
        <v>11586.47678655528</v>
      </c>
      <c r="M17" s="7">
        <v>13337.404052888105</v>
      </c>
      <c r="N17" s="7">
        <v>13171.085025599996</v>
      </c>
      <c r="O17" s="7">
        <v>15053.685940329997</v>
      </c>
      <c r="P17" s="7">
        <v>19903.285146170001</v>
      </c>
      <c r="Q17" s="7">
        <v>15636.874892120009</v>
      </c>
      <c r="R17" s="7">
        <v>19344.432557970002</v>
      </c>
      <c r="S17" s="7">
        <v>24683.219572170005</v>
      </c>
      <c r="T17" s="7">
        <v>25055.762239149997</v>
      </c>
      <c r="U17" s="7">
        <v>26429.043507469993</v>
      </c>
      <c r="V17" s="7"/>
    </row>
    <row r="18" spans="1:22" ht="15" customHeight="1" x14ac:dyDescent="0.3">
      <c r="A18" s="11" t="s">
        <v>14</v>
      </c>
      <c r="B18" s="7">
        <v>16025.354624551997</v>
      </c>
      <c r="C18" s="7">
        <v>15685.678353061114</v>
      </c>
      <c r="D18" s="7">
        <v>16235.94782248471</v>
      </c>
      <c r="E18" s="7">
        <v>20870.721458581367</v>
      </c>
      <c r="F18" s="7">
        <v>19686.781066757889</v>
      </c>
      <c r="G18" s="7">
        <v>22417.451804865894</v>
      </c>
      <c r="H18" s="7">
        <v>16825.743772855029</v>
      </c>
      <c r="I18" s="7">
        <v>19073.767427814342</v>
      </c>
      <c r="J18" s="7">
        <v>23290.985208325172</v>
      </c>
      <c r="K18" s="7">
        <v>28944.982351704621</v>
      </c>
      <c r="L18" s="7">
        <v>30517.522763549194</v>
      </c>
      <c r="M18" s="7">
        <v>33266.25519460038</v>
      </c>
      <c r="N18" s="7">
        <v>33975.583858580023</v>
      </c>
      <c r="O18" s="7">
        <v>34658.029291569852</v>
      </c>
      <c r="P18" s="7">
        <v>36228.542787129991</v>
      </c>
      <c r="Q18" s="7">
        <v>34703.361585060011</v>
      </c>
      <c r="R18" s="7">
        <v>41603.167961300001</v>
      </c>
      <c r="S18" s="7">
        <v>48253.54807526002</v>
      </c>
      <c r="T18" s="7">
        <v>45443.056173620018</v>
      </c>
      <c r="U18" s="7">
        <v>57541.836939860019</v>
      </c>
      <c r="V18" s="7"/>
    </row>
    <row r="19" spans="1:22" ht="15" customHeight="1" x14ac:dyDescent="0.3">
      <c r="A19" s="11" t="s">
        <v>15</v>
      </c>
      <c r="B19" s="7">
        <v>23481.973518029554</v>
      </c>
      <c r="C19" s="7">
        <v>34806.094185431779</v>
      </c>
      <c r="D19" s="7">
        <v>24878.728561285629</v>
      </c>
      <c r="E19" s="7">
        <v>31010.31216849418</v>
      </c>
      <c r="F19" s="7">
        <v>26538.426150027626</v>
      </c>
      <c r="G19" s="7">
        <v>32151.425735126773</v>
      </c>
      <c r="H19" s="7">
        <v>33332.689146938828</v>
      </c>
      <c r="I19" s="7">
        <v>46164.79526960048</v>
      </c>
      <c r="J19" s="7">
        <v>48871.541758036561</v>
      </c>
      <c r="K19" s="7">
        <v>53327.923392144883</v>
      </c>
      <c r="L19" s="7">
        <v>59945.263765219643</v>
      </c>
      <c r="M19" s="7">
        <v>65630.886917189928</v>
      </c>
      <c r="N19" s="7">
        <v>74665.60922254702</v>
      </c>
      <c r="O19" s="7">
        <v>74193.713976117797</v>
      </c>
      <c r="P19" s="7">
        <v>80118.431838889999</v>
      </c>
      <c r="Q19" s="7">
        <v>68385.297935850016</v>
      </c>
      <c r="R19" s="7">
        <v>80491.023157399992</v>
      </c>
      <c r="S19" s="7">
        <v>87654.735792779975</v>
      </c>
      <c r="T19" s="7">
        <v>90422.622335109976</v>
      </c>
      <c r="U19" s="7">
        <v>106364.33420355998</v>
      </c>
      <c r="V19" s="7"/>
    </row>
    <row r="20" spans="1:22" ht="15" customHeight="1" x14ac:dyDescent="0.3">
      <c r="A20" s="11" t="s">
        <v>16</v>
      </c>
      <c r="B20" s="7">
        <v>1777.4608312210548</v>
      </c>
      <c r="C20" s="7">
        <v>2229.1156852463823</v>
      </c>
      <c r="D20" s="7">
        <v>2212.0937941957304</v>
      </c>
      <c r="E20" s="7">
        <v>2574.7338248899705</v>
      </c>
      <c r="F20" s="7">
        <v>2455.2435489570921</v>
      </c>
      <c r="G20" s="7">
        <v>3240.5072065945014</v>
      </c>
      <c r="H20" s="7">
        <v>3198.2742785820569</v>
      </c>
      <c r="I20" s="7">
        <v>3650.3326210458263</v>
      </c>
      <c r="J20" s="7">
        <v>4220.329659093989</v>
      </c>
      <c r="K20" s="7">
        <v>4496.4734376616188</v>
      </c>
      <c r="L20" s="7">
        <v>4836.0825916545928</v>
      </c>
      <c r="M20" s="7">
        <v>5260.5694390252884</v>
      </c>
      <c r="N20" s="7">
        <v>5754.470924969999</v>
      </c>
      <c r="O20" s="7">
        <v>6017.7493239399992</v>
      </c>
      <c r="P20" s="7">
        <v>6883.4458890100004</v>
      </c>
      <c r="Q20" s="7">
        <v>5218.0133461799987</v>
      </c>
      <c r="R20" s="7">
        <v>5871.0199315000018</v>
      </c>
      <c r="S20" s="7">
        <v>6583.4621522600009</v>
      </c>
      <c r="T20" s="7">
        <v>7501.4350323999961</v>
      </c>
      <c r="U20" s="7">
        <v>9097.5223242199972</v>
      </c>
      <c r="V20" s="7"/>
    </row>
    <row r="21" spans="1:22" ht="15" customHeight="1" x14ac:dyDescent="0.3">
      <c r="A21" s="11" t="s">
        <v>17</v>
      </c>
      <c r="B21" s="7">
        <v>3727.0328746948821</v>
      </c>
      <c r="C21" s="7">
        <v>7599.5128252309096</v>
      </c>
      <c r="D21" s="7">
        <v>9575.6044943800007</v>
      </c>
      <c r="E21" s="7">
        <v>10116.685441914684</v>
      </c>
      <c r="F21" s="7">
        <v>9320.4107296842139</v>
      </c>
      <c r="G21" s="7">
        <v>10350.478312426436</v>
      </c>
      <c r="H21" s="7">
        <v>9521.8400360376618</v>
      </c>
      <c r="I21" s="7">
        <v>22211.207139034384</v>
      </c>
      <c r="J21" s="7">
        <v>19242.235277095591</v>
      </c>
      <c r="K21" s="7">
        <v>22832.278906052208</v>
      </c>
      <c r="L21" s="7">
        <v>26224.820475602624</v>
      </c>
      <c r="M21" s="7">
        <v>30877.532282447799</v>
      </c>
      <c r="N21" s="7">
        <v>35931.006669140006</v>
      </c>
      <c r="O21" s="7">
        <v>40216.696886949998</v>
      </c>
      <c r="P21" s="7">
        <v>50546.433163130016</v>
      </c>
      <c r="Q21" s="7">
        <v>52896.156097399995</v>
      </c>
      <c r="R21" s="7">
        <v>67269.476315949971</v>
      </c>
      <c r="S21" s="7">
        <v>83402.696069230107</v>
      </c>
      <c r="T21" s="7">
        <v>73481.148750619992</v>
      </c>
      <c r="U21" s="7">
        <v>94123.058294360002</v>
      </c>
      <c r="V21" s="7"/>
    </row>
    <row r="22" spans="1:22" ht="15" customHeight="1" x14ac:dyDescent="0.3">
      <c r="A22" s="11" t="s">
        <v>18</v>
      </c>
      <c r="B22" s="7">
        <v>1739.9201782570119</v>
      </c>
      <c r="C22" s="7">
        <v>1997.9469004450798</v>
      </c>
      <c r="D22" s="7">
        <v>1919.96556713</v>
      </c>
      <c r="E22" s="7">
        <v>2051.1786544058627</v>
      </c>
      <c r="F22" s="7">
        <v>2114.3645558068524</v>
      </c>
      <c r="G22" s="7">
        <v>2173.7516994639782</v>
      </c>
      <c r="H22" s="7">
        <v>2308.1392358745757</v>
      </c>
      <c r="I22" s="7">
        <v>2661.151985979478</v>
      </c>
      <c r="J22" s="7">
        <v>3040.2797892556009</v>
      </c>
      <c r="K22" s="7">
        <v>3295.3023774434337</v>
      </c>
      <c r="L22" s="7">
        <v>3737.5004998344521</v>
      </c>
      <c r="M22" s="7">
        <v>4147.6373234611774</v>
      </c>
      <c r="N22" s="7">
        <v>4851.0324549099996</v>
      </c>
      <c r="O22" s="7">
        <v>5212.1735118243496</v>
      </c>
      <c r="P22" s="7">
        <v>5373.7118893199977</v>
      </c>
      <c r="Q22" s="7">
        <v>4561.4747404299997</v>
      </c>
      <c r="R22" s="7">
        <v>5366.0124013700015</v>
      </c>
      <c r="S22" s="7">
        <v>5707.7175772499986</v>
      </c>
      <c r="T22" s="7">
        <v>6579.1240254799995</v>
      </c>
      <c r="U22" s="7">
        <v>7861.382808620001</v>
      </c>
      <c r="V22" s="7"/>
    </row>
    <row r="23" spans="1:22" ht="18" customHeight="1" x14ac:dyDescent="0.3">
      <c r="A23" s="11" t="s">
        <v>19</v>
      </c>
      <c r="B23" s="7">
        <v>279628.58055331995</v>
      </c>
      <c r="C23" s="7">
        <v>331546.17790461006</v>
      </c>
      <c r="D23" s="7">
        <v>418502.64961498999</v>
      </c>
      <c r="E23" s="7">
        <v>402069.71578760992</v>
      </c>
      <c r="F23" s="7">
        <v>432315.96805424994</v>
      </c>
      <c r="G23" s="7">
        <v>448294.89370465005</v>
      </c>
      <c r="H23" s="7">
        <v>554910.89127591997</v>
      </c>
      <c r="I23" s="7">
        <v>631741.94472843001</v>
      </c>
      <c r="J23" s="7">
        <v>734512.66826653003</v>
      </c>
      <c r="K23" s="7">
        <v>797257.01023740007</v>
      </c>
      <c r="L23" s="7">
        <v>846465.77912887</v>
      </c>
      <c r="M23" s="7">
        <v>930240.08206455002</v>
      </c>
      <c r="N23" s="7">
        <v>1058500.41341748</v>
      </c>
      <c r="O23" s="7">
        <v>1245955.5945390002</v>
      </c>
      <c r="P23" s="7">
        <v>1374513.29162613</v>
      </c>
      <c r="Q23" s="7">
        <v>1219661.815055294</v>
      </c>
      <c r="R23" s="7">
        <v>1242694.8836521772</v>
      </c>
      <c r="S23" s="7">
        <v>1348726.9874285061</v>
      </c>
      <c r="T23" s="7">
        <v>1457388.9723425501</v>
      </c>
      <c r="U23" s="7">
        <v>1633772.7390993398</v>
      </c>
      <c r="V23" s="7"/>
    </row>
    <row r="24" spans="1:22" s="9" customFormat="1" ht="15" customHeight="1" x14ac:dyDescent="0.3">
      <c r="A24" s="3"/>
      <c r="B24" s="10"/>
      <c r="C24" s="10"/>
      <c r="D24" s="10"/>
      <c r="E24" s="10"/>
      <c r="F24" s="10"/>
      <c r="G24" s="10"/>
      <c r="H24" s="10"/>
      <c r="I24" s="10"/>
      <c r="J24" s="10"/>
      <c r="K24" s="10"/>
      <c r="L24" s="10"/>
      <c r="M24" s="10"/>
      <c r="N24" s="10"/>
      <c r="O24" s="10"/>
      <c r="P24" s="10"/>
      <c r="Q24" s="10"/>
      <c r="R24" s="10"/>
      <c r="S24" s="10"/>
      <c r="T24" s="10"/>
      <c r="U24" s="10"/>
      <c r="V24" s="10"/>
    </row>
    <row r="25" spans="1:22" s="9" customFormat="1" ht="15" customHeight="1" x14ac:dyDescent="0.25">
      <c r="A25" s="9" t="s">
        <v>20</v>
      </c>
      <c r="B25" s="10">
        <f>SUM(B26:B31)</f>
        <v>3529.5326505790763</v>
      </c>
      <c r="C25" s="10">
        <f t="shared" ref="C25:U25" si="1">SUM(C26:C31)</f>
        <v>2562.8857690342879</v>
      </c>
      <c r="D25" s="10">
        <f t="shared" si="1"/>
        <v>2930.3899034418569</v>
      </c>
      <c r="E25" s="10">
        <f t="shared" si="1"/>
        <v>3018.5168833467751</v>
      </c>
      <c r="F25" s="10">
        <f t="shared" si="1"/>
        <v>2560.5495647191524</v>
      </c>
      <c r="G25" s="10">
        <f t="shared" si="1"/>
        <v>3115.5548631390111</v>
      </c>
      <c r="H25" s="10">
        <f t="shared" si="1"/>
        <v>2940.8819581386338</v>
      </c>
      <c r="I25" s="10">
        <f t="shared" si="1"/>
        <v>3343.5553431149838</v>
      </c>
      <c r="J25" s="10">
        <f t="shared" si="1"/>
        <v>3717.2505170251661</v>
      </c>
      <c r="K25" s="10">
        <f t="shared" si="1"/>
        <v>4306.2579854289215</v>
      </c>
      <c r="L25" s="10">
        <f t="shared" si="1"/>
        <v>4870.0296527438531</v>
      </c>
      <c r="M25" s="10">
        <f t="shared" si="1"/>
        <v>5743.5295008565863</v>
      </c>
      <c r="N25" s="10">
        <f t="shared" si="1"/>
        <v>6708.7684798209993</v>
      </c>
      <c r="O25" s="10">
        <f t="shared" si="1"/>
        <v>5202.0999876320002</v>
      </c>
      <c r="P25" s="10">
        <f t="shared" si="1"/>
        <v>6440.3198532400002</v>
      </c>
      <c r="Q25" s="10">
        <f t="shared" si="1"/>
        <v>5184.5846618600008</v>
      </c>
      <c r="R25" s="10">
        <f t="shared" si="1"/>
        <v>6007.7136158900003</v>
      </c>
      <c r="S25" s="10">
        <f t="shared" si="1"/>
        <v>7613.4115362399998</v>
      </c>
      <c r="T25" s="10">
        <f t="shared" si="1"/>
        <v>10361.649540923001</v>
      </c>
      <c r="U25" s="10">
        <f t="shared" si="1"/>
        <v>10799.44817915</v>
      </c>
      <c r="V25" s="10"/>
    </row>
    <row r="26" spans="1:22" ht="15" customHeight="1" x14ac:dyDescent="0.3">
      <c r="A26" s="11" t="s">
        <v>21</v>
      </c>
      <c r="B26" s="7">
        <v>91.006538492164438</v>
      </c>
      <c r="C26" s="7">
        <v>98.317225901322985</v>
      </c>
      <c r="D26" s="7">
        <v>115.01085031967058</v>
      </c>
      <c r="E26" s="7">
        <v>125.52305222014576</v>
      </c>
      <c r="F26" s="7">
        <v>138.58720311628281</v>
      </c>
      <c r="G26" s="7">
        <v>203.54356761127835</v>
      </c>
      <c r="H26" s="7">
        <v>223.01827682546283</v>
      </c>
      <c r="I26" s="7">
        <v>229.23837746000683</v>
      </c>
      <c r="J26" s="7">
        <v>247.08901456260213</v>
      </c>
      <c r="K26" s="7">
        <v>240.88538718031535</v>
      </c>
      <c r="L26" s="7">
        <v>317.83718858304104</v>
      </c>
      <c r="M26" s="7">
        <v>436.6172135763739</v>
      </c>
      <c r="N26" s="7">
        <v>489.13652685</v>
      </c>
      <c r="O26" s="7">
        <v>355.95446950000002</v>
      </c>
      <c r="P26" s="7">
        <v>396.90805095999985</v>
      </c>
      <c r="Q26" s="7">
        <v>449.66861537</v>
      </c>
      <c r="R26" s="7">
        <v>523.90886349000004</v>
      </c>
      <c r="S26" s="7">
        <v>752.81023114000004</v>
      </c>
      <c r="T26" s="7">
        <v>1533.9440192899999</v>
      </c>
      <c r="U26" s="7">
        <v>1484.8399975700002</v>
      </c>
      <c r="V26" s="7"/>
    </row>
    <row r="27" spans="1:22" ht="15" customHeight="1" x14ac:dyDescent="0.3">
      <c r="A27" s="11" t="s">
        <v>22</v>
      </c>
      <c r="B27" s="7">
        <v>135.48867272104536</v>
      </c>
      <c r="C27" s="7">
        <v>143.83943647502045</v>
      </c>
      <c r="D27" s="7">
        <v>157.48261787046647</v>
      </c>
      <c r="E27" s="7">
        <v>166.90942661670312</v>
      </c>
      <c r="F27" s="7">
        <v>195.7888047534889</v>
      </c>
      <c r="G27" s="7">
        <v>263.43252821650964</v>
      </c>
      <c r="H27" s="7">
        <v>265.89416386959687</v>
      </c>
      <c r="I27" s="7">
        <v>330.05204694451965</v>
      </c>
      <c r="J27" s="7">
        <v>379.24839619103892</v>
      </c>
      <c r="K27" s="7">
        <v>364.87992235293757</v>
      </c>
      <c r="L27" s="7">
        <v>450.60309125586065</v>
      </c>
      <c r="M27" s="7">
        <v>564.98720212095805</v>
      </c>
      <c r="N27" s="7">
        <v>754.74031092000007</v>
      </c>
      <c r="O27" s="7">
        <v>513.65673823000009</v>
      </c>
      <c r="P27" s="7">
        <v>627.17077227000016</v>
      </c>
      <c r="Q27" s="7">
        <v>658.44825316999993</v>
      </c>
      <c r="R27" s="7">
        <v>733.40645405999999</v>
      </c>
      <c r="S27" s="7">
        <v>909.92089884000018</v>
      </c>
      <c r="T27" s="7">
        <v>1547.4140941599999</v>
      </c>
      <c r="U27" s="7">
        <v>1500.1960150299999</v>
      </c>
      <c r="V27" s="7"/>
    </row>
    <row r="28" spans="1:22" ht="15" customHeight="1" x14ac:dyDescent="0.3">
      <c r="A28" s="11" t="s">
        <v>23</v>
      </c>
      <c r="B28" s="7">
        <v>301.20698136414785</v>
      </c>
      <c r="C28" s="7">
        <v>362.03630246273622</v>
      </c>
      <c r="D28" s="7">
        <v>378.54630376788657</v>
      </c>
      <c r="E28" s="7">
        <v>357.8570621565176</v>
      </c>
      <c r="F28" s="7">
        <v>355.94954774365283</v>
      </c>
      <c r="G28" s="7">
        <v>462.60465551889831</v>
      </c>
      <c r="H28" s="7">
        <v>569.55229781444427</v>
      </c>
      <c r="I28" s="7">
        <v>670.22596192756225</v>
      </c>
      <c r="J28" s="7">
        <v>780.880050592771</v>
      </c>
      <c r="K28" s="7">
        <v>878.87145810652487</v>
      </c>
      <c r="L28" s="7">
        <v>816.96191791671333</v>
      </c>
      <c r="M28" s="7">
        <v>924.25715747038339</v>
      </c>
      <c r="N28" s="7">
        <v>996.52193684000019</v>
      </c>
      <c r="O28" s="7">
        <v>782.21449091199997</v>
      </c>
      <c r="P28" s="7">
        <v>972.71925015000011</v>
      </c>
      <c r="Q28" s="7">
        <v>818.46087738999984</v>
      </c>
      <c r="R28" s="7">
        <v>1061.94599453</v>
      </c>
      <c r="S28" s="7">
        <v>1291.1038958300001</v>
      </c>
      <c r="T28" s="7">
        <v>1481.0733860999999</v>
      </c>
      <c r="U28" s="7">
        <v>1875.4912475900003</v>
      </c>
      <c r="V28" s="7"/>
    </row>
    <row r="29" spans="1:22" ht="15" customHeight="1" x14ac:dyDescent="0.3">
      <c r="A29" s="11" t="s">
        <v>24</v>
      </c>
      <c r="B29" s="7">
        <v>73.126073281623277</v>
      </c>
      <c r="C29" s="7">
        <v>77.101085978361624</v>
      </c>
      <c r="D29" s="7">
        <v>244.40744464945013</v>
      </c>
      <c r="E29" s="7">
        <v>93.530019046215372</v>
      </c>
      <c r="F29" s="7">
        <v>93.000629970148964</v>
      </c>
      <c r="G29" s="7">
        <v>117.38557005406449</v>
      </c>
      <c r="H29" s="7">
        <v>142.7681225507535</v>
      </c>
      <c r="I29" s="7">
        <v>171.19607920372744</v>
      </c>
      <c r="J29" s="7">
        <v>174.25519487453116</v>
      </c>
      <c r="K29" s="7">
        <v>195.37875104271123</v>
      </c>
      <c r="L29" s="7">
        <v>228.87886979551544</v>
      </c>
      <c r="M29" s="7">
        <v>263.54952292093384</v>
      </c>
      <c r="N29" s="7">
        <v>335.76245798000002</v>
      </c>
      <c r="O29" s="7">
        <v>227.28277771999998</v>
      </c>
      <c r="P29" s="7">
        <v>271.90417952000001</v>
      </c>
      <c r="Q29" s="7">
        <v>316.47613063999995</v>
      </c>
      <c r="R29" s="7">
        <v>381.69512932000004</v>
      </c>
      <c r="S29" s="7">
        <v>421.66053701999994</v>
      </c>
      <c r="T29" s="7">
        <v>549.6466110099999</v>
      </c>
      <c r="U29" s="7">
        <v>539.68611782000005</v>
      </c>
      <c r="V29" s="7"/>
    </row>
    <row r="30" spans="1:22" ht="15" customHeight="1" x14ac:dyDescent="0.3">
      <c r="A30" s="11" t="s">
        <v>25</v>
      </c>
      <c r="B30" s="7">
        <v>81.898857553989444</v>
      </c>
      <c r="C30" s="7">
        <v>89.011068157640764</v>
      </c>
      <c r="D30" s="7">
        <v>96.239140959160423</v>
      </c>
      <c r="E30" s="7">
        <v>96.18959453710292</v>
      </c>
      <c r="F30" s="7">
        <v>105.31901903761369</v>
      </c>
      <c r="G30" s="7">
        <v>148.99273433941383</v>
      </c>
      <c r="H30" s="7">
        <v>145.32232959571971</v>
      </c>
      <c r="I30" s="7">
        <v>169.66931822689014</v>
      </c>
      <c r="J30" s="7">
        <v>207.05243446007734</v>
      </c>
      <c r="K30" s="7">
        <v>233.84847887429967</v>
      </c>
      <c r="L30" s="7">
        <v>222.69986972060886</v>
      </c>
      <c r="M30" s="7">
        <v>281.83918536847983</v>
      </c>
      <c r="N30" s="7">
        <v>356.596132501</v>
      </c>
      <c r="O30" s="7">
        <v>251.04188697999999</v>
      </c>
      <c r="P30" s="7">
        <v>277.56112502999997</v>
      </c>
      <c r="Q30" s="7">
        <v>282.70794272000001</v>
      </c>
      <c r="R30" s="7">
        <v>373.29011966000002</v>
      </c>
      <c r="S30" s="7">
        <v>447.58385390000001</v>
      </c>
      <c r="T30" s="7">
        <v>608.51315628299983</v>
      </c>
      <c r="U30" s="7">
        <v>645.98967263000009</v>
      </c>
      <c r="V30" s="7"/>
    </row>
    <row r="31" spans="1:22" ht="15" customHeight="1" x14ac:dyDescent="0.3">
      <c r="A31" s="11" t="s">
        <v>26</v>
      </c>
      <c r="B31" s="7">
        <v>2846.805527166106</v>
      </c>
      <c r="C31" s="7">
        <v>1792.5806500592059</v>
      </c>
      <c r="D31" s="7">
        <v>1938.7035458752227</v>
      </c>
      <c r="E31" s="7">
        <v>2178.5077287700901</v>
      </c>
      <c r="F31" s="7">
        <v>1671.9043600979653</v>
      </c>
      <c r="G31" s="7">
        <v>1919.5958073988465</v>
      </c>
      <c r="H31" s="7">
        <v>1594.3267674826564</v>
      </c>
      <c r="I31" s="7">
        <v>1773.1735593522776</v>
      </c>
      <c r="J31" s="7">
        <v>1928.7254263441453</v>
      </c>
      <c r="K31" s="7">
        <v>2392.393987872133</v>
      </c>
      <c r="L31" s="7">
        <v>2833.0487154721141</v>
      </c>
      <c r="M31" s="7">
        <v>3272.2792193994569</v>
      </c>
      <c r="N31" s="7">
        <v>3776.0111147299995</v>
      </c>
      <c r="O31" s="7">
        <v>3071.94962429</v>
      </c>
      <c r="P31" s="7">
        <v>3894.0564753100002</v>
      </c>
      <c r="Q31" s="7">
        <v>2658.8228425700004</v>
      </c>
      <c r="R31" s="7">
        <v>2933.4670548300001</v>
      </c>
      <c r="S31" s="7">
        <v>3790.3321195099993</v>
      </c>
      <c r="T31" s="7">
        <v>4641.05827408</v>
      </c>
      <c r="U31" s="7">
        <v>4753.2451285099987</v>
      </c>
      <c r="V31" s="7"/>
    </row>
    <row r="32" spans="1:22" s="9" customFormat="1" ht="15" customHeight="1" x14ac:dyDescent="0.3">
      <c r="A32" s="3"/>
      <c r="B32" s="10"/>
      <c r="C32" s="10"/>
      <c r="D32" s="10"/>
      <c r="E32" s="10"/>
      <c r="F32" s="10"/>
      <c r="G32" s="10"/>
      <c r="H32" s="10"/>
      <c r="I32" s="10"/>
      <c r="J32" s="10"/>
      <c r="K32" s="10"/>
      <c r="L32" s="10"/>
      <c r="M32" s="10"/>
      <c r="N32" s="10"/>
      <c r="O32" s="10"/>
      <c r="P32" s="10"/>
      <c r="Q32" s="10"/>
      <c r="R32" s="10"/>
      <c r="S32" s="10"/>
      <c r="T32" s="10"/>
      <c r="U32" s="10"/>
      <c r="V32" s="10"/>
    </row>
    <row r="33" spans="1:22" s="9" customFormat="1" ht="15" customHeight="1" x14ac:dyDescent="0.25">
      <c r="A33" s="9" t="s">
        <v>27</v>
      </c>
      <c r="B33" s="10">
        <f>SUM(B34:B37)</f>
        <v>4409.1627127339352</v>
      </c>
      <c r="C33" s="10">
        <f t="shared" ref="C33:U33" si="2">SUM(C34:C37)</f>
        <v>6063.6259095869</v>
      </c>
      <c r="D33" s="10">
        <f t="shared" si="2"/>
        <v>4123.1265636738226</v>
      </c>
      <c r="E33" s="10">
        <f t="shared" si="2"/>
        <v>4444.0104327622012</v>
      </c>
      <c r="F33" s="10">
        <f t="shared" si="2"/>
        <v>4667.8839557580213</v>
      </c>
      <c r="G33" s="10">
        <f t="shared" si="2"/>
        <v>5825.2988538189629</v>
      </c>
      <c r="H33" s="10">
        <f t="shared" si="2"/>
        <v>6136.0240486090261</v>
      </c>
      <c r="I33" s="10">
        <f t="shared" si="2"/>
        <v>7146.0875903216711</v>
      </c>
      <c r="J33" s="10">
        <f t="shared" si="2"/>
        <v>8036.6492482082504</v>
      </c>
      <c r="K33" s="10">
        <f t="shared" si="2"/>
        <v>8855.4604161177431</v>
      </c>
      <c r="L33" s="10">
        <f t="shared" si="2"/>
        <v>9857.5267560178108</v>
      </c>
      <c r="M33" s="10">
        <f t="shared" si="2"/>
        <v>11942.962520616231</v>
      </c>
      <c r="N33" s="10">
        <f t="shared" si="2"/>
        <v>14688.615622759999</v>
      </c>
      <c r="O33" s="10">
        <f t="shared" si="2"/>
        <v>12477.276095169998</v>
      </c>
      <c r="P33" s="10">
        <f t="shared" si="2"/>
        <v>14084.04882731</v>
      </c>
      <c r="Q33" s="10">
        <f t="shared" si="2"/>
        <v>12806.947861059998</v>
      </c>
      <c r="R33" s="10">
        <f t="shared" si="2"/>
        <v>14010.155764139998</v>
      </c>
      <c r="S33" s="10">
        <f t="shared" si="2"/>
        <v>16990.990124060001</v>
      </c>
      <c r="T33" s="10">
        <f t="shared" si="2"/>
        <v>19332.550342689996</v>
      </c>
      <c r="U33" s="10">
        <f t="shared" si="2"/>
        <v>23651.556864994</v>
      </c>
      <c r="V33" s="10"/>
    </row>
    <row r="34" spans="1:22" ht="15" customHeight="1" x14ac:dyDescent="0.3">
      <c r="A34" s="11" t="s">
        <v>28</v>
      </c>
      <c r="B34" s="7">
        <v>475.35354380514781</v>
      </c>
      <c r="C34" s="7">
        <v>535.14603273669445</v>
      </c>
      <c r="D34" s="7">
        <v>568.8488009762408</v>
      </c>
      <c r="E34" s="7">
        <v>542.43102456765382</v>
      </c>
      <c r="F34" s="7">
        <v>586.01312778051124</v>
      </c>
      <c r="G34" s="7">
        <v>747.23319421914857</v>
      </c>
      <c r="H34" s="7">
        <v>804.06175625890478</v>
      </c>
      <c r="I34" s="7">
        <v>956.48165389016685</v>
      </c>
      <c r="J34" s="7">
        <v>1077.4464971261493</v>
      </c>
      <c r="K34" s="7">
        <v>1225.0752140197742</v>
      </c>
      <c r="L34" s="7">
        <v>1391.1323439990567</v>
      </c>
      <c r="M34" s="7">
        <v>1629.8473919479127</v>
      </c>
      <c r="N34" s="7">
        <v>1890.3803476300002</v>
      </c>
      <c r="O34" s="7">
        <v>1505.6461682499996</v>
      </c>
      <c r="P34" s="7">
        <v>1819.5343917300006</v>
      </c>
      <c r="Q34" s="7">
        <v>1733.7349582700006</v>
      </c>
      <c r="R34" s="7">
        <v>1809.2590104799999</v>
      </c>
      <c r="S34" s="7">
        <v>2171.1629476200001</v>
      </c>
      <c r="T34" s="7">
        <v>3238.8289075299999</v>
      </c>
      <c r="U34" s="7">
        <v>3569.0558379039994</v>
      </c>
      <c r="V34" s="7"/>
    </row>
    <row r="35" spans="1:22" ht="15" customHeight="1" x14ac:dyDescent="0.3">
      <c r="A35" s="11" t="s">
        <v>29</v>
      </c>
      <c r="B35" s="7">
        <v>516.51500303475132</v>
      </c>
      <c r="C35" s="7">
        <v>643.65954267432323</v>
      </c>
      <c r="D35" s="7">
        <v>614.78390830036301</v>
      </c>
      <c r="E35" s="7">
        <v>711.69078194497934</v>
      </c>
      <c r="F35" s="7">
        <v>726.58107433397777</v>
      </c>
      <c r="G35" s="7">
        <v>945.2744389782531</v>
      </c>
      <c r="H35" s="7">
        <v>907.01120044083757</v>
      </c>
      <c r="I35" s="7">
        <v>1018.1440458838451</v>
      </c>
      <c r="J35" s="7">
        <v>1091.8456830000048</v>
      </c>
      <c r="K35" s="7">
        <v>1209.4642003237909</v>
      </c>
      <c r="L35" s="7">
        <v>1293.1407152520781</v>
      </c>
      <c r="M35" s="7">
        <v>1589.7581043209461</v>
      </c>
      <c r="N35" s="7">
        <v>1937.9261742099998</v>
      </c>
      <c r="O35" s="7">
        <v>1792.4765263299996</v>
      </c>
      <c r="P35" s="7">
        <v>1966.0381598599995</v>
      </c>
      <c r="Q35" s="7">
        <v>1874.31324307</v>
      </c>
      <c r="R35" s="7">
        <v>2006.5601347899997</v>
      </c>
      <c r="S35" s="7">
        <v>2537.7372485299993</v>
      </c>
      <c r="T35" s="7">
        <v>2800.8121336900003</v>
      </c>
      <c r="U35" s="7">
        <v>3384.4211890200004</v>
      </c>
      <c r="V35" s="7"/>
    </row>
    <row r="36" spans="1:22" ht="15" customHeight="1" x14ac:dyDescent="0.3">
      <c r="A36" s="11" t="s">
        <v>30</v>
      </c>
      <c r="B36" s="7">
        <v>720.12078105785361</v>
      </c>
      <c r="C36" s="7">
        <v>794.7516186909628</v>
      </c>
      <c r="D36" s="7">
        <v>839.10773959936216</v>
      </c>
      <c r="E36" s="7">
        <v>890.09183098835786</v>
      </c>
      <c r="F36" s="7">
        <v>877.74174922731277</v>
      </c>
      <c r="G36" s="7">
        <v>1117.6449227576738</v>
      </c>
      <c r="H36" s="7">
        <v>1214.5078986850835</v>
      </c>
      <c r="I36" s="7">
        <v>1477.9750291307316</v>
      </c>
      <c r="J36" s="7">
        <v>1760.7954780477278</v>
      </c>
      <c r="K36" s="7">
        <v>1871.9332478942606</v>
      </c>
      <c r="L36" s="7">
        <v>2131.3152405155724</v>
      </c>
      <c r="M36" s="7">
        <v>2725.1747184110468</v>
      </c>
      <c r="N36" s="7">
        <v>3360.5176090099994</v>
      </c>
      <c r="O36" s="7">
        <v>2574.6230767299999</v>
      </c>
      <c r="P36" s="7">
        <v>2818.7597748899998</v>
      </c>
      <c r="Q36" s="7">
        <v>2664.2593033399985</v>
      </c>
      <c r="R36" s="7">
        <v>2872.9505150999994</v>
      </c>
      <c r="S36" s="7">
        <v>3527.88059772</v>
      </c>
      <c r="T36" s="7">
        <v>4580.3481149299987</v>
      </c>
      <c r="U36" s="7">
        <v>5745.7496103000003</v>
      </c>
      <c r="V36" s="7"/>
    </row>
    <row r="37" spans="1:22" ht="15" customHeight="1" x14ac:dyDescent="0.3">
      <c r="A37" s="11" t="s">
        <v>31</v>
      </c>
      <c r="B37" s="7">
        <v>2697.1733848361823</v>
      </c>
      <c r="C37" s="7">
        <v>4090.0687154849193</v>
      </c>
      <c r="D37" s="7">
        <v>2100.3861147978569</v>
      </c>
      <c r="E37" s="7">
        <v>2299.7967952612098</v>
      </c>
      <c r="F37" s="7">
        <v>2477.5480044162196</v>
      </c>
      <c r="G37" s="7">
        <v>3015.1462978638874</v>
      </c>
      <c r="H37" s="7">
        <v>3210.4431932241996</v>
      </c>
      <c r="I37" s="7">
        <v>3693.4868614169272</v>
      </c>
      <c r="J37" s="7">
        <v>4106.5615900343682</v>
      </c>
      <c r="K37" s="7">
        <v>4548.9877538799174</v>
      </c>
      <c r="L37" s="7">
        <v>5041.9384562511032</v>
      </c>
      <c r="M37" s="7">
        <v>5998.1823059363251</v>
      </c>
      <c r="N37" s="7">
        <v>7499.7914919099994</v>
      </c>
      <c r="O37" s="7">
        <v>6604.530323859999</v>
      </c>
      <c r="P37" s="7">
        <v>7479.7165008299999</v>
      </c>
      <c r="Q37" s="7">
        <v>6534.6403563799995</v>
      </c>
      <c r="R37" s="7">
        <v>7321.386103769999</v>
      </c>
      <c r="S37" s="7">
        <v>8754.2093301900004</v>
      </c>
      <c r="T37" s="7">
        <v>8712.5611865399987</v>
      </c>
      <c r="U37" s="7">
        <v>10952.330227769999</v>
      </c>
      <c r="V37" s="7"/>
    </row>
    <row r="38" spans="1:22" s="9" customFormat="1" ht="15" customHeight="1" x14ac:dyDescent="0.3">
      <c r="A38" s="3"/>
      <c r="B38" s="10"/>
      <c r="C38" s="10"/>
      <c r="D38" s="10"/>
      <c r="E38" s="10"/>
      <c r="F38" s="10"/>
      <c r="G38" s="10"/>
      <c r="H38" s="10"/>
      <c r="I38" s="10"/>
      <c r="J38" s="10"/>
      <c r="K38" s="10"/>
      <c r="L38" s="10"/>
      <c r="M38" s="10"/>
      <c r="N38" s="10"/>
      <c r="O38" s="10"/>
      <c r="P38" s="10"/>
      <c r="Q38" s="10"/>
      <c r="R38" s="10"/>
      <c r="S38" s="10"/>
      <c r="T38" s="10"/>
      <c r="U38" s="10"/>
      <c r="V38" s="10"/>
    </row>
    <row r="39" spans="1:22" s="9" customFormat="1" ht="15" customHeight="1" x14ac:dyDescent="0.25">
      <c r="A39" s="9" t="s">
        <v>32</v>
      </c>
      <c r="B39" s="10">
        <f>SUM(B40:B43)</f>
        <v>1589.1062068008564</v>
      </c>
      <c r="C39" s="10">
        <f t="shared" ref="C39:U39" si="3">SUM(C40:C43)</f>
        <v>1778.6772172243532</v>
      </c>
      <c r="D39" s="10">
        <f t="shared" si="3"/>
        <v>2111.2088599049257</v>
      </c>
      <c r="E39" s="10">
        <f t="shared" si="3"/>
        <v>2367.2310415465254</v>
      </c>
      <c r="F39" s="10">
        <f t="shared" si="3"/>
        <v>2558.3911824788352</v>
      </c>
      <c r="G39" s="10">
        <f t="shared" si="3"/>
        <v>3297.7759178828942</v>
      </c>
      <c r="H39" s="10">
        <f t="shared" si="3"/>
        <v>3656.4096280576941</v>
      </c>
      <c r="I39" s="10">
        <f t="shared" si="3"/>
        <v>4525.1322710809227</v>
      </c>
      <c r="J39" s="10">
        <f t="shared" si="3"/>
        <v>5769.6540795635829</v>
      </c>
      <c r="K39" s="10">
        <f t="shared" si="3"/>
        <v>6496.7112805099787</v>
      </c>
      <c r="L39" s="10">
        <f t="shared" si="3"/>
        <v>7588.2150348703572</v>
      </c>
      <c r="M39" s="10">
        <f t="shared" si="3"/>
        <v>8936.1642868117178</v>
      </c>
      <c r="N39" s="10">
        <f t="shared" si="3"/>
        <v>9958.746775100004</v>
      </c>
      <c r="O39" s="10">
        <f t="shared" si="3"/>
        <v>8283.2360591399993</v>
      </c>
      <c r="P39" s="10">
        <f t="shared" si="3"/>
        <v>8859.7474931700017</v>
      </c>
      <c r="Q39" s="10">
        <f t="shared" si="3"/>
        <v>8331.9922138999991</v>
      </c>
      <c r="R39" s="10">
        <f t="shared" si="3"/>
        <v>9078.221458330001</v>
      </c>
      <c r="S39" s="10">
        <f t="shared" si="3"/>
        <v>10315.083572879999</v>
      </c>
      <c r="T39" s="10">
        <f t="shared" si="3"/>
        <v>12954.125680839998</v>
      </c>
      <c r="U39" s="10">
        <f t="shared" si="3"/>
        <v>14877.758834939999</v>
      </c>
      <c r="V39" s="10"/>
    </row>
    <row r="40" spans="1:22" ht="15" customHeight="1" x14ac:dyDescent="0.3">
      <c r="A40" s="11" t="s">
        <v>33</v>
      </c>
      <c r="B40" s="7">
        <v>631.46946211955708</v>
      </c>
      <c r="C40" s="7">
        <v>702.6762567086223</v>
      </c>
      <c r="D40" s="7">
        <v>802.63045714777661</v>
      </c>
      <c r="E40" s="7">
        <v>972.65868496173186</v>
      </c>
      <c r="F40" s="7">
        <v>1076.9784346793047</v>
      </c>
      <c r="G40" s="7">
        <v>1344.1025426163983</v>
      </c>
      <c r="H40" s="7">
        <v>1477.8717726103403</v>
      </c>
      <c r="I40" s="7">
        <v>1913.4822472647948</v>
      </c>
      <c r="J40" s="7">
        <v>2559.7543014316316</v>
      </c>
      <c r="K40" s="7">
        <v>3100.5458913289144</v>
      </c>
      <c r="L40" s="7">
        <v>3754.434118979801</v>
      </c>
      <c r="M40" s="7">
        <v>4482.7155055636713</v>
      </c>
      <c r="N40" s="7">
        <v>5044.8280624000008</v>
      </c>
      <c r="O40" s="7">
        <v>3369.6460834299992</v>
      </c>
      <c r="P40" s="7">
        <v>3945.2993594700001</v>
      </c>
      <c r="Q40" s="7">
        <v>3407.1823604199999</v>
      </c>
      <c r="R40" s="7">
        <v>3418.7709863699997</v>
      </c>
      <c r="S40" s="7">
        <v>3906.6359147299995</v>
      </c>
      <c r="T40" s="7">
        <v>5074.7606449899995</v>
      </c>
      <c r="U40" s="7">
        <v>5444.8349505099995</v>
      </c>
      <c r="V40" s="7"/>
    </row>
    <row r="41" spans="1:22" ht="15" customHeight="1" x14ac:dyDescent="0.3">
      <c r="A41" s="11" t="s">
        <v>34</v>
      </c>
      <c r="B41" s="7">
        <v>646.79638036487484</v>
      </c>
      <c r="C41" s="7">
        <v>736.25367454199943</v>
      </c>
      <c r="D41" s="7">
        <v>939.0659621484765</v>
      </c>
      <c r="E41" s="7">
        <v>996.30605102101583</v>
      </c>
      <c r="F41" s="7">
        <v>1001.5972202943404</v>
      </c>
      <c r="G41" s="7">
        <v>1283.5783739492369</v>
      </c>
      <c r="H41" s="7">
        <v>1554.732591499919</v>
      </c>
      <c r="I41" s="7">
        <v>1870.5499028203994</v>
      </c>
      <c r="J41" s="7">
        <v>2223.9353927618899</v>
      </c>
      <c r="K41" s="7">
        <v>2454.4878086594845</v>
      </c>
      <c r="L41" s="7">
        <v>2805.521411681359</v>
      </c>
      <c r="M41" s="7">
        <v>3248.3510246346295</v>
      </c>
      <c r="N41" s="7">
        <v>3417.3656279000006</v>
      </c>
      <c r="O41" s="7">
        <v>3800.7479574199997</v>
      </c>
      <c r="P41" s="7">
        <v>3582.5393674300003</v>
      </c>
      <c r="Q41" s="7">
        <v>3631.7393617099997</v>
      </c>
      <c r="R41" s="7">
        <v>4159.4093103800005</v>
      </c>
      <c r="S41" s="7">
        <v>4671.7376397699991</v>
      </c>
      <c r="T41" s="7">
        <v>5559.0908246299987</v>
      </c>
      <c r="U41" s="7">
        <v>6838.3450547199991</v>
      </c>
      <c r="V41" s="7"/>
    </row>
    <row r="42" spans="1:22" ht="15" customHeight="1" x14ac:dyDescent="0.3">
      <c r="A42" s="11" t="s">
        <v>35</v>
      </c>
      <c r="B42" s="7">
        <v>235.85444024967128</v>
      </c>
      <c r="C42" s="7">
        <v>265.52903590955572</v>
      </c>
      <c r="D42" s="7">
        <v>276.70228124072554</v>
      </c>
      <c r="E42" s="7">
        <v>294.72770105145412</v>
      </c>
      <c r="F42" s="7">
        <v>340.18152731438738</v>
      </c>
      <c r="G42" s="7">
        <v>415.21640298935102</v>
      </c>
      <c r="H42" s="7">
        <v>459.27305032651731</v>
      </c>
      <c r="I42" s="7">
        <v>540.94014448974008</v>
      </c>
      <c r="J42" s="7">
        <v>773.12760433729954</v>
      </c>
      <c r="K42" s="7">
        <v>714.75684992718027</v>
      </c>
      <c r="L42" s="7">
        <v>779.81048135266326</v>
      </c>
      <c r="M42" s="7">
        <v>903.81486725692719</v>
      </c>
      <c r="N42" s="7">
        <v>1100.6127735</v>
      </c>
      <c r="O42" s="7">
        <v>831.42337003000011</v>
      </c>
      <c r="P42" s="7">
        <v>1020.7191937099999</v>
      </c>
      <c r="Q42" s="7">
        <v>980.93902190000006</v>
      </c>
      <c r="R42" s="7">
        <v>1135.97790285</v>
      </c>
      <c r="S42" s="7">
        <v>1375.9215924100001</v>
      </c>
      <c r="T42" s="7">
        <v>1774.4289639799997</v>
      </c>
      <c r="U42" s="7">
        <v>1952.7838484300005</v>
      </c>
      <c r="V42" s="7"/>
    </row>
    <row r="43" spans="1:22" ht="15" customHeight="1" x14ac:dyDescent="0.3">
      <c r="A43" s="11" t="s">
        <v>36</v>
      </c>
      <c r="B43" s="7">
        <v>74.985924066753171</v>
      </c>
      <c r="C43" s="7">
        <v>74.218250064175677</v>
      </c>
      <c r="D43" s="7">
        <v>92.810159367947037</v>
      </c>
      <c r="E43" s="7">
        <v>103.53860451232363</v>
      </c>
      <c r="F43" s="7">
        <v>139.63400019080254</v>
      </c>
      <c r="G43" s="7">
        <v>254.87859832790812</v>
      </c>
      <c r="H43" s="7">
        <v>164.53221362091759</v>
      </c>
      <c r="I43" s="7">
        <v>200.15997650598834</v>
      </c>
      <c r="J43" s="7">
        <v>212.83678103276188</v>
      </c>
      <c r="K43" s="7">
        <v>226.92073059440023</v>
      </c>
      <c r="L43" s="7">
        <v>248.4490228565337</v>
      </c>
      <c r="M43" s="7">
        <v>301.28288935648868</v>
      </c>
      <c r="N43" s="7">
        <v>395.94031130000002</v>
      </c>
      <c r="O43" s="7">
        <v>281.41864826</v>
      </c>
      <c r="P43" s="7">
        <v>311.18957255999999</v>
      </c>
      <c r="Q43" s="7">
        <v>312.13146986999999</v>
      </c>
      <c r="R43" s="7">
        <v>364.06325873000009</v>
      </c>
      <c r="S43" s="7">
        <v>360.78842597000011</v>
      </c>
      <c r="T43" s="7">
        <v>545.84524724000005</v>
      </c>
      <c r="U43" s="7">
        <v>641.79498127999989</v>
      </c>
      <c r="V43" s="7"/>
    </row>
    <row r="44" spans="1:22" s="9" customFormat="1" ht="15" customHeight="1" x14ac:dyDescent="0.3">
      <c r="A44" s="3"/>
      <c r="B44" s="10"/>
      <c r="C44" s="10"/>
      <c r="D44" s="10"/>
      <c r="E44" s="10"/>
      <c r="F44" s="10"/>
      <c r="G44" s="10"/>
      <c r="H44" s="10"/>
      <c r="I44" s="10"/>
      <c r="J44" s="10"/>
      <c r="K44" s="10"/>
      <c r="L44" s="10"/>
      <c r="M44" s="10"/>
      <c r="N44" s="10"/>
      <c r="O44" s="10"/>
      <c r="P44" s="10"/>
      <c r="Q44" s="10"/>
      <c r="R44" s="10"/>
      <c r="S44" s="10"/>
      <c r="T44" s="10"/>
      <c r="U44" s="10"/>
      <c r="V44" s="10"/>
    </row>
    <row r="45" spans="1:22" s="9" customFormat="1" ht="15" customHeight="1" x14ac:dyDescent="0.25">
      <c r="A45" s="9" t="s">
        <v>37</v>
      </c>
      <c r="B45" s="10">
        <f>SUM(B46:B54)</f>
        <v>10171.433041662032</v>
      </c>
      <c r="C45" s="10">
        <f t="shared" ref="C45:U45" si="4">SUM(C46:C54)</f>
        <v>12106.992913849876</v>
      </c>
      <c r="D45" s="10">
        <f t="shared" si="4"/>
        <v>12865.727025500262</v>
      </c>
      <c r="E45" s="10">
        <f t="shared" si="4"/>
        <v>14222.830999316799</v>
      </c>
      <c r="F45" s="10">
        <f t="shared" si="4"/>
        <v>14110.532401670054</v>
      </c>
      <c r="G45" s="10">
        <f t="shared" si="4"/>
        <v>18285.226588427424</v>
      </c>
      <c r="H45" s="10">
        <f t="shared" si="4"/>
        <v>16981.432210378654</v>
      </c>
      <c r="I45" s="10">
        <f t="shared" si="4"/>
        <v>20619.699991173115</v>
      </c>
      <c r="J45" s="10">
        <f t="shared" si="4"/>
        <v>25005.285868290335</v>
      </c>
      <c r="K45" s="10">
        <f t="shared" si="4"/>
        <v>29142.988495123776</v>
      </c>
      <c r="L45" s="10">
        <f t="shared" si="4"/>
        <v>30971.062107996349</v>
      </c>
      <c r="M45" s="10">
        <f t="shared" si="4"/>
        <v>35816.361409697703</v>
      </c>
      <c r="N45" s="10">
        <f t="shared" si="4"/>
        <v>43323.663386280001</v>
      </c>
      <c r="O45" s="10">
        <f t="shared" si="4"/>
        <v>40104.491859966343</v>
      </c>
      <c r="P45" s="10">
        <f t="shared" si="4"/>
        <v>46293.305314740006</v>
      </c>
      <c r="Q45" s="10">
        <f t="shared" si="4"/>
        <v>40860.564170500002</v>
      </c>
      <c r="R45" s="10">
        <f t="shared" si="4"/>
        <v>50945.633392579999</v>
      </c>
      <c r="S45" s="10">
        <f t="shared" si="4"/>
        <v>64633.447771200008</v>
      </c>
      <c r="T45" s="10">
        <f t="shared" si="4"/>
        <v>67239.464395989999</v>
      </c>
      <c r="U45" s="10">
        <f t="shared" si="4"/>
        <v>83216.527751649977</v>
      </c>
      <c r="V45" s="10"/>
    </row>
    <row r="46" spans="1:22" ht="15" customHeight="1" x14ac:dyDescent="0.3">
      <c r="A46" s="11" t="s">
        <v>38</v>
      </c>
      <c r="B46" s="7">
        <v>93.341598602663382</v>
      </c>
      <c r="C46" s="7">
        <v>101.85460004118693</v>
      </c>
      <c r="D46" s="7">
        <v>120.39374664437926</v>
      </c>
      <c r="E46" s="7">
        <v>129.77090387605992</v>
      </c>
      <c r="F46" s="7">
        <v>137.37776868282887</v>
      </c>
      <c r="G46" s="7">
        <v>177.84453324165017</v>
      </c>
      <c r="H46" s="7">
        <v>169.04716415582621</v>
      </c>
      <c r="I46" s="7">
        <v>197.52104732207567</v>
      </c>
      <c r="J46" s="7">
        <v>226.18121160480857</v>
      </c>
      <c r="K46" s="7">
        <v>233.16353661916796</v>
      </c>
      <c r="L46" s="7">
        <v>273.18292712859602</v>
      </c>
      <c r="M46" s="7">
        <v>344.09109658433709</v>
      </c>
      <c r="N46" s="7">
        <v>413.47274253</v>
      </c>
      <c r="O46" s="7">
        <v>323.18285219999996</v>
      </c>
      <c r="P46" s="7">
        <v>347.64536293999993</v>
      </c>
      <c r="Q46" s="7">
        <v>322.77768247999995</v>
      </c>
      <c r="R46" s="7">
        <v>403.99988329000001</v>
      </c>
      <c r="S46" s="7">
        <v>472.16483757999998</v>
      </c>
      <c r="T46" s="7">
        <v>815.00251613</v>
      </c>
      <c r="U46" s="7">
        <v>828.75067574000002</v>
      </c>
      <c r="V46" s="7"/>
    </row>
    <row r="47" spans="1:22" ht="15" customHeight="1" x14ac:dyDescent="0.3">
      <c r="A47" s="11" t="s">
        <v>39</v>
      </c>
      <c r="B47" s="7">
        <v>698.53469617860537</v>
      </c>
      <c r="C47" s="7">
        <v>756.88608762760748</v>
      </c>
      <c r="D47" s="7">
        <v>809.52003205636288</v>
      </c>
      <c r="E47" s="7">
        <v>838.49468196490091</v>
      </c>
      <c r="F47" s="7">
        <v>748.92746225623841</v>
      </c>
      <c r="G47" s="7">
        <v>1117.783535842306</v>
      </c>
      <c r="H47" s="7">
        <v>1231.7197674664853</v>
      </c>
      <c r="I47" s="7">
        <v>1445.4281910645825</v>
      </c>
      <c r="J47" s="7">
        <v>2811.27180366638</v>
      </c>
      <c r="K47" s="7">
        <v>1913.4284948042207</v>
      </c>
      <c r="L47" s="7">
        <v>2062.6598926577094</v>
      </c>
      <c r="M47" s="7">
        <v>2536.8622455440996</v>
      </c>
      <c r="N47" s="7">
        <v>4692.0651468999986</v>
      </c>
      <c r="O47" s="7">
        <v>2905.5955375453495</v>
      </c>
      <c r="P47" s="7">
        <v>3651.2626554099993</v>
      </c>
      <c r="Q47" s="7">
        <v>3170.6973980299999</v>
      </c>
      <c r="R47" s="7">
        <v>3847.6088882600006</v>
      </c>
      <c r="S47" s="7">
        <v>4773.8404426499983</v>
      </c>
      <c r="T47" s="7">
        <v>5016.6789354799994</v>
      </c>
      <c r="U47" s="7">
        <v>5745.5360462600001</v>
      </c>
      <c r="V47" s="7"/>
    </row>
    <row r="48" spans="1:22" ht="15" customHeight="1" x14ac:dyDescent="0.3">
      <c r="A48" s="11" t="s">
        <v>40</v>
      </c>
      <c r="B48" s="7">
        <v>2636.8438335231444</v>
      </c>
      <c r="C48" s="7">
        <v>2929.428116076992</v>
      </c>
      <c r="D48" s="7">
        <v>2756.3754643599996</v>
      </c>
      <c r="E48" s="7">
        <v>3358.3505094907932</v>
      </c>
      <c r="F48" s="7">
        <v>3284.046411221716</v>
      </c>
      <c r="G48" s="7">
        <v>4170.5403699188128</v>
      </c>
      <c r="H48" s="7">
        <v>4368.2015893140724</v>
      </c>
      <c r="I48" s="7">
        <v>5461.7175403280316</v>
      </c>
      <c r="J48" s="7">
        <v>6787.9384595375677</v>
      </c>
      <c r="K48" s="7">
        <v>8590.3749909411908</v>
      </c>
      <c r="L48" s="7">
        <v>8894.9727238680607</v>
      </c>
      <c r="M48" s="7">
        <v>9729.9834781814025</v>
      </c>
      <c r="N48" s="7">
        <v>11871.407553209998</v>
      </c>
      <c r="O48" s="7">
        <v>11764.044478605199</v>
      </c>
      <c r="P48" s="7">
        <v>13285.188608480003</v>
      </c>
      <c r="Q48" s="7">
        <v>10948.985536479999</v>
      </c>
      <c r="R48" s="7">
        <v>13242.484942470001</v>
      </c>
      <c r="S48" s="7">
        <v>15833.671750450001</v>
      </c>
      <c r="T48" s="7">
        <v>17572.383688059999</v>
      </c>
      <c r="U48" s="7">
        <v>20501.065535529997</v>
      </c>
      <c r="V48" s="7"/>
    </row>
    <row r="49" spans="1:22" ht="15" customHeight="1" x14ac:dyDescent="0.3">
      <c r="A49" s="11" t="s">
        <v>41</v>
      </c>
      <c r="B49" s="7">
        <v>962.61343820124625</v>
      </c>
      <c r="C49" s="7">
        <v>1088.5258722537574</v>
      </c>
      <c r="D49" s="7">
        <v>1286.3994462917613</v>
      </c>
      <c r="E49" s="7">
        <v>1351.7871968377301</v>
      </c>
      <c r="F49" s="7">
        <v>1495.422880808087</v>
      </c>
      <c r="G49" s="7">
        <v>1906.8894006445771</v>
      </c>
      <c r="H49" s="7">
        <v>2091.5673453053523</v>
      </c>
      <c r="I49" s="7">
        <v>2350.3451233355709</v>
      </c>
      <c r="J49" s="7">
        <v>2570.3249727604384</v>
      </c>
      <c r="K49" s="7">
        <v>2995.2911425663233</v>
      </c>
      <c r="L49" s="7">
        <v>3325.2922867455404</v>
      </c>
      <c r="M49" s="7">
        <v>3861.1087023393784</v>
      </c>
      <c r="N49" s="7">
        <v>4586.8888794800005</v>
      </c>
      <c r="O49" s="7">
        <v>3897.6602624701</v>
      </c>
      <c r="P49" s="7">
        <v>4315.8722809599994</v>
      </c>
      <c r="Q49" s="7">
        <v>4142.4848100599993</v>
      </c>
      <c r="R49" s="7">
        <v>5162.9025171399999</v>
      </c>
      <c r="S49" s="7">
        <v>6750.3739838700003</v>
      </c>
      <c r="T49" s="7">
        <v>6998.1915251600012</v>
      </c>
      <c r="U49" s="7">
        <v>8737.6941790799974</v>
      </c>
      <c r="V49" s="7"/>
    </row>
    <row r="50" spans="1:22" ht="18" customHeight="1" x14ac:dyDescent="0.3">
      <c r="A50" s="11" t="s">
        <v>42</v>
      </c>
      <c r="B50" s="7">
        <v>3167.6463550395297</v>
      </c>
      <c r="C50" s="7">
        <v>4035.96735762651</v>
      </c>
      <c r="D50" s="7">
        <v>4360.352347711595</v>
      </c>
      <c r="E50" s="7">
        <v>0</v>
      </c>
      <c r="F50" s="7">
        <v>2455.2790652291155</v>
      </c>
      <c r="G50" s="7">
        <v>3897.0665232627316</v>
      </c>
      <c r="H50" s="7">
        <v>2566.132872305307</v>
      </c>
      <c r="I50" s="7">
        <v>2899.3588644720239</v>
      </c>
      <c r="J50" s="7">
        <v>3786.4189021127181</v>
      </c>
      <c r="K50" s="7">
        <v>4511.8495688162729</v>
      </c>
      <c r="L50" s="7">
        <v>5171.088272772693</v>
      </c>
      <c r="M50" s="7">
        <v>6083.4255488185781</v>
      </c>
      <c r="N50" s="7">
        <v>6754.0704020000003</v>
      </c>
      <c r="O50" s="7">
        <v>6043.3483937621495</v>
      </c>
      <c r="P50" s="7">
        <v>6523.9659999000023</v>
      </c>
      <c r="Q50" s="7">
        <v>9616.0321139900007</v>
      </c>
      <c r="R50" s="7">
        <v>12764.646006100002</v>
      </c>
      <c r="S50" s="7">
        <v>16146.79539594</v>
      </c>
      <c r="T50" s="7">
        <v>14442.165110160002</v>
      </c>
      <c r="U50" s="7">
        <v>19092.64026643</v>
      </c>
      <c r="V50" s="7"/>
    </row>
    <row r="51" spans="1:22" ht="15" customHeight="1" x14ac:dyDescent="0.3">
      <c r="A51" s="11" t="s">
        <v>43</v>
      </c>
      <c r="B51" s="7">
        <v>1188.1626278214262</v>
      </c>
      <c r="C51" s="7">
        <v>1438.2051504465571</v>
      </c>
      <c r="D51" s="7">
        <v>1525.9914809422603</v>
      </c>
      <c r="E51" s="7">
        <v>1481.1497913566895</v>
      </c>
      <c r="F51" s="7">
        <v>1260.1646745608732</v>
      </c>
      <c r="G51" s="7">
        <v>1541.2572378694663</v>
      </c>
      <c r="H51" s="7">
        <v>1302.8730098634494</v>
      </c>
      <c r="I51" s="7">
        <v>1458.8501309330125</v>
      </c>
      <c r="J51" s="7">
        <v>1771.3265050566015</v>
      </c>
      <c r="K51" s="7">
        <v>2153.503463532702</v>
      </c>
      <c r="L51" s="7">
        <v>2275.5874873706052</v>
      </c>
      <c r="M51" s="7">
        <v>2867.025078261383</v>
      </c>
      <c r="N51" s="7">
        <v>3414.0931402199994</v>
      </c>
      <c r="O51" s="7">
        <v>3380.578009627101</v>
      </c>
      <c r="P51" s="7">
        <v>4003.3485713700011</v>
      </c>
      <c r="Q51" s="7">
        <v>3319.8753412500005</v>
      </c>
      <c r="R51" s="7">
        <v>3773.5204238000001</v>
      </c>
      <c r="S51" s="7">
        <v>4513.0019385500009</v>
      </c>
      <c r="T51" s="7">
        <v>5863.4588666299987</v>
      </c>
      <c r="U51" s="7">
        <v>7232.0947299199997</v>
      </c>
      <c r="V51" s="7"/>
    </row>
    <row r="52" spans="1:22" ht="18" customHeight="1" x14ac:dyDescent="0.3">
      <c r="A52" s="11" t="s">
        <v>44</v>
      </c>
      <c r="B52" s="7">
        <v>945.1126895964527</v>
      </c>
      <c r="C52" s="7">
        <v>1121.8588365869277</v>
      </c>
      <c r="D52" s="7">
        <v>1318.2463584221737</v>
      </c>
      <c r="E52" s="7">
        <v>1446.806544129277</v>
      </c>
      <c r="F52" s="7">
        <v>1278.7472769704125</v>
      </c>
      <c r="G52" s="7">
        <v>1677.2985112840572</v>
      </c>
      <c r="H52" s="7">
        <v>1075.8845833091248</v>
      </c>
      <c r="I52" s="7">
        <v>1289.8087019794018</v>
      </c>
      <c r="J52" s="7">
        <v>1421.0771158191269</v>
      </c>
      <c r="K52" s="7">
        <v>1802.2713076155037</v>
      </c>
      <c r="L52" s="7">
        <v>1739.6104147177455</v>
      </c>
      <c r="M52" s="7">
        <v>2182.3907844789937</v>
      </c>
      <c r="N52" s="7">
        <v>2199.3943935399993</v>
      </c>
      <c r="O52" s="7">
        <v>1996.2046220999998</v>
      </c>
      <c r="P52" s="7">
        <v>2582.1452780999998</v>
      </c>
      <c r="Q52" s="7">
        <v>1628.9009691800002</v>
      </c>
      <c r="R52" s="7">
        <v>1876.9921775700002</v>
      </c>
      <c r="S52" s="7">
        <v>2940.8538610699998</v>
      </c>
      <c r="T52" s="7">
        <v>2010.1476028500001</v>
      </c>
      <c r="U52" s="7">
        <v>2424.4640545399998</v>
      </c>
      <c r="V52" s="7"/>
    </row>
    <row r="53" spans="1:22" ht="15" customHeight="1" x14ac:dyDescent="0.3">
      <c r="A53" s="11" t="s">
        <v>45</v>
      </c>
      <c r="B53" s="7">
        <v>0</v>
      </c>
      <c r="C53" s="7">
        <v>0</v>
      </c>
      <c r="D53" s="7">
        <v>0</v>
      </c>
      <c r="E53" s="7">
        <v>4845.0345630635511</v>
      </c>
      <c r="F53" s="7">
        <v>2759.7399649412337</v>
      </c>
      <c r="G53" s="7">
        <v>2984.5372209621887</v>
      </c>
      <c r="H53" s="7">
        <v>2919.767378701205</v>
      </c>
      <c r="I53" s="7">
        <v>3774.7303351539099</v>
      </c>
      <c r="J53" s="7">
        <v>3658.1349735889257</v>
      </c>
      <c r="K53" s="7">
        <v>5154.6409238866827</v>
      </c>
      <c r="L53" s="7">
        <v>5653.4240589428864</v>
      </c>
      <c r="M53" s="7">
        <v>6666.8485650056236</v>
      </c>
      <c r="N53" s="7">
        <v>7525.2603637399989</v>
      </c>
      <c r="O53" s="7">
        <v>8140.3007696849481</v>
      </c>
      <c r="P53" s="7">
        <v>9944.8571658799992</v>
      </c>
      <c r="Q53" s="7">
        <v>6151.7465606300011</v>
      </c>
      <c r="R53" s="7">
        <v>8105.4266322500007</v>
      </c>
      <c r="S53" s="7">
        <v>11063.912801390003</v>
      </c>
      <c r="T53" s="7">
        <v>11724.119739869995</v>
      </c>
      <c r="U53" s="7">
        <v>15069.241127799998</v>
      </c>
      <c r="V53" s="7"/>
    </row>
    <row r="54" spans="1:22" ht="15" customHeight="1" x14ac:dyDescent="0.3">
      <c r="A54" s="11" t="s">
        <v>46</v>
      </c>
      <c r="B54" s="7">
        <v>479.17780269896303</v>
      </c>
      <c r="C54" s="7">
        <v>634.26689319033869</v>
      </c>
      <c r="D54" s="7">
        <v>688.44814907173156</v>
      </c>
      <c r="E54" s="7">
        <v>771.43680859779727</v>
      </c>
      <c r="F54" s="7">
        <v>690.8268969995471</v>
      </c>
      <c r="G54" s="7">
        <v>812.00925540163257</v>
      </c>
      <c r="H54" s="7">
        <v>1256.2384999578305</v>
      </c>
      <c r="I54" s="7">
        <v>1741.9400565845078</v>
      </c>
      <c r="J54" s="7">
        <v>1972.6119241437661</v>
      </c>
      <c r="K54" s="7">
        <v>1788.4650663417085</v>
      </c>
      <c r="L54" s="7">
        <v>1575.2440437925131</v>
      </c>
      <c r="M54" s="7">
        <v>1544.625910483911</v>
      </c>
      <c r="N54" s="7">
        <v>1867.0107646600002</v>
      </c>
      <c r="O54" s="7">
        <v>1653.5769339715002</v>
      </c>
      <c r="P54" s="7">
        <v>1639.0193917000001</v>
      </c>
      <c r="Q54" s="7">
        <v>1559.0637583999999</v>
      </c>
      <c r="R54" s="7">
        <v>1768.0519217000001</v>
      </c>
      <c r="S54" s="7">
        <v>2138.8327596999998</v>
      </c>
      <c r="T54" s="7">
        <v>2797.3164116499997</v>
      </c>
      <c r="U54" s="7">
        <v>3585.0411363499998</v>
      </c>
      <c r="V54" s="7"/>
    </row>
    <row r="55" spans="1:22" s="9" customFormat="1" ht="15" customHeight="1" x14ac:dyDescent="0.3">
      <c r="A55" s="3"/>
      <c r="B55" s="10"/>
      <c r="C55" s="10"/>
      <c r="D55" s="10"/>
      <c r="E55" s="10"/>
      <c r="F55" s="10"/>
      <c r="G55" s="10"/>
      <c r="H55" s="10"/>
      <c r="I55" s="10"/>
      <c r="J55" s="10"/>
      <c r="K55" s="10"/>
      <c r="L55" s="10"/>
      <c r="M55" s="10"/>
      <c r="N55" s="10"/>
      <c r="O55" s="10"/>
      <c r="P55" s="10"/>
      <c r="Q55" s="10"/>
      <c r="R55" s="10"/>
      <c r="S55" s="10"/>
      <c r="T55" s="10"/>
      <c r="U55" s="10"/>
      <c r="V55" s="10"/>
    </row>
    <row r="56" spans="1:22" s="9" customFormat="1" ht="15" customHeight="1" x14ac:dyDescent="0.25">
      <c r="A56" s="9" t="s">
        <v>47</v>
      </c>
      <c r="B56" s="10">
        <f>SUM(B57:B62)</f>
        <v>25864.609742422868</v>
      </c>
      <c r="C56" s="10">
        <f t="shared" ref="C56:U56" si="5">SUM(C57:C62)</f>
        <v>29542.714253765291</v>
      </c>
      <c r="D56" s="10">
        <f t="shared" si="5"/>
        <v>29937.921721053754</v>
      </c>
      <c r="E56" s="10">
        <f t="shared" si="5"/>
        <v>35089.776628023785</v>
      </c>
      <c r="F56" s="10">
        <f t="shared" si="5"/>
        <v>29184.057866208612</v>
      </c>
      <c r="G56" s="10">
        <f t="shared" si="5"/>
        <v>36464.496574553683</v>
      </c>
      <c r="H56" s="10">
        <f t="shared" si="5"/>
        <v>26811.798355163442</v>
      </c>
      <c r="I56" s="10">
        <f t="shared" si="5"/>
        <v>31962.187471749312</v>
      </c>
      <c r="J56" s="10">
        <f t="shared" si="5"/>
        <v>37275.137105452937</v>
      </c>
      <c r="K56" s="10">
        <f t="shared" si="5"/>
        <v>42712.01693936099</v>
      </c>
      <c r="L56" s="10">
        <f t="shared" si="5"/>
        <v>48292.203270319347</v>
      </c>
      <c r="M56" s="10">
        <f t="shared" si="5"/>
        <v>54621.303622730513</v>
      </c>
      <c r="N56" s="10">
        <f t="shared" si="5"/>
        <v>64913.587746750003</v>
      </c>
      <c r="O56" s="10">
        <f t="shared" si="5"/>
        <v>61866.288439021089</v>
      </c>
      <c r="P56" s="10">
        <f t="shared" si="5"/>
        <v>71927.884074739995</v>
      </c>
      <c r="Q56" s="10">
        <f t="shared" si="5"/>
        <v>59489.148672206982</v>
      </c>
      <c r="R56" s="10">
        <f t="shared" si="5"/>
        <v>74076.737250370003</v>
      </c>
      <c r="S56" s="10">
        <f t="shared" si="5"/>
        <v>87782.076600159984</v>
      </c>
      <c r="T56" s="10">
        <f t="shared" si="5"/>
        <v>98195.409314569959</v>
      </c>
      <c r="U56" s="10">
        <f t="shared" si="5"/>
        <v>107715.54558795998</v>
      </c>
      <c r="V56" s="10"/>
    </row>
    <row r="57" spans="1:22" ht="15" customHeight="1" x14ac:dyDescent="0.3">
      <c r="A57" s="11" t="s">
        <v>48</v>
      </c>
      <c r="B57" s="7">
        <v>3104.1112334291574</v>
      </c>
      <c r="C57" s="7">
        <v>3512.7625494010481</v>
      </c>
      <c r="D57" s="7">
        <v>3905.401327653844</v>
      </c>
      <c r="E57" s="7">
        <v>4308.3667500322281</v>
      </c>
      <c r="F57" s="7">
        <v>4029.1342442307941</v>
      </c>
      <c r="G57" s="7">
        <v>5449.5667559649755</v>
      </c>
      <c r="H57" s="7">
        <v>4421.062395319077</v>
      </c>
      <c r="I57" s="7">
        <v>5837.1092928951894</v>
      </c>
      <c r="J57" s="7">
        <v>7003.2954096352714</v>
      </c>
      <c r="K57" s="7">
        <v>8181.1531101483679</v>
      </c>
      <c r="L57" s="7">
        <v>9279.2608377213583</v>
      </c>
      <c r="M57" s="7">
        <v>10748.294574392654</v>
      </c>
      <c r="N57" s="7">
        <v>12655.234783340002</v>
      </c>
      <c r="O57" s="7">
        <v>12607.960548509294</v>
      </c>
      <c r="P57" s="7">
        <v>15004.238417710003</v>
      </c>
      <c r="Q57" s="7">
        <v>12763.717783069995</v>
      </c>
      <c r="R57" s="7">
        <v>16991.102303060001</v>
      </c>
      <c r="S57" s="7">
        <v>19038.478872979998</v>
      </c>
      <c r="T57" s="7">
        <v>21510.443285469995</v>
      </c>
      <c r="U57" s="7">
        <v>23833.286782169998</v>
      </c>
      <c r="V57" s="7"/>
    </row>
    <row r="58" spans="1:22" ht="15" customHeight="1" x14ac:dyDescent="0.3">
      <c r="A58" s="11" t="s">
        <v>49</v>
      </c>
      <c r="B58" s="7">
        <v>6709.3666393657204</v>
      </c>
      <c r="C58" s="7">
        <v>7452.3394514184429</v>
      </c>
      <c r="D58" s="7">
        <v>6943.0423186408807</v>
      </c>
      <c r="E58" s="7">
        <v>9239.2560352951568</v>
      </c>
      <c r="F58" s="7">
        <v>6714.2850011808732</v>
      </c>
      <c r="G58" s="7">
        <v>8366.1835380876255</v>
      </c>
      <c r="H58" s="7">
        <v>7556.7164240882366</v>
      </c>
      <c r="I58" s="7">
        <v>8867.5527896172753</v>
      </c>
      <c r="J58" s="7">
        <v>10845.725210979734</v>
      </c>
      <c r="K58" s="7">
        <v>12038.592621421974</v>
      </c>
      <c r="L58" s="7">
        <v>14032.794456195857</v>
      </c>
      <c r="M58" s="7">
        <v>15774.892955110019</v>
      </c>
      <c r="N58" s="7">
        <v>20216.844727830001</v>
      </c>
      <c r="O58" s="7">
        <v>19135.628999376797</v>
      </c>
      <c r="P58" s="7">
        <v>22660.492733689996</v>
      </c>
      <c r="Q58" s="7">
        <v>17230.385154979995</v>
      </c>
      <c r="R58" s="7">
        <v>22448.07424383</v>
      </c>
      <c r="S58" s="7">
        <v>27121.745976229991</v>
      </c>
      <c r="T58" s="7">
        <v>29765.885289739985</v>
      </c>
      <c r="U58" s="7">
        <v>30926.572705900006</v>
      </c>
      <c r="V58" s="7"/>
    </row>
    <row r="59" spans="1:22" ht="15" customHeight="1" x14ac:dyDescent="0.3">
      <c r="A59" s="11" t="s">
        <v>50</v>
      </c>
      <c r="B59" s="7">
        <v>10949.322803765115</v>
      </c>
      <c r="C59" s="7">
        <v>12524.409524472816</v>
      </c>
      <c r="D59" s="7">
        <v>13549.408778941113</v>
      </c>
      <c r="E59" s="7">
        <v>15764.979745502082</v>
      </c>
      <c r="F59" s="7">
        <v>12499.988153991035</v>
      </c>
      <c r="G59" s="7">
        <v>15715.838754976961</v>
      </c>
      <c r="H59" s="7">
        <v>10602.496715584848</v>
      </c>
      <c r="I59" s="7">
        <v>12250.967982876808</v>
      </c>
      <c r="J59" s="7">
        <v>13970.407347197002</v>
      </c>
      <c r="K59" s="7">
        <v>16268.155307322964</v>
      </c>
      <c r="L59" s="7">
        <v>17686.794643695554</v>
      </c>
      <c r="M59" s="7">
        <v>20387.032775132197</v>
      </c>
      <c r="N59" s="7">
        <v>22956.467518560006</v>
      </c>
      <c r="O59" s="7">
        <v>22280.2912997444</v>
      </c>
      <c r="P59" s="7">
        <v>25189.013274989997</v>
      </c>
      <c r="Q59" s="7">
        <v>21801.715879129992</v>
      </c>
      <c r="R59" s="7">
        <v>24775.888815250004</v>
      </c>
      <c r="S59" s="7">
        <v>29832.879147249983</v>
      </c>
      <c r="T59" s="7">
        <v>32477.153676519993</v>
      </c>
      <c r="U59" s="7">
        <v>36364.387210019988</v>
      </c>
      <c r="V59" s="7"/>
    </row>
    <row r="60" spans="1:22" ht="15" customHeight="1" x14ac:dyDescent="0.3">
      <c r="A60" s="11" t="s">
        <v>51</v>
      </c>
      <c r="B60" s="7">
        <v>132.44484268158823</v>
      </c>
      <c r="C60" s="7">
        <v>157.57289906729119</v>
      </c>
      <c r="D60" s="7">
        <v>217.4286488598357</v>
      </c>
      <c r="E60" s="7">
        <v>219.77828388646464</v>
      </c>
      <c r="F60" s="7">
        <v>287.21659965281947</v>
      </c>
      <c r="G60" s="7">
        <v>243.99809053638603</v>
      </c>
      <c r="H60" s="7">
        <v>231.5900651995598</v>
      </c>
      <c r="I60" s="7">
        <v>272.97797934684945</v>
      </c>
      <c r="J60" s="7">
        <v>379.55248272348291</v>
      </c>
      <c r="K60" s="7">
        <v>371.17484064884366</v>
      </c>
      <c r="L60" s="7">
        <v>440.93512550356496</v>
      </c>
      <c r="M60" s="7">
        <v>579.15269280849873</v>
      </c>
      <c r="N60" s="7">
        <v>593.23878630000013</v>
      </c>
      <c r="O60" s="7">
        <v>478.55044072819999</v>
      </c>
      <c r="P60" s="7">
        <v>569.39539300000001</v>
      </c>
      <c r="Q60" s="7">
        <v>512.75360689999991</v>
      </c>
      <c r="R60" s="7">
        <v>609.80963757999996</v>
      </c>
      <c r="S60" s="7">
        <v>674.51206969000009</v>
      </c>
      <c r="T60" s="7">
        <v>1232.9097903800002</v>
      </c>
      <c r="U60" s="7">
        <v>1270.3500527199999</v>
      </c>
      <c r="V60" s="7"/>
    </row>
    <row r="61" spans="1:22" ht="18" customHeight="1" x14ac:dyDescent="0.3">
      <c r="A61" s="11" t="s">
        <v>52</v>
      </c>
      <c r="B61" s="7">
        <v>1563.2783747648011</v>
      </c>
      <c r="C61" s="7">
        <v>1996.6247388556103</v>
      </c>
      <c r="D61" s="7">
        <v>1860.0611380280141</v>
      </c>
      <c r="E61" s="7">
        <v>2256.2531915290083</v>
      </c>
      <c r="F61" s="7">
        <v>2177.7447360385086</v>
      </c>
      <c r="G61" s="7">
        <v>2623.3934110503078</v>
      </c>
      <c r="H61" s="7">
        <v>2212.6858207708506</v>
      </c>
      <c r="I61" s="7">
        <v>2689.5210909073762</v>
      </c>
      <c r="J61" s="7">
        <v>2809.8766047177432</v>
      </c>
      <c r="K61" s="7">
        <v>3244.3162329605348</v>
      </c>
      <c r="L61" s="7">
        <v>3975.6855108628179</v>
      </c>
      <c r="M61" s="7">
        <v>4017.2588208293428</v>
      </c>
      <c r="N61" s="7">
        <v>5034.3058348599998</v>
      </c>
      <c r="O61" s="7">
        <v>4580.0895009409487</v>
      </c>
      <c r="P61" s="7">
        <v>5356.6390198299996</v>
      </c>
      <c r="Q61" s="7">
        <v>4307.2022636569991</v>
      </c>
      <c r="R61" s="7">
        <v>5343.4707427499998</v>
      </c>
      <c r="S61" s="7">
        <v>6316.2920781799994</v>
      </c>
      <c r="T61" s="7">
        <v>7311.9989349599982</v>
      </c>
      <c r="U61" s="7">
        <v>8693.3871633499984</v>
      </c>
      <c r="V61" s="7"/>
    </row>
    <row r="62" spans="1:22" ht="18" customHeight="1" x14ac:dyDescent="0.3">
      <c r="A62" s="11" t="s">
        <v>53</v>
      </c>
      <c r="B62" s="7">
        <v>3406.0858484164855</v>
      </c>
      <c r="C62" s="7">
        <v>3899.0050905500834</v>
      </c>
      <c r="D62" s="7">
        <v>3462.5795089300618</v>
      </c>
      <c r="E62" s="7">
        <v>3301.1426217788448</v>
      </c>
      <c r="F62" s="7">
        <v>3475.6891311145814</v>
      </c>
      <c r="G62" s="7">
        <v>4065.5160239374245</v>
      </c>
      <c r="H62" s="7">
        <v>1787.2469342008708</v>
      </c>
      <c r="I62" s="7">
        <v>2044.0583361058168</v>
      </c>
      <c r="J62" s="7">
        <v>2266.2800501997035</v>
      </c>
      <c r="K62" s="7">
        <v>2608.6248268583067</v>
      </c>
      <c r="L62" s="7">
        <v>2876.7326963401911</v>
      </c>
      <c r="M62" s="7">
        <v>3114.671804457796</v>
      </c>
      <c r="N62" s="7">
        <v>3457.4960958599995</v>
      </c>
      <c r="O62" s="7">
        <v>2783.7676497214493</v>
      </c>
      <c r="P62" s="7">
        <v>3148.1052355200004</v>
      </c>
      <c r="Q62" s="7">
        <v>2873.3739844699999</v>
      </c>
      <c r="R62" s="7">
        <v>3908.3915078999999</v>
      </c>
      <c r="S62" s="7">
        <v>4798.1684558299994</v>
      </c>
      <c r="T62" s="7">
        <v>5897.0183374999997</v>
      </c>
      <c r="U62" s="7">
        <v>6627.561673799999</v>
      </c>
      <c r="V62" s="7"/>
    </row>
    <row r="63" spans="1:22" s="9" customFormat="1" ht="15" customHeight="1" x14ac:dyDescent="0.3">
      <c r="A63" s="3"/>
      <c r="B63" s="10"/>
      <c r="C63" s="10"/>
      <c r="D63" s="10"/>
      <c r="E63" s="10"/>
      <c r="F63" s="10"/>
      <c r="G63" s="10"/>
      <c r="H63" s="10"/>
      <c r="I63" s="10"/>
      <c r="J63" s="10"/>
      <c r="K63" s="10"/>
      <c r="L63" s="10"/>
      <c r="M63" s="10"/>
      <c r="N63" s="10"/>
      <c r="O63" s="10"/>
      <c r="P63" s="10"/>
      <c r="Q63" s="10"/>
      <c r="R63" s="10"/>
      <c r="S63" s="10"/>
      <c r="T63" s="10"/>
      <c r="U63" s="10"/>
      <c r="V63" s="10"/>
    </row>
    <row r="64" spans="1:22" s="9" customFormat="1" ht="15" customHeight="1" x14ac:dyDescent="0.25">
      <c r="A64" s="9" t="s">
        <v>54</v>
      </c>
      <c r="B64" s="10">
        <f>SUM(B65:B69)</f>
        <v>1153.262852239</v>
      </c>
      <c r="C64" s="10">
        <f t="shared" ref="C64:U64" si="6">SUM(C65:C69)</f>
        <v>1327.1191107314946</v>
      </c>
      <c r="D64" s="10">
        <f t="shared" si="6"/>
        <v>1536.4821597445</v>
      </c>
      <c r="E64" s="10">
        <f t="shared" si="6"/>
        <v>1712.0426558825552</v>
      </c>
      <c r="F64" s="10">
        <f t="shared" si="6"/>
        <v>1760.892166489574</v>
      </c>
      <c r="G64" s="10">
        <f t="shared" si="6"/>
        <v>2289.5363961994344</v>
      </c>
      <c r="H64" s="10">
        <f t="shared" si="6"/>
        <v>2274.9853110477884</v>
      </c>
      <c r="I64" s="10">
        <f t="shared" si="6"/>
        <v>2757.0221288343373</v>
      </c>
      <c r="J64" s="10">
        <f t="shared" si="6"/>
        <v>3222.4115205787361</v>
      </c>
      <c r="K64" s="10">
        <f t="shared" si="6"/>
        <v>3663.2859266464129</v>
      </c>
      <c r="L64" s="10">
        <f t="shared" si="6"/>
        <v>4333.5365287897921</v>
      </c>
      <c r="M64" s="10">
        <f t="shared" si="6"/>
        <v>5387.8258124295535</v>
      </c>
      <c r="N64" s="10">
        <f t="shared" si="6"/>
        <v>6221.3831014400002</v>
      </c>
      <c r="O64" s="10">
        <f t="shared" si="6"/>
        <v>5397.1664255629503</v>
      </c>
      <c r="P64" s="10">
        <f t="shared" si="6"/>
        <v>6581.8087829200003</v>
      </c>
      <c r="Q64" s="10">
        <f t="shared" si="6"/>
        <v>5822.08331782</v>
      </c>
      <c r="R64" s="10">
        <f t="shared" si="6"/>
        <v>6746.6845393799995</v>
      </c>
      <c r="S64" s="10">
        <f t="shared" si="6"/>
        <v>7501.1176206699993</v>
      </c>
      <c r="T64" s="10">
        <f t="shared" si="6"/>
        <v>9093.9673528200001</v>
      </c>
      <c r="U64" s="10">
        <f t="shared" si="6"/>
        <v>10320.221089589997</v>
      </c>
      <c r="V64" s="10"/>
    </row>
    <row r="65" spans="1:22" ht="15" customHeight="1" x14ac:dyDescent="0.3">
      <c r="A65" s="11" t="s">
        <v>55</v>
      </c>
      <c r="B65" s="7">
        <v>79.69155981239129</v>
      </c>
      <c r="C65" s="7">
        <v>85.843739132163662</v>
      </c>
      <c r="D65" s="7">
        <v>105.85312227148609</v>
      </c>
      <c r="E65" s="7">
        <v>119.60039927668689</v>
      </c>
      <c r="F65" s="7">
        <v>138.982960694328</v>
      </c>
      <c r="G65" s="7">
        <v>144.45797065186096</v>
      </c>
      <c r="H65" s="7">
        <v>165.83855489218692</v>
      </c>
      <c r="I65" s="7">
        <v>187.17417271228715</v>
      </c>
      <c r="J65" s="7">
        <v>212.02687883650515</v>
      </c>
      <c r="K65" s="7">
        <v>219.55344880298179</v>
      </c>
      <c r="L65" s="7">
        <v>264.87323101250524</v>
      </c>
      <c r="M65" s="7">
        <v>263.33770295415417</v>
      </c>
      <c r="N65" s="7">
        <v>344.94834549999996</v>
      </c>
      <c r="O65" s="7">
        <v>228.5755821299999</v>
      </c>
      <c r="P65" s="7">
        <v>227.33793234999996</v>
      </c>
      <c r="Q65" s="7">
        <v>218.56494348000004</v>
      </c>
      <c r="R65" s="7">
        <v>293.50183291000002</v>
      </c>
      <c r="S65" s="7">
        <v>320.79354973999995</v>
      </c>
      <c r="T65" s="7">
        <v>635.42252862999999</v>
      </c>
      <c r="U65" s="7">
        <v>628.44987755000011</v>
      </c>
      <c r="V65" s="7"/>
    </row>
    <row r="66" spans="1:22" ht="15" customHeight="1" x14ac:dyDescent="0.3">
      <c r="A66" s="11" t="s">
        <v>56</v>
      </c>
      <c r="B66" s="7">
        <v>154.23598273197516</v>
      </c>
      <c r="C66" s="7">
        <v>172.81577380131549</v>
      </c>
      <c r="D66" s="7">
        <v>176.58332351261936</v>
      </c>
      <c r="E66" s="7">
        <v>200.21964844649693</v>
      </c>
      <c r="F66" s="7">
        <v>258.35609236305339</v>
      </c>
      <c r="G66" s="7">
        <v>313.68554622361984</v>
      </c>
      <c r="H66" s="7">
        <v>296.15394993538604</v>
      </c>
      <c r="I66" s="7">
        <v>341.90125044669929</v>
      </c>
      <c r="J66" s="7">
        <v>380.90033862259384</v>
      </c>
      <c r="K66" s="7">
        <v>478.80502502146021</v>
      </c>
      <c r="L66" s="7">
        <v>484.12436881703735</v>
      </c>
      <c r="M66" s="7">
        <v>607.80818751438437</v>
      </c>
      <c r="N66" s="7">
        <v>733.74926137000011</v>
      </c>
      <c r="O66" s="7">
        <v>551.21331580875005</v>
      </c>
      <c r="P66" s="7">
        <v>659.41312669000001</v>
      </c>
      <c r="Q66" s="7">
        <v>617.87256244000002</v>
      </c>
      <c r="R66" s="7">
        <v>739.96041831999992</v>
      </c>
      <c r="S66" s="7">
        <v>818.23636406999992</v>
      </c>
      <c r="T66" s="7">
        <v>1006.54473623</v>
      </c>
      <c r="U66" s="7">
        <v>1127.8863312199996</v>
      </c>
      <c r="V66" s="7"/>
    </row>
    <row r="67" spans="1:22" ht="15" customHeight="1" x14ac:dyDescent="0.3">
      <c r="A67" s="11" t="s">
        <v>57</v>
      </c>
      <c r="B67" s="7">
        <v>282.74096447797598</v>
      </c>
      <c r="C67" s="7">
        <v>328.87590301139818</v>
      </c>
      <c r="D67" s="7">
        <v>377.0524168888727</v>
      </c>
      <c r="E67" s="7">
        <v>380.52042713949072</v>
      </c>
      <c r="F67" s="7">
        <v>417.81394077648116</v>
      </c>
      <c r="G67" s="7">
        <v>559.57503537566606</v>
      </c>
      <c r="H67" s="7">
        <v>612.46252034690781</v>
      </c>
      <c r="I67" s="7">
        <v>748.02312587038477</v>
      </c>
      <c r="J67" s="7">
        <v>820.83319893483656</v>
      </c>
      <c r="K67" s="7">
        <v>922.03025145935874</v>
      </c>
      <c r="L67" s="7">
        <v>1080.6270844329711</v>
      </c>
      <c r="M67" s="7">
        <v>1283.3776013623817</v>
      </c>
      <c r="N67" s="7">
        <v>1592.6030743200001</v>
      </c>
      <c r="O67" s="7">
        <v>1350.6010451242</v>
      </c>
      <c r="P67" s="7">
        <v>1701.57016991</v>
      </c>
      <c r="Q67" s="7">
        <v>1547.7764539199998</v>
      </c>
      <c r="R67" s="7">
        <v>1815.34195376</v>
      </c>
      <c r="S67" s="7">
        <v>2097.0408639400002</v>
      </c>
      <c r="T67" s="7">
        <v>2497.1360190700007</v>
      </c>
      <c r="U67" s="7">
        <v>2765.53581257</v>
      </c>
      <c r="V67" s="7"/>
    </row>
    <row r="68" spans="1:22" ht="15" customHeight="1" x14ac:dyDescent="0.3">
      <c r="A68" s="11" t="s">
        <v>58</v>
      </c>
      <c r="B68" s="7">
        <v>539.95123947089439</v>
      </c>
      <c r="C68" s="7">
        <v>627.11493902982704</v>
      </c>
      <c r="D68" s="7">
        <v>743.81779878261443</v>
      </c>
      <c r="E68" s="7">
        <v>806.91440301157343</v>
      </c>
      <c r="F68" s="7">
        <v>718.53854535123571</v>
      </c>
      <c r="G68" s="7">
        <v>1031.1188335860809</v>
      </c>
      <c r="H68" s="7">
        <v>1015.7022619797868</v>
      </c>
      <c r="I68" s="7">
        <v>1249.2986037015407</v>
      </c>
      <c r="J68" s="7">
        <v>1546.1501532055574</v>
      </c>
      <c r="K68" s="7">
        <v>1773.687934057702</v>
      </c>
      <c r="L68" s="7">
        <v>2180.9686060201843</v>
      </c>
      <c r="M68" s="7">
        <v>2858.0192895001646</v>
      </c>
      <c r="N68" s="7">
        <v>3092.0948935400002</v>
      </c>
      <c r="O68" s="7">
        <v>3004.8271077600002</v>
      </c>
      <c r="P68" s="7">
        <v>3663.8515592400004</v>
      </c>
      <c r="Q68" s="7">
        <v>3091.3456670400001</v>
      </c>
      <c r="R68" s="7">
        <v>3508.7690269499999</v>
      </c>
      <c r="S68" s="7">
        <v>3789.3715078099995</v>
      </c>
      <c r="T68" s="7">
        <v>3974.8032735699999</v>
      </c>
      <c r="U68" s="7">
        <v>4662.5269166799981</v>
      </c>
      <c r="V68" s="7"/>
    </row>
    <row r="69" spans="1:22" ht="15" customHeight="1" x14ac:dyDescent="0.3">
      <c r="A69" s="11" t="s">
        <v>59</v>
      </c>
      <c r="B69" s="7">
        <v>96.643105745763364</v>
      </c>
      <c r="C69" s="7">
        <v>112.4687557567901</v>
      </c>
      <c r="D69" s="7">
        <v>133.17549828890751</v>
      </c>
      <c r="E69" s="7">
        <v>204.78777800830727</v>
      </c>
      <c r="F69" s="7">
        <v>227.20062730447555</v>
      </c>
      <c r="G69" s="7">
        <v>240.69901036220662</v>
      </c>
      <c r="H69" s="7">
        <v>184.82802389352085</v>
      </c>
      <c r="I69" s="7">
        <v>230.62497610342496</v>
      </c>
      <c r="J69" s="7">
        <v>262.50095097924287</v>
      </c>
      <c r="K69" s="7">
        <v>269.20926730490987</v>
      </c>
      <c r="L69" s="7">
        <v>322.94323850709412</v>
      </c>
      <c r="M69" s="7">
        <v>375.28303109846792</v>
      </c>
      <c r="N69" s="7">
        <v>457.98752671000005</v>
      </c>
      <c r="O69" s="7">
        <v>261.94937474</v>
      </c>
      <c r="P69" s="7">
        <v>329.63599472999999</v>
      </c>
      <c r="Q69" s="7">
        <v>346.52369093999999</v>
      </c>
      <c r="R69" s="7">
        <v>389.11130744000002</v>
      </c>
      <c r="S69" s="7">
        <v>475.67533510999999</v>
      </c>
      <c r="T69" s="7">
        <v>980.06079532000001</v>
      </c>
      <c r="U69" s="7">
        <v>1135.8221515700002</v>
      </c>
      <c r="V69" s="7"/>
    </row>
    <row r="70" spans="1:22" s="9" customFormat="1" ht="15" customHeight="1" x14ac:dyDescent="0.3">
      <c r="A70" s="3"/>
      <c r="B70" s="10"/>
      <c r="C70" s="10"/>
      <c r="D70" s="10"/>
      <c r="E70" s="10"/>
      <c r="F70" s="10"/>
      <c r="G70" s="10"/>
      <c r="H70" s="10"/>
      <c r="I70" s="10"/>
      <c r="J70" s="10"/>
      <c r="K70" s="10"/>
      <c r="L70" s="10"/>
      <c r="M70" s="10"/>
      <c r="N70" s="10"/>
      <c r="O70" s="10"/>
      <c r="P70" s="10"/>
      <c r="Q70" s="10"/>
      <c r="R70" s="10"/>
      <c r="S70" s="10"/>
      <c r="T70" s="10"/>
      <c r="U70" s="10"/>
      <c r="V70" s="10"/>
    </row>
    <row r="71" spans="1:22" s="9" customFormat="1" ht="15" customHeight="1" x14ac:dyDescent="0.25">
      <c r="A71" s="9" t="s">
        <v>60</v>
      </c>
      <c r="B71" s="10">
        <f>SUM(B72:B77)</f>
        <v>2483.8833694451814</v>
      </c>
      <c r="C71" s="10">
        <f t="shared" ref="C71:U71" si="7">SUM(C72:C77)</f>
        <v>2904.816614135199</v>
      </c>
      <c r="D71" s="10">
        <f t="shared" si="7"/>
        <v>3708.8827455096816</v>
      </c>
      <c r="E71" s="10">
        <f t="shared" si="7"/>
        <v>3856.665460784237</v>
      </c>
      <c r="F71" s="10">
        <f t="shared" si="7"/>
        <v>3891.5163012861121</v>
      </c>
      <c r="G71" s="10">
        <f t="shared" si="7"/>
        <v>4758.0197183379441</v>
      </c>
      <c r="H71" s="10">
        <f t="shared" si="7"/>
        <v>4653.8038994977351</v>
      </c>
      <c r="I71" s="10">
        <f t="shared" si="7"/>
        <v>5477.5893511536078</v>
      </c>
      <c r="J71" s="10">
        <f t="shared" si="7"/>
        <v>6346.0591887810533</v>
      </c>
      <c r="K71" s="10">
        <f t="shared" si="7"/>
        <v>6949.412775854903</v>
      </c>
      <c r="L71" s="10">
        <f t="shared" si="7"/>
        <v>7766.5092099761287</v>
      </c>
      <c r="M71" s="10">
        <f t="shared" si="7"/>
        <v>9223.6865922573306</v>
      </c>
      <c r="N71" s="10">
        <f t="shared" si="7"/>
        <v>10801.300265500004</v>
      </c>
      <c r="O71" s="10">
        <f t="shared" si="7"/>
        <v>7700.2439837255488</v>
      </c>
      <c r="P71" s="10">
        <f t="shared" si="7"/>
        <v>9090.96621744</v>
      </c>
      <c r="Q71" s="10">
        <f t="shared" si="7"/>
        <v>8981.2595404299991</v>
      </c>
      <c r="R71" s="10">
        <f t="shared" si="7"/>
        <v>10697.14680771</v>
      </c>
      <c r="S71" s="10">
        <f t="shared" si="7"/>
        <v>12805.92253659</v>
      </c>
      <c r="T71" s="10">
        <f t="shared" si="7"/>
        <v>17405.650902150999</v>
      </c>
      <c r="U71" s="10">
        <f t="shared" si="7"/>
        <v>20252.99510308</v>
      </c>
      <c r="V71" s="10"/>
    </row>
    <row r="72" spans="1:22" ht="15" customHeight="1" x14ac:dyDescent="0.3">
      <c r="A72" s="11" t="s">
        <v>61</v>
      </c>
      <c r="B72" s="7">
        <v>856.42994910798927</v>
      </c>
      <c r="C72" s="7">
        <v>1024.7392029057842</v>
      </c>
      <c r="D72" s="7">
        <v>1501.6614900686216</v>
      </c>
      <c r="E72" s="7">
        <v>1491.8233083775176</v>
      </c>
      <c r="F72" s="7">
        <v>1561.6032582132386</v>
      </c>
      <c r="G72" s="7">
        <v>1772.8470908110382</v>
      </c>
      <c r="H72" s="7">
        <v>1554.0837329997162</v>
      </c>
      <c r="I72" s="7">
        <v>1856.8171028295615</v>
      </c>
      <c r="J72" s="7">
        <v>2156.4217118193328</v>
      </c>
      <c r="K72" s="7">
        <v>2379.6726268394928</v>
      </c>
      <c r="L72" s="7">
        <v>2629.094537717433</v>
      </c>
      <c r="M72" s="7">
        <v>3075.412192731771</v>
      </c>
      <c r="N72" s="7">
        <v>3744.1522624300001</v>
      </c>
      <c r="O72" s="7">
        <v>2477.7705831888493</v>
      </c>
      <c r="P72" s="7">
        <v>3088.7363800700005</v>
      </c>
      <c r="Q72" s="7">
        <v>2966.6892238200007</v>
      </c>
      <c r="R72" s="7">
        <v>3472.1223620900005</v>
      </c>
      <c r="S72" s="7">
        <v>4105.8227439900002</v>
      </c>
      <c r="T72" s="7">
        <v>6220.88996391</v>
      </c>
      <c r="U72" s="7">
        <v>7480.5762520799999</v>
      </c>
      <c r="V72" s="7"/>
    </row>
    <row r="73" spans="1:22" ht="15" customHeight="1" x14ac:dyDescent="0.3">
      <c r="A73" s="11" t="s">
        <v>62</v>
      </c>
      <c r="B73" s="7">
        <v>273.41073500440228</v>
      </c>
      <c r="C73" s="7">
        <v>347.81188788944405</v>
      </c>
      <c r="D73" s="7">
        <v>342.9054771963626</v>
      </c>
      <c r="E73" s="7">
        <v>440.30722179494978</v>
      </c>
      <c r="F73" s="7">
        <v>347.18857299996682</v>
      </c>
      <c r="G73" s="7">
        <v>484.93178256288388</v>
      </c>
      <c r="H73" s="7">
        <v>436.65556173573503</v>
      </c>
      <c r="I73" s="7">
        <v>478.96430693223112</v>
      </c>
      <c r="J73" s="7">
        <v>542.68816954974739</v>
      </c>
      <c r="K73" s="7">
        <v>594.0532477822012</v>
      </c>
      <c r="L73" s="7">
        <v>730.32766925378905</v>
      </c>
      <c r="M73" s="7">
        <v>789.96946977615551</v>
      </c>
      <c r="N73" s="7">
        <v>881.1397453300001</v>
      </c>
      <c r="O73" s="7">
        <v>648.63582737374986</v>
      </c>
      <c r="P73" s="7">
        <v>836.88958876999993</v>
      </c>
      <c r="Q73" s="7">
        <v>815.96809197999994</v>
      </c>
      <c r="R73" s="7">
        <v>969.89896132999991</v>
      </c>
      <c r="S73" s="7">
        <v>1076.4411420199999</v>
      </c>
      <c r="T73" s="7">
        <v>1319.6966852200003</v>
      </c>
      <c r="U73" s="7">
        <v>1500.8882946399999</v>
      </c>
      <c r="V73" s="7"/>
    </row>
    <row r="74" spans="1:22" ht="15" customHeight="1" x14ac:dyDescent="0.3">
      <c r="A74" s="11" t="s">
        <v>63</v>
      </c>
      <c r="B74" s="7">
        <v>859.83588050819594</v>
      </c>
      <c r="C74" s="7">
        <v>950.22979503330077</v>
      </c>
      <c r="D74" s="7">
        <v>1074.0277593878163</v>
      </c>
      <c r="E74" s="7">
        <v>1143.3820528260094</v>
      </c>
      <c r="F74" s="7">
        <v>1281.8637569094024</v>
      </c>
      <c r="G74" s="7">
        <v>1566.2079696376304</v>
      </c>
      <c r="H74" s="7">
        <v>1565.946690581987</v>
      </c>
      <c r="I74" s="7">
        <v>1893.7764625407117</v>
      </c>
      <c r="J74" s="7">
        <v>2158.8860932405801</v>
      </c>
      <c r="K74" s="7">
        <v>2388.4769107580714</v>
      </c>
      <c r="L74" s="7">
        <v>2598.4783946820444</v>
      </c>
      <c r="M74" s="7">
        <v>3189.4562709386646</v>
      </c>
      <c r="N74" s="7">
        <v>3594.9606883500001</v>
      </c>
      <c r="O74" s="7">
        <v>2880.5875802661994</v>
      </c>
      <c r="P74" s="7">
        <v>3191.7594852000002</v>
      </c>
      <c r="Q74" s="7">
        <v>3166.2957569199998</v>
      </c>
      <c r="R74" s="7">
        <v>3794.5190127099991</v>
      </c>
      <c r="S74" s="7">
        <v>4532.4894063900001</v>
      </c>
      <c r="T74" s="7">
        <v>5643.4207338799997</v>
      </c>
      <c r="U74" s="7">
        <v>6529.4274448200003</v>
      </c>
      <c r="V74" s="7"/>
    </row>
    <row r="75" spans="1:22" ht="15" customHeight="1" x14ac:dyDescent="0.3">
      <c r="A75" s="11" t="s">
        <v>64</v>
      </c>
      <c r="B75" s="7">
        <v>103.93388057815076</v>
      </c>
      <c r="C75" s="7">
        <v>125.49566709992092</v>
      </c>
      <c r="D75" s="7">
        <v>224.00413791296211</v>
      </c>
      <c r="E75" s="7">
        <v>213.052821986575</v>
      </c>
      <c r="F75" s="7">
        <v>156.6864280593112</v>
      </c>
      <c r="G75" s="7">
        <v>212.17874092896989</v>
      </c>
      <c r="H75" s="7">
        <v>253.79806197082365</v>
      </c>
      <c r="I75" s="7">
        <v>325.87331214505878</v>
      </c>
      <c r="J75" s="7">
        <v>369.68762550574041</v>
      </c>
      <c r="K75" s="7">
        <v>370.11124790919365</v>
      </c>
      <c r="L75" s="7">
        <v>394.745127796752</v>
      </c>
      <c r="M75" s="7">
        <v>448.89951931215171</v>
      </c>
      <c r="N75" s="7">
        <v>566.39665065999998</v>
      </c>
      <c r="O75" s="7">
        <v>399.81410720425004</v>
      </c>
      <c r="P75" s="7">
        <v>473.41083662</v>
      </c>
      <c r="Q75" s="7">
        <v>506.09740573999989</v>
      </c>
      <c r="R75" s="7">
        <v>554.89030933999993</v>
      </c>
      <c r="S75" s="7">
        <v>760.22696823000001</v>
      </c>
      <c r="T75" s="7">
        <v>841.6673794400001</v>
      </c>
      <c r="U75" s="7">
        <v>1001.6573965000001</v>
      </c>
      <c r="V75" s="7"/>
    </row>
    <row r="76" spans="1:22" ht="15" customHeight="1" x14ac:dyDescent="0.3">
      <c r="A76" s="11" t="s">
        <v>65</v>
      </c>
      <c r="B76" s="7">
        <v>188.17008676750427</v>
      </c>
      <c r="C76" s="7">
        <v>221.28078722246246</v>
      </c>
      <c r="D76" s="7">
        <v>266.08664392347879</v>
      </c>
      <c r="E76" s="7">
        <v>236.81512538428001</v>
      </c>
      <c r="F76" s="7">
        <v>250.95961840381335</v>
      </c>
      <c r="G76" s="7">
        <v>364.54096497346023</v>
      </c>
      <c r="H76" s="7">
        <v>441.92657626151492</v>
      </c>
      <c r="I76" s="7">
        <v>417.9930001956663</v>
      </c>
      <c r="J76" s="7">
        <v>502.7071847195046</v>
      </c>
      <c r="K76" s="7">
        <v>509.57056976443039</v>
      </c>
      <c r="L76" s="7">
        <v>637.80477593849423</v>
      </c>
      <c r="M76" s="7">
        <v>738.77350433091954</v>
      </c>
      <c r="N76" s="7">
        <v>880.24597653000012</v>
      </c>
      <c r="O76" s="7">
        <v>598.60160149000001</v>
      </c>
      <c r="P76" s="7">
        <v>706.52563034999991</v>
      </c>
      <c r="Q76" s="7">
        <v>659.49029523000013</v>
      </c>
      <c r="R76" s="7">
        <v>882.43847297000002</v>
      </c>
      <c r="S76" s="7">
        <v>1077.76307623</v>
      </c>
      <c r="T76" s="7">
        <v>1391.9034801510002</v>
      </c>
      <c r="U76" s="7">
        <v>1504.4919606100002</v>
      </c>
      <c r="V76" s="7"/>
    </row>
    <row r="77" spans="1:22" ht="15" customHeight="1" x14ac:dyDescent="0.3">
      <c r="A77" s="11" t="s">
        <v>66</v>
      </c>
      <c r="B77" s="7">
        <v>202.10283747893894</v>
      </c>
      <c r="C77" s="7">
        <v>235.25927398428684</v>
      </c>
      <c r="D77" s="7">
        <v>300.19723702044041</v>
      </c>
      <c r="E77" s="7">
        <v>331.2849304149052</v>
      </c>
      <c r="F77" s="7">
        <v>293.21466670037989</v>
      </c>
      <c r="G77" s="7">
        <v>357.3131694239608</v>
      </c>
      <c r="H77" s="7">
        <v>401.39327594795867</v>
      </c>
      <c r="I77" s="7">
        <v>504.16516651037819</v>
      </c>
      <c r="J77" s="7">
        <v>615.66840394614781</v>
      </c>
      <c r="K77" s="7">
        <v>707.52817280151339</v>
      </c>
      <c r="L77" s="7">
        <v>776.05870458761513</v>
      </c>
      <c r="M77" s="7">
        <v>981.17563516766631</v>
      </c>
      <c r="N77" s="7">
        <v>1134.4049422000001</v>
      </c>
      <c r="O77" s="7">
        <v>694.83428420250004</v>
      </c>
      <c r="P77" s="7">
        <v>793.64429643000005</v>
      </c>
      <c r="Q77" s="7">
        <v>866.71876674000009</v>
      </c>
      <c r="R77" s="7">
        <v>1023.27768927</v>
      </c>
      <c r="S77" s="7">
        <v>1253.1791997300002</v>
      </c>
      <c r="T77" s="7">
        <v>1988.07265955</v>
      </c>
      <c r="U77" s="7">
        <v>2235.9537544300001</v>
      </c>
      <c r="V77" s="7"/>
    </row>
    <row r="78" spans="1:22" s="9" customFormat="1" ht="15" customHeight="1" x14ac:dyDescent="0.3">
      <c r="A78" s="3"/>
      <c r="B78" s="10"/>
      <c r="C78" s="10"/>
      <c r="D78" s="10"/>
      <c r="E78" s="10"/>
      <c r="F78" s="10"/>
      <c r="G78" s="10"/>
      <c r="H78" s="10"/>
      <c r="I78" s="10"/>
      <c r="J78" s="10"/>
      <c r="K78" s="10"/>
      <c r="L78" s="10"/>
      <c r="M78" s="10"/>
      <c r="N78" s="10"/>
      <c r="O78" s="10"/>
      <c r="P78" s="10"/>
      <c r="Q78" s="10"/>
      <c r="R78" s="10"/>
      <c r="S78" s="10"/>
      <c r="T78" s="10"/>
      <c r="U78" s="10"/>
      <c r="V78" s="10"/>
    </row>
    <row r="79" spans="1:22" s="9" customFormat="1" ht="15" customHeight="1" x14ac:dyDescent="0.25">
      <c r="A79" s="9" t="s">
        <v>67</v>
      </c>
      <c r="B79" s="10">
        <f>SUM(B80:B84)</f>
        <v>3665.0303180850542</v>
      </c>
      <c r="C79" s="10">
        <f t="shared" ref="C79:U79" si="8">SUM(C80:C84)</f>
        <v>4399.3923020320753</v>
      </c>
      <c r="D79" s="10">
        <f t="shared" si="8"/>
        <v>4337.9724492180958</v>
      </c>
      <c r="E79" s="10">
        <f t="shared" si="8"/>
        <v>5223.6348504057332</v>
      </c>
      <c r="F79" s="10">
        <f t="shared" si="8"/>
        <v>4559.9363274370826</v>
      </c>
      <c r="G79" s="10">
        <f t="shared" si="8"/>
        <v>6153.9030532824054</v>
      </c>
      <c r="H79" s="10">
        <f t="shared" si="8"/>
        <v>5310.6360971262129</v>
      </c>
      <c r="I79" s="10">
        <f t="shared" si="8"/>
        <v>6470.37896916301</v>
      </c>
      <c r="J79" s="10">
        <f t="shared" si="8"/>
        <v>7184.9421855721939</v>
      </c>
      <c r="K79" s="10">
        <f t="shared" si="8"/>
        <v>8476.6460467944617</v>
      </c>
      <c r="L79" s="10">
        <f t="shared" si="8"/>
        <v>9047.1345629745174</v>
      </c>
      <c r="M79" s="10">
        <f t="shared" si="8"/>
        <v>10725.546440550526</v>
      </c>
      <c r="N79" s="10">
        <f t="shared" si="8"/>
        <v>12303.827433660001</v>
      </c>
      <c r="O79" s="10">
        <f t="shared" si="8"/>
        <v>9443.7512489398014</v>
      </c>
      <c r="P79" s="10">
        <f t="shared" si="8"/>
        <v>11225.45710919</v>
      </c>
      <c r="Q79" s="10">
        <f t="shared" si="8"/>
        <v>10409.364478470001</v>
      </c>
      <c r="R79" s="10">
        <f t="shared" si="8"/>
        <v>11094.997059270001</v>
      </c>
      <c r="S79" s="10">
        <f t="shared" si="8"/>
        <v>13724.73167306</v>
      </c>
      <c r="T79" s="10">
        <f t="shared" si="8"/>
        <v>15968.339578450003</v>
      </c>
      <c r="U79" s="10">
        <f t="shared" si="8"/>
        <v>18317.113805510002</v>
      </c>
      <c r="V79" s="10"/>
    </row>
    <row r="80" spans="1:22" ht="15" customHeight="1" x14ac:dyDescent="0.3">
      <c r="A80" s="11" t="s">
        <v>68</v>
      </c>
      <c r="B80" s="7">
        <v>369.33911066874657</v>
      </c>
      <c r="C80" s="7">
        <v>395.01961558142608</v>
      </c>
      <c r="D80" s="7">
        <v>489.00884555338041</v>
      </c>
      <c r="E80" s="7">
        <v>548.13147106688439</v>
      </c>
      <c r="F80" s="7">
        <v>565.98880253737855</v>
      </c>
      <c r="G80" s="7">
        <v>652.25464494406719</v>
      </c>
      <c r="H80" s="7">
        <v>761.6528390868134</v>
      </c>
      <c r="I80" s="7">
        <v>1121.7903192253575</v>
      </c>
      <c r="J80" s="7">
        <v>1083.3211381148583</v>
      </c>
      <c r="K80" s="7">
        <v>1209.7080620267934</v>
      </c>
      <c r="L80" s="7">
        <v>1394.6813086899476</v>
      </c>
      <c r="M80" s="7">
        <v>1605.0447719211875</v>
      </c>
      <c r="N80" s="7">
        <v>2271.9045543399998</v>
      </c>
      <c r="O80" s="7">
        <v>1483.3729677545</v>
      </c>
      <c r="P80" s="7">
        <v>1999.9323158800003</v>
      </c>
      <c r="Q80" s="7">
        <v>1827.4661139000007</v>
      </c>
      <c r="R80" s="7">
        <v>1285.7301246700001</v>
      </c>
      <c r="S80" s="7">
        <v>1788.0517868400002</v>
      </c>
      <c r="T80" s="7">
        <v>2496.5355655999997</v>
      </c>
      <c r="U80" s="7">
        <v>2668.2367284700003</v>
      </c>
      <c r="V80" s="7"/>
    </row>
    <row r="81" spans="1:22" ht="15" customHeight="1" x14ac:dyDescent="0.3">
      <c r="A81" s="11" t="s">
        <v>69</v>
      </c>
      <c r="B81" s="7">
        <v>222.43173890747278</v>
      </c>
      <c r="C81" s="7">
        <v>665.75315098073543</v>
      </c>
      <c r="D81" s="7">
        <v>204.21982934517877</v>
      </c>
      <c r="E81" s="7">
        <v>196.41431297496456</v>
      </c>
      <c r="F81" s="7">
        <v>236.38958462049234</v>
      </c>
      <c r="G81" s="7">
        <v>340.14520193329309</v>
      </c>
      <c r="H81" s="7">
        <v>326.67934986508754</v>
      </c>
      <c r="I81" s="7">
        <v>381.67221216370581</v>
      </c>
      <c r="J81" s="7">
        <v>424.51182159144554</v>
      </c>
      <c r="K81" s="7">
        <v>483.45841302134505</v>
      </c>
      <c r="L81" s="7">
        <v>504.83039523831224</v>
      </c>
      <c r="M81" s="7">
        <v>621.26667759124587</v>
      </c>
      <c r="N81" s="7">
        <v>728.52688444000012</v>
      </c>
      <c r="O81" s="7">
        <v>559.39761150000004</v>
      </c>
      <c r="P81" s="7">
        <v>668.59300805999999</v>
      </c>
      <c r="Q81" s="7">
        <v>612.67783772000007</v>
      </c>
      <c r="R81" s="7">
        <v>725.61615320999999</v>
      </c>
      <c r="S81" s="7">
        <v>887.97617996999998</v>
      </c>
      <c r="T81" s="7">
        <v>1056.3921929000003</v>
      </c>
      <c r="U81" s="7">
        <v>1260.0200501400002</v>
      </c>
      <c r="V81" s="7"/>
    </row>
    <row r="82" spans="1:22" ht="15" customHeight="1" x14ac:dyDescent="0.3">
      <c r="A82" s="11" t="s">
        <v>70</v>
      </c>
      <c r="B82" s="7">
        <v>318.84846984080599</v>
      </c>
      <c r="C82" s="7">
        <v>344.76166704967204</v>
      </c>
      <c r="D82" s="7">
        <v>381.0057717751219</v>
      </c>
      <c r="E82" s="7">
        <v>420.48775736785637</v>
      </c>
      <c r="F82" s="7">
        <v>381.46470571467364</v>
      </c>
      <c r="G82" s="7">
        <v>498.69235632314428</v>
      </c>
      <c r="H82" s="7">
        <v>586.13487622680407</v>
      </c>
      <c r="I82" s="7">
        <v>702.46608949660254</v>
      </c>
      <c r="J82" s="7">
        <v>782.28374117054227</v>
      </c>
      <c r="K82" s="7">
        <v>898.42991406395254</v>
      </c>
      <c r="L82" s="7">
        <v>1016.5980736607231</v>
      </c>
      <c r="M82" s="7">
        <v>1179.8775931858734</v>
      </c>
      <c r="N82" s="7">
        <v>1300.06649771</v>
      </c>
      <c r="O82" s="7">
        <v>1062.0262187335998</v>
      </c>
      <c r="P82" s="7">
        <v>1193.8347477599996</v>
      </c>
      <c r="Q82" s="7">
        <v>1176.5231034999999</v>
      </c>
      <c r="R82" s="7">
        <v>1215.0030701800001</v>
      </c>
      <c r="S82" s="7">
        <v>1433.3704877899997</v>
      </c>
      <c r="T82" s="7">
        <v>1695.1087272899997</v>
      </c>
      <c r="U82" s="7">
        <v>1924.7022691300001</v>
      </c>
      <c r="V82" s="7"/>
    </row>
    <row r="83" spans="1:22" ht="15" customHeight="1" x14ac:dyDescent="0.3">
      <c r="A83" s="11" t="s">
        <v>71</v>
      </c>
      <c r="B83" s="7">
        <v>288.87754759695912</v>
      </c>
      <c r="C83" s="7">
        <v>316.35616465722603</v>
      </c>
      <c r="D83" s="7">
        <v>348.62630598379707</v>
      </c>
      <c r="E83" s="7">
        <v>396.13103438883684</v>
      </c>
      <c r="F83" s="7">
        <v>310.92184064447275</v>
      </c>
      <c r="G83" s="7">
        <v>387.04865041233387</v>
      </c>
      <c r="H83" s="7">
        <v>440.56136824407207</v>
      </c>
      <c r="I83" s="7">
        <v>532.09503031621205</v>
      </c>
      <c r="J83" s="7">
        <v>614.35911687021382</v>
      </c>
      <c r="K83" s="7">
        <v>688.28571871166093</v>
      </c>
      <c r="L83" s="7">
        <v>760.5117719579506</v>
      </c>
      <c r="M83" s="7">
        <v>969.11750696032698</v>
      </c>
      <c r="N83" s="7">
        <v>1191.9124977400002</v>
      </c>
      <c r="O83" s="7">
        <v>850.09843151420012</v>
      </c>
      <c r="P83" s="7">
        <v>942.78327735000016</v>
      </c>
      <c r="Q83" s="7">
        <v>1029.3264094399999</v>
      </c>
      <c r="R83" s="7">
        <v>1137.8728038699999</v>
      </c>
      <c r="S83" s="7">
        <v>1347.4077076499998</v>
      </c>
      <c r="T83" s="7">
        <v>1718.9426933999998</v>
      </c>
      <c r="U83" s="7">
        <v>2065.0284870799996</v>
      </c>
      <c r="V83" s="7"/>
    </row>
    <row r="84" spans="1:22" ht="18" customHeight="1" x14ac:dyDescent="0.3">
      <c r="A84" s="11" t="s">
        <v>72</v>
      </c>
      <c r="B84" s="7">
        <v>2465.53345107107</v>
      </c>
      <c r="C84" s="7">
        <v>2677.5017037630159</v>
      </c>
      <c r="D84" s="7">
        <v>2915.1116965606175</v>
      </c>
      <c r="E84" s="7">
        <v>3662.4702746071916</v>
      </c>
      <c r="F84" s="7">
        <v>3065.1713939200654</v>
      </c>
      <c r="G84" s="7">
        <v>4275.7621996695671</v>
      </c>
      <c r="H84" s="7">
        <v>3195.6076637034357</v>
      </c>
      <c r="I84" s="7">
        <v>3732.3553179611322</v>
      </c>
      <c r="J84" s="7">
        <v>4280.4663678251336</v>
      </c>
      <c r="K84" s="7">
        <v>5196.7639389707101</v>
      </c>
      <c r="L84" s="7">
        <v>5370.5130134275832</v>
      </c>
      <c r="M84" s="7">
        <v>6350.2398908918922</v>
      </c>
      <c r="N84" s="7">
        <v>6811.41699943</v>
      </c>
      <c r="O84" s="7">
        <v>5488.8560194375013</v>
      </c>
      <c r="P84" s="7">
        <v>6420.3137601399985</v>
      </c>
      <c r="Q84" s="7">
        <v>5763.3710139100012</v>
      </c>
      <c r="R84" s="7">
        <v>6730.77490734</v>
      </c>
      <c r="S84" s="7">
        <v>8267.9255108100006</v>
      </c>
      <c r="T84" s="7">
        <v>9001.3603992600038</v>
      </c>
      <c r="U84" s="7">
        <v>10399.12627069</v>
      </c>
      <c r="V84" s="7"/>
    </row>
    <row r="85" spans="1:22" s="9" customFormat="1" ht="15" customHeight="1" x14ac:dyDescent="0.3">
      <c r="A85" s="3"/>
      <c r="B85" s="10"/>
      <c r="C85" s="10"/>
      <c r="D85" s="10"/>
      <c r="E85" s="10"/>
      <c r="F85" s="10"/>
      <c r="G85" s="10"/>
      <c r="H85" s="10"/>
      <c r="I85" s="10"/>
      <c r="J85" s="10"/>
      <c r="K85" s="10"/>
      <c r="L85" s="10"/>
      <c r="M85" s="10"/>
      <c r="N85" s="10"/>
      <c r="O85" s="10"/>
      <c r="P85" s="10"/>
      <c r="Q85" s="10"/>
      <c r="R85" s="10"/>
      <c r="S85" s="10"/>
      <c r="T85" s="10"/>
      <c r="U85" s="10"/>
      <c r="V85" s="10"/>
    </row>
    <row r="86" spans="1:22" s="9" customFormat="1" ht="15" customHeight="1" x14ac:dyDescent="0.25">
      <c r="A86" s="9" t="s">
        <v>73</v>
      </c>
      <c r="B86" s="10">
        <f>SUM(B87:B88)</f>
        <v>3078.2233634884897</v>
      </c>
      <c r="C86" s="10">
        <f t="shared" ref="C86:U86" si="9">SUM(C87:C88)</f>
        <v>3321.2526729726274</v>
      </c>
      <c r="D86" s="10">
        <f t="shared" si="9"/>
        <v>3299.1996022080257</v>
      </c>
      <c r="E86" s="10">
        <f t="shared" si="9"/>
        <v>3606.0911646095165</v>
      </c>
      <c r="F86" s="10">
        <f t="shared" si="9"/>
        <v>4206.4678503881914</v>
      </c>
      <c r="G86" s="10">
        <f t="shared" si="9"/>
        <v>4837.7240136308183</v>
      </c>
      <c r="H86" s="10">
        <f t="shared" si="9"/>
        <v>5184.1452477308667</v>
      </c>
      <c r="I86" s="10">
        <f t="shared" si="9"/>
        <v>6121.6908635691725</v>
      </c>
      <c r="J86" s="10">
        <f t="shared" si="9"/>
        <v>6736.0978279338397</v>
      </c>
      <c r="K86" s="10">
        <f t="shared" si="9"/>
        <v>7673.0053051023451</v>
      </c>
      <c r="L86" s="10">
        <f t="shared" si="9"/>
        <v>9036.3676281418921</v>
      </c>
      <c r="M86" s="10">
        <f t="shared" si="9"/>
        <v>10315.179968227345</v>
      </c>
      <c r="N86" s="10">
        <f t="shared" si="9"/>
        <v>11197.046215319999</v>
      </c>
      <c r="O86" s="10">
        <f t="shared" si="9"/>
        <v>9308.881578701099</v>
      </c>
      <c r="P86" s="10">
        <f t="shared" si="9"/>
        <v>10188.887822949999</v>
      </c>
      <c r="Q86" s="10">
        <f t="shared" si="9"/>
        <v>9517.8367184999988</v>
      </c>
      <c r="R86" s="10">
        <f t="shared" si="9"/>
        <v>10240.125998199999</v>
      </c>
      <c r="S86" s="10">
        <f t="shared" si="9"/>
        <v>12668.46694169</v>
      </c>
      <c r="T86" s="10">
        <f t="shared" si="9"/>
        <v>14302.276412489999</v>
      </c>
      <c r="U86" s="10">
        <f t="shared" si="9"/>
        <v>16307.567808510001</v>
      </c>
      <c r="V86" s="10"/>
    </row>
    <row r="87" spans="1:22" ht="15" customHeight="1" x14ac:dyDescent="0.3">
      <c r="A87" s="11" t="s">
        <v>74</v>
      </c>
      <c r="B87" s="7">
        <v>2324.7142561268201</v>
      </c>
      <c r="C87" s="7">
        <v>2488.5884856176717</v>
      </c>
      <c r="D87" s="7">
        <v>2494.5627096521166</v>
      </c>
      <c r="E87" s="7">
        <v>2656.0964915363688</v>
      </c>
      <c r="F87" s="7">
        <v>3266.686910819466</v>
      </c>
      <c r="G87" s="7">
        <v>3631.2066546486076</v>
      </c>
      <c r="H87" s="7">
        <v>3968.4825131826856</v>
      </c>
      <c r="I87" s="7">
        <v>4650.2194982318806</v>
      </c>
      <c r="J87" s="7">
        <v>5157.7823347842887</v>
      </c>
      <c r="K87" s="7">
        <v>5859.2631843374938</v>
      </c>
      <c r="L87" s="7">
        <v>6986.1741224407297</v>
      </c>
      <c r="M87" s="7">
        <v>7958.840920680188</v>
      </c>
      <c r="N87" s="7">
        <v>8544.2530698599985</v>
      </c>
      <c r="O87" s="7">
        <v>7335.0432509068996</v>
      </c>
      <c r="P87" s="7">
        <v>7736.8243116499989</v>
      </c>
      <c r="Q87" s="7">
        <v>7223.9994809899981</v>
      </c>
      <c r="R87" s="7">
        <v>7597.3833104899986</v>
      </c>
      <c r="S87" s="7">
        <v>9589.9794397200003</v>
      </c>
      <c r="T87" s="7">
        <v>10497.66740108</v>
      </c>
      <c r="U87" s="7">
        <v>11793.371449030001</v>
      </c>
      <c r="V87" s="7"/>
    </row>
    <row r="88" spans="1:22" ht="15" customHeight="1" x14ac:dyDescent="0.3">
      <c r="A88" s="11" t="s">
        <v>75</v>
      </c>
      <c r="B88" s="7">
        <v>753.50910736166929</v>
      </c>
      <c r="C88" s="7">
        <v>832.66418735495563</v>
      </c>
      <c r="D88" s="7">
        <v>804.63689255590896</v>
      </c>
      <c r="E88" s="7">
        <v>949.99467307314774</v>
      </c>
      <c r="F88" s="7">
        <v>939.78093956872522</v>
      </c>
      <c r="G88" s="7">
        <v>1206.5173589822105</v>
      </c>
      <c r="H88" s="7">
        <v>1215.6627345481807</v>
      </c>
      <c r="I88" s="7">
        <v>1471.4713653372921</v>
      </c>
      <c r="J88" s="7">
        <v>1578.3154931495512</v>
      </c>
      <c r="K88" s="7">
        <v>1813.7421207648513</v>
      </c>
      <c r="L88" s="7">
        <v>2050.1935057011624</v>
      </c>
      <c r="M88" s="7">
        <v>2356.3390475471574</v>
      </c>
      <c r="N88" s="7">
        <v>2652.7931454600002</v>
      </c>
      <c r="O88" s="7">
        <v>1973.8383277941998</v>
      </c>
      <c r="P88" s="7">
        <v>2452.0635112999998</v>
      </c>
      <c r="Q88" s="7">
        <v>2293.8372375100003</v>
      </c>
      <c r="R88" s="7">
        <v>2642.7426877100011</v>
      </c>
      <c r="S88" s="7">
        <v>3078.4875019699994</v>
      </c>
      <c r="T88" s="7">
        <v>3804.6090114099998</v>
      </c>
      <c r="U88" s="7">
        <v>4514.19635948</v>
      </c>
      <c r="V88" s="7"/>
    </row>
    <row r="89" spans="1:22" s="9" customFormat="1" ht="15" customHeight="1" x14ac:dyDescent="0.3">
      <c r="A89" s="3"/>
      <c r="B89" s="10"/>
      <c r="C89" s="10"/>
      <c r="D89" s="10"/>
      <c r="E89" s="10"/>
      <c r="F89" s="10"/>
      <c r="G89" s="10"/>
      <c r="H89" s="10"/>
      <c r="I89" s="10"/>
      <c r="J89" s="10"/>
      <c r="K89" s="10"/>
      <c r="L89" s="10"/>
      <c r="M89" s="10"/>
      <c r="N89" s="10"/>
      <c r="O89" s="10"/>
      <c r="P89" s="10"/>
      <c r="Q89" s="10"/>
      <c r="R89" s="10"/>
      <c r="S89" s="10"/>
      <c r="T89" s="10"/>
      <c r="U89" s="10"/>
      <c r="V89" s="10"/>
    </row>
    <row r="90" spans="1:22" s="9" customFormat="1" ht="15" customHeight="1" x14ac:dyDescent="0.25">
      <c r="A90" s="9" t="s">
        <v>76</v>
      </c>
      <c r="B90" s="10">
        <f>SUM(B91:B94)</f>
        <v>14056.330364002151</v>
      </c>
      <c r="C90" s="10">
        <f t="shared" ref="C90:U90" si="10">SUM(C91:C94)</f>
        <v>17776.017762799729</v>
      </c>
      <c r="D90" s="10">
        <f t="shared" si="10"/>
        <v>19240.11923095</v>
      </c>
      <c r="E90" s="10">
        <f t="shared" si="10"/>
        <v>19955.826691115777</v>
      </c>
      <c r="F90" s="10">
        <f t="shared" si="10"/>
        <v>17070.215230088244</v>
      </c>
      <c r="G90" s="10">
        <f t="shared" si="10"/>
        <v>21416.61240570846</v>
      </c>
      <c r="H90" s="10">
        <f t="shared" si="10"/>
        <v>27332.394006873626</v>
      </c>
      <c r="I90" s="10">
        <f t="shared" si="10"/>
        <v>32880.694887043806</v>
      </c>
      <c r="J90" s="10">
        <f t="shared" si="10"/>
        <v>38363.084941795722</v>
      </c>
      <c r="K90" s="10">
        <f t="shared" si="10"/>
        <v>48469.82648929648</v>
      </c>
      <c r="L90" s="10">
        <f t="shared" si="10"/>
        <v>60785.985254557389</v>
      </c>
      <c r="M90" s="10">
        <f t="shared" si="10"/>
        <v>59562.744871517833</v>
      </c>
      <c r="N90" s="10">
        <f t="shared" si="10"/>
        <v>62008.455339449996</v>
      </c>
      <c r="O90" s="10">
        <f t="shared" si="10"/>
        <v>60794.698855009803</v>
      </c>
      <c r="P90" s="10">
        <f t="shared" si="10"/>
        <v>66948.182927430011</v>
      </c>
      <c r="Q90" s="10">
        <f t="shared" si="10"/>
        <v>58214.322520990012</v>
      </c>
      <c r="R90" s="10">
        <f t="shared" si="10"/>
        <v>59432.470431949987</v>
      </c>
      <c r="S90" s="10">
        <f t="shared" si="10"/>
        <v>70874.075414780003</v>
      </c>
      <c r="T90" s="10">
        <f t="shared" si="10"/>
        <v>82459.806736009996</v>
      </c>
      <c r="U90" s="10">
        <f t="shared" si="10"/>
        <v>91877.928291229997</v>
      </c>
      <c r="V90" s="10"/>
    </row>
    <row r="91" spans="1:22" ht="15" customHeight="1" x14ac:dyDescent="0.3">
      <c r="A91" s="11" t="s">
        <v>77</v>
      </c>
      <c r="B91" s="7">
        <v>571.52245501843583</v>
      </c>
      <c r="C91" s="7">
        <v>687.93699813489479</v>
      </c>
      <c r="D91" s="7">
        <v>703.01505488999999</v>
      </c>
      <c r="E91" s="7">
        <v>712.22107063614988</v>
      </c>
      <c r="F91" s="7">
        <v>807.55784134098474</v>
      </c>
      <c r="G91" s="7">
        <v>870.34221690046706</v>
      </c>
      <c r="H91" s="7">
        <v>1022.3376989591612</v>
      </c>
      <c r="I91" s="7">
        <v>1209.5071754024539</v>
      </c>
      <c r="J91" s="7">
        <v>1415.4871168243274</v>
      </c>
      <c r="K91" s="7">
        <v>1615.9770408570719</v>
      </c>
      <c r="L91" s="7">
        <v>1782.1168777131611</v>
      </c>
      <c r="M91" s="7">
        <v>2148.3132994389753</v>
      </c>
      <c r="N91" s="7">
        <v>2488.8436305900004</v>
      </c>
      <c r="O91" s="7">
        <v>2175.7204787299997</v>
      </c>
      <c r="P91" s="7">
        <v>2927.1713698700005</v>
      </c>
      <c r="Q91" s="7">
        <v>2231.21122874</v>
      </c>
      <c r="R91" s="7">
        <v>2503.9660807500004</v>
      </c>
      <c r="S91" s="7">
        <v>3001.93620311</v>
      </c>
      <c r="T91" s="7">
        <v>3762.5681674999996</v>
      </c>
      <c r="U91" s="7">
        <v>4451.1166085699997</v>
      </c>
      <c r="V91" s="7"/>
    </row>
    <row r="92" spans="1:22" ht="15" customHeight="1" x14ac:dyDescent="0.3">
      <c r="A92" s="11" t="s">
        <v>78</v>
      </c>
      <c r="B92" s="7">
        <v>2895.9394769842775</v>
      </c>
      <c r="C92" s="7">
        <v>3709.3572884603018</v>
      </c>
      <c r="D92" s="7">
        <v>3207.5812018700003</v>
      </c>
      <c r="E92" s="7">
        <v>3725.6653497804837</v>
      </c>
      <c r="F92" s="7">
        <v>3692.2963280491422</v>
      </c>
      <c r="G92" s="7">
        <v>4500.5853738834467</v>
      </c>
      <c r="H92" s="7">
        <v>5022.8847676433561</v>
      </c>
      <c r="I92" s="7">
        <v>5809.2049390471702</v>
      </c>
      <c r="J92" s="7">
        <v>6589.839894590199</v>
      </c>
      <c r="K92" s="7">
        <v>7908.4479695899536</v>
      </c>
      <c r="L92" s="7">
        <v>8967.1409505667489</v>
      </c>
      <c r="M92" s="7">
        <v>10344.107652343471</v>
      </c>
      <c r="N92" s="7">
        <v>11618.26199391</v>
      </c>
      <c r="O92" s="7">
        <v>12292.7147323631</v>
      </c>
      <c r="P92" s="7">
        <v>14628.016773170002</v>
      </c>
      <c r="Q92" s="7">
        <v>12948.74977135</v>
      </c>
      <c r="R92" s="7">
        <v>14687.88728617</v>
      </c>
      <c r="S92" s="7">
        <v>16796.12861969</v>
      </c>
      <c r="T92" s="7">
        <v>19698.870669259995</v>
      </c>
      <c r="U92" s="7">
        <v>21920.755639400006</v>
      </c>
      <c r="V92" s="7"/>
    </row>
    <row r="93" spans="1:22" ht="15" customHeight="1" x14ac:dyDescent="0.3">
      <c r="A93" s="11" t="s">
        <v>79</v>
      </c>
      <c r="B93" s="7">
        <v>3519.1901380094382</v>
      </c>
      <c r="C93" s="7">
        <v>4359.4986950445345</v>
      </c>
      <c r="D93" s="7">
        <v>3990.4880334099998</v>
      </c>
      <c r="E93" s="7">
        <v>4934.9645927891415</v>
      </c>
      <c r="F93" s="7">
        <v>5060.6261278681186</v>
      </c>
      <c r="G93" s="7">
        <v>7020.5390455545457</v>
      </c>
      <c r="H93" s="7">
        <v>6299.0568727411091</v>
      </c>
      <c r="I93" s="7">
        <v>7796.7200543441822</v>
      </c>
      <c r="J93" s="7">
        <v>9159.7400471211949</v>
      </c>
      <c r="K93" s="7">
        <v>11693.030017099456</v>
      </c>
      <c r="L93" s="7">
        <v>15166.314197497471</v>
      </c>
      <c r="M93" s="7">
        <v>14298.94856352539</v>
      </c>
      <c r="N93" s="7">
        <v>13497.548021520004</v>
      </c>
      <c r="O93" s="7">
        <v>13595.703453196702</v>
      </c>
      <c r="P93" s="7">
        <v>16403.682771090003</v>
      </c>
      <c r="Q93" s="7">
        <v>13873.254632270004</v>
      </c>
      <c r="R93" s="7">
        <v>15639.450898429996</v>
      </c>
      <c r="S93" s="7">
        <v>18814.290709419998</v>
      </c>
      <c r="T93" s="7">
        <v>19163.511355149996</v>
      </c>
      <c r="U93" s="7">
        <v>22809.561220949996</v>
      </c>
      <c r="V93" s="7"/>
    </row>
    <row r="94" spans="1:22" ht="18" customHeight="1" x14ac:dyDescent="0.3">
      <c r="A94" s="11" t="s">
        <v>80</v>
      </c>
      <c r="B94" s="7">
        <v>7069.6782939900004</v>
      </c>
      <c r="C94" s="7">
        <v>9019.2247811599991</v>
      </c>
      <c r="D94" s="7">
        <v>11339.03494078</v>
      </c>
      <c r="E94" s="7">
        <v>10582.975677910001</v>
      </c>
      <c r="F94" s="7">
        <v>7509.7349328299988</v>
      </c>
      <c r="G94" s="7">
        <v>9025.1457693699995</v>
      </c>
      <c r="H94" s="7">
        <v>14988.114667530001</v>
      </c>
      <c r="I94" s="7">
        <v>18065.262718250004</v>
      </c>
      <c r="J94" s="7">
        <v>21198.01788326</v>
      </c>
      <c r="K94" s="7">
        <v>27252.371461750005</v>
      </c>
      <c r="L94" s="7">
        <v>34870.413228780009</v>
      </c>
      <c r="M94" s="7">
        <v>32771.375356209996</v>
      </c>
      <c r="N94" s="7">
        <v>34403.801693429996</v>
      </c>
      <c r="O94" s="7">
        <v>32730.560190720003</v>
      </c>
      <c r="P94" s="7">
        <v>32989.312013300005</v>
      </c>
      <c r="Q94" s="7">
        <v>29161.106888630005</v>
      </c>
      <c r="R94" s="7">
        <v>26601.166166599993</v>
      </c>
      <c r="S94" s="7">
        <v>32261.719882559999</v>
      </c>
      <c r="T94" s="7">
        <v>39834.856544100003</v>
      </c>
      <c r="U94" s="7">
        <v>42696.494822309993</v>
      </c>
      <c r="V94" s="7"/>
    </row>
    <row r="95" spans="1:22" ht="15" customHeight="1" x14ac:dyDescent="0.3">
      <c r="A95" s="11"/>
      <c r="B95" s="7"/>
      <c r="C95" s="7"/>
      <c r="D95" s="7"/>
      <c r="E95" s="7"/>
      <c r="F95" s="7"/>
      <c r="G95" s="7"/>
      <c r="H95" s="7"/>
      <c r="I95" s="7"/>
      <c r="J95" s="7"/>
      <c r="K95" s="7"/>
      <c r="L95" s="7"/>
      <c r="M95" s="7"/>
      <c r="N95" s="7"/>
      <c r="O95" s="7"/>
      <c r="P95" s="7"/>
      <c r="Q95" s="7"/>
      <c r="R95" s="7"/>
      <c r="S95" s="7"/>
      <c r="T95" s="7"/>
      <c r="U95" s="7"/>
      <c r="V95" s="7"/>
    </row>
    <row r="96" spans="1:22" s="9" customFormat="1" ht="15" customHeight="1" x14ac:dyDescent="0.25">
      <c r="A96" s="12" t="s">
        <v>81</v>
      </c>
      <c r="B96" s="10">
        <f>SUM(B97:B102)</f>
        <v>2921.8840693136258</v>
      </c>
      <c r="C96" s="10">
        <f t="shared" ref="C96:U96" si="11">SUM(C97:C102)</f>
        <v>3218.98837422002</v>
      </c>
      <c r="D96" s="10">
        <f t="shared" si="11"/>
        <v>3203.7646533852426</v>
      </c>
      <c r="E96" s="10">
        <f t="shared" si="11"/>
        <v>2844.8359758558245</v>
      </c>
      <c r="F96" s="10">
        <f t="shared" si="11"/>
        <v>3169.318292452027</v>
      </c>
      <c r="G96" s="10">
        <f t="shared" si="11"/>
        <v>3964.5052795778447</v>
      </c>
      <c r="H96" s="10">
        <f t="shared" si="11"/>
        <v>3829.5410545696523</v>
      </c>
      <c r="I96" s="10">
        <f t="shared" si="11"/>
        <v>4731.262445619559</v>
      </c>
      <c r="J96" s="10">
        <f t="shared" si="11"/>
        <v>4890.2936490716456</v>
      </c>
      <c r="K96" s="10">
        <f t="shared" si="11"/>
        <v>5213.2409487881105</v>
      </c>
      <c r="L96" s="10">
        <f t="shared" si="11"/>
        <v>6514.3481817250868</v>
      </c>
      <c r="M96" s="10">
        <f t="shared" si="11"/>
        <v>7836.5792879559122</v>
      </c>
      <c r="N96" s="10">
        <f t="shared" si="11"/>
        <v>9067.4143380700007</v>
      </c>
      <c r="O96" s="10">
        <f t="shared" si="11"/>
        <v>6222.3070573490004</v>
      </c>
      <c r="P96" s="10">
        <f t="shared" si="11"/>
        <v>7046.7187308899993</v>
      </c>
      <c r="Q96" s="10">
        <f t="shared" si="11"/>
        <v>6813.9989536359999</v>
      </c>
      <c r="R96" s="10">
        <f t="shared" si="11"/>
        <v>7858.1471765199994</v>
      </c>
      <c r="S96" s="10">
        <f t="shared" si="11"/>
        <v>9353.3933823300013</v>
      </c>
      <c r="T96" s="10">
        <f t="shared" si="11"/>
        <v>13146.557287649999</v>
      </c>
      <c r="U96" s="10">
        <f t="shared" si="11"/>
        <v>15783.978552214001</v>
      </c>
      <c r="V96" s="10"/>
    </row>
    <row r="97" spans="1:22" ht="15" customHeight="1" x14ac:dyDescent="0.3">
      <c r="A97" s="11" t="s">
        <v>82</v>
      </c>
      <c r="B97" s="7">
        <v>152.27994626759653</v>
      </c>
      <c r="C97" s="7">
        <v>155.65783973478867</v>
      </c>
      <c r="D97" s="7">
        <v>179.6712748515763</v>
      </c>
      <c r="E97" s="7">
        <v>198.67244453161931</v>
      </c>
      <c r="F97" s="7">
        <v>201.40512620202333</v>
      </c>
      <c r="G97" s="7">
        <v>238.55907722239155</v>
      </c>
      <c r="H97" s="7">
        <v>312.00937454164119</v>
      </c>
      <c r="I97" s="7">
        <v>384.14612554389709</v>
      </c>
      <c r="J97" s="7">
        <v>432.10281485845815</v>
      </c>
      <c r="K97" s="7">
        <v>399.97231906905199</v>
      </c>
      <c r="L97" s="7">
        <v>541.45881800617724</v>
      </c>
      <c r="M97" s="7">
        <v>686.92957822949541</v>
      </c>
      <c r="N97" s="7">
        <v>781.19721637000009</v>
      </c>
      <c r="O97" s="7">
        <v>471.84722434999998</v>
      </c>
      <c r="P97" s="7">
        <v>534.73604955999997</v>
      </c>
      <c r="Q97" s="7">
        <v>547.50937806999991</v>
      </c>
      <c r="R97" s="7">
        <v>599.04246939000006</v>
      </c>
      <c r="S97" s="7">
        <v>794.90094773999999</v>
      </c>
      <c r="T97" s="7">
        <v>1104.59106582</v>
      </c>
      <c r="U97" s="7">
        <v>1217.2667365200002</v>
      </c>
      <c r="V97" s="7"/>
    </row>
    <row r="98" spans="1:22" ht="15" customHeight="1" x14ac:dyDescent="0.3">
      <c r="A98" s="11" t="s">
        <v>83</v>
      </c>
      <c r="B98" s="7">
        <v>1366.4863939858215</v>
      </c>
      <c r="C98" s="7">
        <v>1546.6629671620003</v>
      </c>
      <c r="D98" s="7">
        <v>1268.72598329627</v>
      </c>
      <c r="E98" s="7">
        <v>810.21775606829328</v>
      </c>
      <c r="F98" s="7">
        <v>754.75849635658062</v>
      </c>
      <c r="G98" s="7">
        <v>918.10420568098209</v>
      </c>
      <c r="H98" s="7">
        <v>712.93609881835732</v>
      </c>
      <c r="I98" s="7">
        <v>869.07172252667328</v>
      </c>
      <c r="J98" s="7">
        <v>871.59296151900719</v>
      </c>
      <c r="K98" s="7">
        <v>987.3880384188584</v>
      </c>
      <c r="L98" s="7">
        <v>1186.27815784062</v>
      </c>
      <c r="M98" s="7">
        <v>1430.619331666582</v>
      </c>
      <c r="N98" s="7">
        <v>1673.6594667399997</v>
      </c>
      <c r="O98" s="7">
        <v>1352.4333876659998</v>
      </c>
      <c r="P98" s="7">
        <v>1634.9872008799996</v>
      </c>
      <c r="Q98" s="7">
        <v>1432.4670338700003</v>
      </c>
      <c r="R98" s="7">
        <v>1597.68760342</v>
      </c>
      <c r="S98" s="7">
        <v>2002.78806697</v>
      </c>
      <c r="T98" s="7">
        <v>2814.5683412599997</v>
      </c>
      <c r="U98" s="7">
        <v>3429.5177288700002</v>
      </c>
      <c r="V98" s="7"/>
    </row>
    <row r="99" spans="1:22" ht="15" customHeight="1" x14ac:dyDescent="0.3">
      <c r="A99" s="11" t="s">
        <v>84</v>
      </c>
      <c r="B99" s="7">
        <v>154.99229140592996</v>
      </c>
      <c r="C99" s="7">
        <v>169.67620881878631</v>
      </c>
      <c r="D99" s="7">
        <v>202.93589536513275</v>
      </c>
      <c r="E99" s="7">
        <v>208.31385876876854</v>
      </c>
      <c r="F99" s="7">
        <v>245.60351888603276</v>
      </c>
      <c r="G99" s="7">
        <v>273.85077950605108</v>
      </c>
      <c r="H99" s="7">
        <v>310.01268111874674</v>
      </c>
      <c r="I99" s="7">
        <v>435.68860465936598</v>
      </c>
      <c r="J99" s="7">
        <v>393.083924187729</v>
      </c>
      <c r="K99" s="7">
        <v>485.83103269078418</v>
      </c>
      <c r="L99" s="7">
        <v>603.45831571673102</v>
      </c>
      <c r="M99" s="7">
        <v>716.42258025521801</v>
      </c>
      <c r="N99" s="7">
        <v>813.85433007000006</v>
      </c>
      <c r="O99" s="7">
        <v>533.05161166999994</v>
      </c>
      <c r="P99" s="7">
        <v>583.33689088999995</v>
      </c>
      <c r="Q99" s="7">
        <v>603.536867626</v>
      </c>
      <c r="R99" s="7">
        <v>710.85529516999986</v>
      </c>
      <c r="S99" s="7">
        <v>830.54019861999996</v>
      </c>
      <c r="T99" s="7">
        <v>1212.0310564199999</v>
      </c>
      <c r="U99" s="7">
        <v>1404.5376708200001</v>
      </c>
      <c r="V99" s="7"/>
    </row>
    <row r="100" spans="1:22" ht="15" customHeight="1" x14ac:dyDescent="0.3">
      <c r="A100" s="11" t="s">
        <v>85</v>
      </c>
      <c r="B100" s="7">
        <v>246.52868967421261</v>
      </c>
      <c r="C100" s="7">
        <v>251.24343930319816</v>
      </c>
      <c r="D100" s="7">
        <v>299.57870680287255</v>
      </c>
      <c r="E100" s="7">
        <v>323.26032135597501</v>
      </c>
      <c r="F100" s="7">
        <v>388.62111134993683</v>
      </c>
      <c r="G100" s="7">
        <v>480.36535842807547</v>
      </c>
      <c r="H100" s="7">
        <v>504.60815064264216</v>
      </c>
      <c r="I100" s="7">
        <v>607.75037825551931</v>
      </c>
      <c r="J100" s="7">
        <v>619.95400193726812</v>
      </c>
      <c r="K100" s="7">
        <v>721.7866166132734</v>
      </c>
      <c r="L100" s="7">
        <v>850.13241978468761</v>
      </c>
      <c r="M100" s="7">
        <v>1087.1491783322469</v>
      </c>
      <c r="N100" s="7">
        <v>1212.9526802299999</v>
      </c>
      <c r="O100" s="7">
        <v>807.21820538659995</v>
      </c>
      <c r="P100" s="7">
        <v>846.99067293999997</v>
      </c>
      <c r="Q100" s="7">
        <v>871.66075329</v>
      </c>
      <c r="R100" s="7">
        <v>1051.91160186</v>
      </c>
      <c r="S100" s="7">
        <v>1292.1044201300001</v>
      </c>
      <c r="T100" s="7">
        <v>1631.5999963700001</v>
      </c>
      <c r="U100" s="7">
        <v>1749.5366716400001</v>
      </c>
      <c r="V100" s="7"/>
    </row>
    <row r="101" spans="1:22" ht="15" customHeight="1" x14ac:dyDescent="0.3">
      <c r="A101" s="11" t="s">
        <v>86</v>
      </c>
      <c r="B101" s="7">
        <v>195.40086921657459</v>
      </c>
      <c r="C101" s="7">
        <v>206.21787734563492</v>
      </c>
      <c r="D101" s="7">
        <v>235.55370466329813</v>
      </c>
      <c r="E101" s="7">
        <v>250.21016576957888</v>
      </c>
      <c r="F101" s="7">
        <v>274.47017314485856</v>
      </c>
      <c r="G101" s="7">
        <v>313.97548123395472</v>
      </c>
      <c r="H101" s="7">
        <v>335.85295105377924</v>
      </c>
      <c r="I101" s="7">
        <v>379.9979243872653</v>
      </c>
      <c r="J101" s="7">
        <v>424.95160709116914</v>
      </c>
      <c r="K101" s="7">
        <v>434.5110174332919</v>
      </c>
      <c r="L101" s="7">
        <v>506.92901301089296</v>
      </c>
      <c r="M101" s="7">
        <v>604.02267227044695</v>
      </c>
      <c r="N101" s="7">
        <v>699.21189878000007</v>
      </c>
      <c r="O101" s="7">
        <v>478.07157996080008</v>
      </c>
      <c r="P101" s="7">
        <v>555.06530066999994</v>
      </c>
      <c r="Q101" s="7">
        <v>562.12930430999995</v>
      </c>
      <c r="R101" s="7">
        <v>652.56822690999979</v>
      </c>
      <c r="S101" s="7">
        <v>784.49318620000008</v>
      </c>
      <c r="T101" s="7">
        <v>1089.7033940900001</v>
      </c>
      <c r="U101" s="7">
        <v>1098.1903988240001</v>
      </c>
      <c r="V101" s="7"/>
    </row>
    <row r="102" spans="1:22" ht="18" customHeight="1" x14ac:dyDescent="0.3">
      <c r="A102" s="11" t="s">
        <v>87</v>
      </c>
      <c r="B102" s="7">
        <v>806.1958787634909</v>
      </c>
      <c r="C102" s="7">
        <v>889.53004185561167</v>
      </c>
      <c r="D102" s="7">
        <v>1017.2990884060929</v>
      </c>
      <c r="E102" s="7">
        <v>1054.1614293615896</v>
      </c>
      <c r="F102" s="7">
        <v>1304.459866512595</v>
      </c>
      <c r="G102" s="7">
        <v>1739.6503775063895</v>
      </c>
      <c r="H102" s="7">
        <v>1654.1217983944855</v>
      </c>
      <c r="I102" s="7">
        <v>2054.607690246838</v>
      </c>
      <c r="J102" s="7">
        <v>2148.6083394780144</v>
      </c>
      <c r="K102" s="7">
        <v>2183.7519245628509</v>
      </c>
      <c r="L102" s="7">
        <v>2826.0914573659784</v>
      </c>
      <c r="M102" s="7">
        <v>3311.4359472019219</v>
      </c>
      <c r="N102" s="7">
        <v>3886.5387458800005</v>
      </c>
      <c r="O102" s="7">
        <v>2579.6850483155999</v>
      </c>
      <c r="P102" s="7">
        <v>2891.6026159499997</v>
      </c>
      <c r="Q102" s="7">
        <v>2796.69561647</v>
      </c>
      <c r="R102" s="7">
        <v>3246.0819797699996</v>
      </c>
      <c r="S102" s="7">
        <v>3648.5665626700002</v>
      </c>
      <c r="T102" s="7">
        <v>5294.0634336900002</v>
      </c>
      <c r="U102" s="7">
        <v>6884.9293455400002</v>
      </c>
      <c r="V102" s="7"/>
    </row>
    <row r="103" spans="1:22" s="9" customFormat="1" ht="15" customHeight="1" x14ac:dyDescent="0.3">
      <c r="A103" s="11"/>
      <c r="B103" s="10"/>
      <c r="C103" s="10"/>
      <c r="D103" s="10"/>
      <c r="E103" s="10"/>
      <c r="F103" s="10"/>
      <c r="G103" s="10"/>
      <c r="H103" s="10"/>
      <c r="I103" s="10"/>
      <c r="J103" s="10"/>
      <c r="K103" s="10"/>
      <c r="L103" s="10"/>
      <c r="M103" s="10"/>
      <c r="N103" s="10"/>
      <c r="O103" s="10"/>
      <c r="P103" s="10"/>
      <c r="Q103" s="10"/>
      <c r="R103" s="10"/>
      <c r="S103" s="10"/>
      <c r="T103" s="10"/>
      <c r="U103" s="10"/>
      <c r="V103" s="10"/>
    </row>
    <row r="104" spans="1:22" s="9" customFormat="1" ht="15" customHeight="1" x14ac:dyDescent="0.25">
      <c r="A104" s="12" t="s">
        <v>88</v>
      </c>
      <c r="B104" s="10">
        <f>SUM(B105:B109)</f>
        <v>1458.3615829761884</v>
      </c>
      <c r="C104" s="10">
        <f t="shared" ref="C104:U104" si="12">SUM(C105:C109)</f>
        <v>1815.554891896672</v>
      </c>
      <c r="D104" s="10">
        <f t="shared" si="12"/>
        <v>1979.5489381280211</v>
      </c>
      <c r="E104" s="10">
        <f t="shared" si="12"/>
        <v>2136.8474886598533</v>
      </c>
      <c r="F104" s="10">
        <f t="shared" si="12"/>
        <v>2251.9640861534108</v>
      </c>
      <c r="G104" s="10">
        <f t="shared" si="12"/>
        <v>2676.6626232563758</v>
      </c>
      <c r="H104" s="10">
        <f t="shared" si="12"/>
        <v>3014.3871630190224</v>
      </c>
      <c r="I104" s="10">
        <f t="shared" si="12"/>
        <v>3556.3308228268829</v>
      </c>
      <c r="J104" s="10">
        <f t="shared" si="12"/>
        <v>3998.1518965619753</v>
      </c>
      <c r="K104" s="10">
        <f t="shared" si="12"/>
        <v>4326.2473694827686</v>
      </c>
      <c r="L104" s="10">
        <f t="shared" si="12"/>
        <v>4878.9259787805695</v>
      </c>
      <c r="M104" s="10">
        <f t="shared" si="12"/>
        <v>5861.384933772013</v>
      </c>
      <c r="N104" s="10">
        <f t="shared" si="12"/>
        <v>6486.5421445299999</v>
      </c>
      <c r="O104" s="10">
        <f t="shared" si="12"/>
        <v>4725.3440516577994</v>
      </c>
      <c r="P104" s="10">
        <f t="shared" si="12"/>
        <v>5786.0919630400003</v>
      </c>
      <c r="Q104" s="10">
        <f t="shared" si="12"/>
        <v>5556.7316381699984</v>
      </c>
      <c r="R104" s="10">
        <f t="shared" si="12"/>
        <v>6370.0109396460011</v>
      </c>
      <c r="S104" s="10">
        <f t="shared" si="12"/>
        <v>7308.6671879400001</v>
      </c>
      <c r="T104" s="10">
        <f t="shared" si="12"/>
        <v>8812.0313167500008</v>
      </c>
      <c r="U104" s="10">
        <f t="shared" si="12"/>
        <v>10036.745060249999</v>
      </c>
      <c r="V104" s="10"/>
    </row>
    <row r="105" spans="1:22" ht="15" customHeight="1" x14ac:dyDescent="0.3">
      <c r="A105" s="11" t="s">
        <v>89</v>
      </c>
      <c r="B105" s="7">
        <v>333.79258701635791</v>
      </c>
      <c r="C105" s="7">
        <v>441.99888791514468</v>
      </c>
      <c r="D105" s="7">
        <v>483.93115348325432</v>
      </c>
      <c r="E105" s="7">
        <v>477.67231877746286</v>
      </c>
      <c r="F105" s="7">
        <v>490.59372147537852</v>
      </c>
      <c r="G105" s="7">
        <v>618.14041626843152</v>
      </c>
      <c r="H105" s="7">
        <v>692.21311371077923</v>
      </c>
      <c r="I105" s="7">
        <v>816.89388088433998</v>
      </c>
      <c r="J105" s="7">
        <v>968.93093057382794</v>
      </c>
      <c r="K105" s="7">
        <v>1033.5892993277471</v>
      </c>
      <c r="L105" s="7">
        <v>1141.9830374748772</v>
      </c>
      <c r="M105" s="7">
        <v>1383.3023038196827</v>
      </c>
      <c r="N105" s="7">
        <v>1558.03523849</v>
      </c>
      <c r="O105" s="7">
        <v>1280.8784011160001</v>
      </c>
      <c r="P105" s="7">
        <v>1530.89256447</v>
      </c>
      <c r="Q105" s="7">
        <v>1534.2353146799996</v>
      </c>
      <c r="R105" s="7">
        <v>1754.6167477800002</v>
      </c>
      <c r="S105" s="7">
        <v>2006.7708763999999</v>
      </c>
      <c r="T105" s="7">
        <v>2265.2051978499999</v>
      </c>
      <c r="U105" s="7">
        <v>2631.3765383100003</v>
      </c>
      <c r="V105" s="7"/>
    </row>
    <row r="106" spans="1:22" ht="15" customHeight="1" x14ac:dyDescent="0.3">
      <c r="A106" s="11" t="s">
        <v>90</v>
      </c>
      <c r="B106" s="7">
        <v>295.88774984097682</v>
      </c>
      <c r="C106" s="7">
        <v>349.48754343141366</v>
      </c>
      <c r="D106" s="7">
        <v>392.36874177257937</v>
      </c>
      <c r="E106" s="7">
        <v>410.69934501268062</v>
      </c>
      <c r="F106" s="7">
        <v>370.31250960760843</v>
      </c>
      <c r="G106" s="7">
        <v>442.91722490889583</v>
      </c>
      <c r="H106" s="7">
        <v>537.06787312035294</v>
      </c>
      <c r="I106" s="7">
        <v>608.47487426261034</v>
      </c>
      <c r="J106" s="7">
        <v>738.28621878968568</v>
      </c>
      <c r="K106" s="7">
        <v>801.51953544810601</v>
      </c>
      <c r="L106" s="7">
        <v>908.04811610125103</v>
      </c>
      <c r="M106" s="7">
        <v>1041.2044296817044</v>
      </c>
      <c r="N106" s="7">
        <v>1295.54789721</v>
      </c>
      <c r="O106" s="7">
        <v>991.86844688109989</v>
      </c>
      <c r="P106" s="7">
        <v>1173.2726292999998</v>
      </c>
      <c r="Q106" s="7">
        <v>1224.3467161799999</v>
      </c>
      <c r="R106" s="7">
        <v>1489.7582282500002</v>
      </c>
      <c r="S106" s="7">
        <v>1725.9523408</v>
      </c>
      <c r="T106" s="7">
        <v>2073.8253269100005</v>
      </c>
      <c r="U106" s="7">
        <v>2174.8203848200001</v>
      </c>
      <c r="V106" s="7"/>
    </row>
    <row r="107" spans="1:22" ht="15" customHeight="1" x14ac:dyDescent="0.3">
      <c r="A107" s="11" t="s">
        <v>91</v>
      </c>
      <c r="B107" s="7">
        <v>0</v>
      </c>
      <c r="C107" s="7">
        <v>0</v>
      </c>
      <c r="D107" s="7">
        <v>0</v>
      </c>
      <c r="E107" s="7">
        <v>0</v>
      </c>
      <c r="F107" s="7">
        <v>52.280756860755609</v>
      </c>
      <c r="G107" s="7">
        <v>221.58260518481183</v>
      </c>
      <c r="H107" s="7">
        <v>233.29577565325792</v>
      </c>
      <c r="I107" s="7">
        <v>287.61798573282113</v>
      </c>
      <c r="J107" s="7">
        <v>332.1608779391554</v>
      </c>
      <c r="K107" s="7">
        <v>365.94932931299354</v>
      </c>
      <c r="L107" s="7">
        <v>425.15008678224046</v>
      </c>
      <c r="M107" s="7">
        <v>538.88017385716898</v>
      </c>
      <c r="N107" s="7">
        <v>641.44783251000001</v>
      </c>
      <c r="O107" s="7">
        <v>408.9141363446999</v>
      </c>
      <c r="P107" s="7">
        <v>447.03618769000002</v>
      </c>
      <c r="Q107" s="7">
        <v>477.53436562000002</v>
      </c>
      <c r="R107" s="7">
        <v>524.26276872000005</v>
      </c>
      <c r="S107" s="7">
        <v>581.11471770000003</v>
      </c>
      <c r="T107" s="7">
        <v>856.5559377699999</v>
      </c>
      <c r="U107" s="7">
        <v>959.56906362000018</v>
      </c>
      <c r="V107" s="7"/>
    </row>
    <row r="108" spans="1:22" ht="18" customHeight="1" x14ac:dyDescent="0.3">
      <c r="A108" s="11" t="s">
        <v>92</v>
      </c>
      <c r="B108" s="7"/>
      <c r="C108" s="7"/>
      <c r="D108" s="7"/>
      <c r="E108" s="7"/>
      <c r="F108" s="7"/>
      <c r="G108" s="7"/>
      <c r="H108" s="7"/>
      <c r="I108" s="7"/>
      <c r="J108" s="7"/>
      <c r="K108" s="7"/>
      <c r="L108" s="7"/>
      <c r="M108" s="7"/>
      <c r="N108" s="7"/>
      <c r="O108" s="7"/>
      <c r="P108" s="7"/>
      <c r="Q108" s="7"/>
      <c r="R108" s="7"/>
      <c r="S108" s="7"/>
      <c r="T108" s="7"/>
      <c r="U108" s="7"/>
      <c r="V108" s="7"/>
    </row>
    <row r="109" spans="1:22" ht="15" customHeight="1" x14ac:dyDescent="0.3">
      <c r="A109" s="11" t="s">
        <v>93</v>
      </c>
      <c r="B109" s="7">
        <v>828.68124611885355</v>
      </c>
      <c r="C109" s="7">
        <v>1024.0684605501137</v>
      </c>
      <c r="D109" s="7">
        <v>1103.2490428721874</v>
      </c>
      <c r="E109" s="7">
        <v>1248.4758248697096</v>
      </c>
      <c r="F109" s="7">
        <v>1338.7770982096683</v>
      </c>
      <c r="G109" s="7">
        <v>1394.0223768942365</v>
      </c>
      <c r="H109" s="7">
        <v>1551.8104005346322</v>
      </c>
      <c r="I109" s="7">
        <v>1843.3440819471116</v>
      </c>
      <c r="J109" s="7">
        <v>1958.7738692593064</v>
      </c>
      <c r="K109" s="7">
        <v>2125.1892053939218</v>
      </c>
      <c r="L109" s="7">
        <v>2403.7447384222</v>
      </c>
      <c r="M109" s="7">
        <v>2897.9980264134565</v>
      </c>
      <c r="N109" s="7">
        <v>2991.5111763200002</v>
      </c>
      <c r="O109" s="7">
        <v>2043.6830673159998</v>
      </c>
      <c r="P109" s="7">
        <v>2634.8905815799999</v>
      </c>
      <c r="Q109" s="7">
        <v>2320.615241689999</v>
      </c>
      <c r="R109" s="7">
        <v>2601.3731948959999</v>
      </c>
      <c r="S109" s="7">
        <v>2994.8292530399999</v>
      </c>
      <c r="T109" s="7">
        <v>3616.4448542199998</v>
      </c>
      <c r="U109" s="7">
        <v>4270.9790734999997</v>
      </c>
      <c r="V109" s="7"/>
    </row>
    <row r="110" spans="1:22" s="9" customFormat="1" ht="15" customHeight="1" x14ac:dyDescent="0.3">
      <c r="A110" s="11"/>
      <c r="B110" s="10"/>
      <c r="C110" s="10"/>
      <c r="D110" s="10"/>
      <c r="E110" s="10"/>
      <c r="F110" s="10"/>
      <c r="G110" s="10"/>
      <c r="H110" s="10"/>
      <c r="I110" s="10"/>
      <c r="J110" s="10"/>
      <c r="K110" s="10"/>
      <c r="L110" s="10"/>
      <c r="M110" s="10"/>
      <c r="N110" s="10"/>
      <c r="O110" s="10"/>
      <c r="P110" s="10"/>
      <c r="Q110" s="10"/>
      <c r="R110" s="10"/>
      <c r="S110" s="10"/>
      <c r="T110" s="10"/>
      <c r="U110" s="10"/>
      <c r="V110" s="10"/>
    </row>
    <row r="111" spans="1:22" s="9" customFormat="1" ht="15" customHeight="1" x14ac:dyDescent="0.25">
      <c r="A111" s="12" t="s">
        <v>94</v>
      </c>
      <c r="B111" s="10">
        <f>SUM(B112:B116)</f>
        <v>3585.5148880152601</v>
      </c>
      <c r="C111" s="10">
        <f t="shared" ref="C111:U111" si="13">SUM(C112:C116)</f>
        <v>4010.8730905017756</v>
      </c>
      <c r="D111" s="10">
        <f t="shared" si="13"/>
        <v>3851.2357101034809</v>
      </c>
      <c r="E111" s="10">
        <f t="shared" si="13"/>
        <v>4174.6486976061133</v>
      </c>
      <c r="F111" s="10">
        <f t="shared" si="13"/>
        <v>4281.9086751628602</v>
      </c>
      <c r="G111" s="10">
        <f t="shared" si="13"/>
        <v>5155.1273026817234</v>
      </c>
      <c r="H111" s="10">
        <f t="shared" si="13"/>
        <v>5733.8787753779197</v>
      </c>
      <c r="I111" s="10">
        <f t="shared" si="13"/>
        <v>7112.4623804909916</v>
      </c>
      <c r="J111" s="10">
        <f t="shared" si="13"/>
        <v>8196.2480753851378</v>
      </c>
      <c r="K111" s="10">
        <f t="shared" si="13"/>
        <v>9629.3272185580863</v>
      </c>
      <c r="L111" s="10">
        <f t="shared" si="13"/>
        <v>10256.126358314192</v>
      </c>
      <c r="M111" s="10">
        <f t="shared" si="13"/>
        <v>11950.516298010169</v>
      </c>
      <c r="N111" s="10">
        <f t="shared" si="13"/>
        <v>12368.60680826</v>
      </c>
      <c r="O111" s="10">
        <f t="shared" si="13"/>
        <v>9214.4792733126978</v>
      </c>
      <c r="P111" s="10">
        <f t="shared" si="13"/>
        <v>11106.462717029999</v>
      </c>
      <c r="Q111" s="10">
        <f t="shared" si="13"/>
        <v>10444.160468524</v>
      </c>
      <c r="R111" s="10">
        <f t="shared" si="13"/>
        <v>11637.408361823997</v>
      </c>
      <c r="S111" s="10">
        <f t="shared" si="13"/>
        <v>13828.77742825</v>
      </c>
      <c r="T111" s="10">
        <f t="shared" si="13"/>
        <v>16744.19996613</v>
      </c>
      <c r="U111" s="10">
        <f t="shared" si="13"/>
        <v>19629.727156299999</v>
      </c>
      <c r="V111" s="10"/>
    </row>
    <row r="112" spans="1:22" ht="15" customHeight="1" x14ac:dyDescent="0.3">
      <c r="A112" s="11" t="s">
        <v>95</v>
      </c>
      <c r="B112" s="7">
        <v>426.03129647034899</v>
      </c>
      <c r="C112" s="7">
        <v>481.78843212180107</v>
      </c>
      <c r="D112" s="7">
        <v>533.16598401233591</v>
      </c>
      <c r="E112" s="7">
        <v>576.43970840583017</v>
      </c>
      <c r="F112" s="7">
        <v>543.50134813889167</v>
      </c>
      <c r="G112" s="7">
        <v>705.05232740589133</v>
      </c>
      <c r="H112" s="7">
        <v>803.82499092504088</v>
      </c>
      <c r="I112" s="7">
        <v>1020.576052926682</v>
      </c>
      <c r="J112" s="7">
        <v>1140.2272344114633</v>
      </c>
      <c r="K112" s="7">
        <v>1352.2335002252112</v>
      </c>
      <c r="L112" s="7">
        <v>1475.0895738163176</v>
      </c>
      <c r="M112" s="7">
        <v>1699.2412593889169</v>
      </c>
      <c r="N112" s="7">
        <v>1986.3729265999996</v>
      </c>
      <c r="O112" s="7">
        <v>1714.5976608499996</v>
      </c>
      <c r="P112" s="7">
        <v>1994.4034647900003</v>
      </c>
      <c r="Q112" s="7">
        <v>2038.03333931</v>
      </c>
      <c r="R112" s="7">
        <v>2314.5612714299991</v>
      </c>
      <c r="S112" s="7">
        <v>2730.2439922899994</v>
      </c>
      <c r="T112" s="7">
        <v>3258.3105182700006</v>
      </c>
      <c r="U112" s="7">
        <v>3758.1232696999996</v>
      </c>
      <c r="V112" s="7"/>
    </row>
    <row r="113" spans="1:22" ht="15" customHeight="1" x14ac:dyDescent="0.3">
      <c r="A113" s="11" t="s">
        <v>96</v>
      </c>
      <c r="B113" s="7">
        <v>537.72019979155198</v>
      </c>
      <c r="C113" s="7">
        <v>627.75920306324701</v>
      </c>
      <c r="D113" s="7">
        <v>653.3547687386515</v>
      </c>
      <c r="E113" s="7">
        <v>782.08177187565002</v>
      </c>
      <c r="F113" s="7">
        <v>704.96100851793096</v>
      </c>
      <c r="G113" s="7">
        <v>736.4899638732735</v>
      </c>
      <c r="H113" s="7">
        <v>900.84237932412373</v>
      </c>
      <c r="I113" s="7">
        <v>1130.1979759619066</v>
      </c>
      <c r="J113" s="7">
        <v>1387.7866062653486</v>
      </c>
      <c r="K113" s="7">
        <v>1466.0672310838072</v>
      </c>
      <c r="L113" s="7">
        <v>1535.7896034848202</v>
      </c>
      <c r="M113" s="7">
        <v>1682.0962388124503</v>
      </c>
      <c r="N113" s="7">
        <v>1731.7614531300003</v>
      </c>
      <c r="O113" s="7">
        <v>1305.37679581</v>
      </c>
      <c r="P113" s="7">
        <v>1555.0644128600002</v>
      </c>
      <c r="Q113" s="7">
        <v>1490.6958029100001</v>
      </c>
      <c r="R113" s="7">
        <v>1603.8956734999995</v>
      </c>
      <c r="S113" s="7">
        <v>1881.3033518499999</v>
      </c>
      <c r="T113" s="7">
        <v>2193.5437959699998</v>
      </c>
      <c r="U113" s="7">
        <v>2344.6338810500006</v>
      </c>
      <c r="V113" s="7"/>
    </row>
    <row r="114" spans="1:22" ht="15" customHeight="1" x14ac:dyDescent="0.3">
      <c r="A114" s="11" t="s">
        <v>97</v>
      </c>
      <c r="B114" s="7">
        <v>267.50980636021472</v>
      </c>
      <c r="C114" s="7">
        <v>318.00478387799262</v>
      </c>
      <c r="D114" s="7">
        <v>415.77937810577936</v>
      </c>
      <c r="E114" s="7">
        <v>430.00160152488866</v>
      </c>
      <c r="F114" s="7">
        <v>409.94495984707538</v>
      </c>
      <c r="G114" s="7">
        <v>523.6080078477911</v>
      </c>
      <c r="H114" s="7">
        <v>549.66717677687632</v>
      </c>
      <c r="I114" s="7">
        <v>662.57357024036605</v>
      </c>
      <c r="J114" s="7">
        <v>707.62316649850914</v>
      </c>
      <c r="K114" s="7">
        <v>804.82175317739222</v>
      </c>
      <c r="L114" s="7">
        <v>897.19956774760374</v>
      </c>
      <c r="M114" s="7">
        <v>1009.4260660564024</v>
      </c>
      <c r="N114" s="7">
        <v>1163.8256041599998</v>
      </c>
      <c r="O114" s="7">
        <v>911.74924652269976</v>
      </c>
      <c r="P114" s="7">
        <v>1037.2383860800001</v>
      </c>
      <c r="Q114" s="7">
        <v>1093.8130565540002</v>
      </c>
      <c r="R114" s="7">
        <v>1267.1224635039998</v>
      </c>
      <c r="S114" s="7">
        <v>1514.9208137000001</v>
      </c>
      <c r="T114" s="7">
        <v>1779.3111863799998</v>
      </c>
      <c r="U114" s="7">
        <v>2156.8200858500004</v>
      </c>
      <c r="V114" s="7"/>
    </row>
    <row r="115" spans="1:22" ht="18" customHeight="1" x14ac:dyDescent="0.3">
      <c r="A115" s="11" t="s">
        <v>98</v>
      </c>
      <c r="B115" s="7">
        <v>138.96377989914029</v>
      </c>
      <c r="C115" s="7">
        <v>156.60812952436746</v>
      </c>
      <c r="D115" s="7">
        <v>174.22371691285974</v>
      </c>
      <c r="E115" s="7">
        <v>174.48225026989007</v>
      </c>
      <c r="F115" s="7">
        <v>177.07727194639506</v>
      </c>
      <c r="G115" s="7">
        <v>195.58038337942051</v>
      </c>
      <c r="H115" s="7">
        <v>226.85709572219417</v>
      </c>
      <c r="I115" s="7">
        <v>277.51252232657657</v>
      </c>
      <c r="J115" s="7">
        <v>334.64931686929492</v>
      </c>
      <c r="K115" s="7">
        <v>314.74271800723704</v>
      </c>
      <c r="L115" s="7">
        <v>399.4193106420355</v>
      </c>
      <c r="M115" s="7">
        <v>472.92350679816457</v>
      </c>
      <c r="N115" s="7">
        <v>527.24722196000005</v>
      </c>
      <c r="O115" s="7">
        <v>386.34564426000003</v>
      </c>
      <c r="P115" s="7">
        <v>485.46173402999995</v>
      </c>
      <c r="Q115" s="7">
        <v>527.41159906000007</v>
      </c>
      <c r="R115" s="7">
        <v>678.68864705999999</v>
      </c>
      <c r="S115" s="7">
        <v>805.67887996000002</v>
      </c>
      <c r="T115" s="7">
        <v>1130.07507463</v>
      </c>
      <c r="U115" s="7">
        <v>1327.1269626200001</v>
      </c>
      <c r="V115" s="7"/>
    </row>
    <row r="116" spans="1:22" ht="18" customHeight="1" x14ac:dyDescent="0.3">
      <c r="A116" s="11" t="s">
        <v>99</v>
      </c>
      <c r="B116" s="7">
        <v>2215.2898054940042</v>
      </c>
      <c r="C116" s="7">
        <v>2426.7125419143672</v>
      </c>
      <c r="D116" s="7">
        <v>2074.7118623338542</v>
      </c>
      <c r="E116" s="7">
        <v>2211.6433655298547</v>
      </c>
      <c r="F116" s="7">
        <v>2446.4240867125668</v>
      </c>
      <c r="G116" s="7">
        <v>2994.3966201753474</v>
      </c>
      <c r="H116" s="7">
        <v>3252.6871326296841</v>
      </c>
      <c r="I116" s="7">
        <v>4021.6022590354592</v>
      </c>
      <c r="J116" s="7">
        <v>4625.9617513405228</v>
      </c>
      <c r="K116" s="7">
        <v>5691.4620160644381</v>
      </c>
      <c r="L116" s="7">
        <v>5948.6283026234141</v>
      </c>
      <c r="M116" s="7">
        <v>7086.8292269542344</v>
      </c>
      <c r="N116" s="7">
        <v>6959.3996024100006</v>
      </c>
      <c r="O116" s="7">
        <v>4896.4099258699989</v>
      </c>
      <c r="P116" s="7">
        <v>6034.2947192699985</v>
      </c>
      <c r="Q116" s="7">
        <v>5294.2066706899996</v>
      </c>
      <c r="R116" s="7">
        <v>5773.1403063299986</v>
      </c>
      <c r="S116" s="7">
        <v>6896.63039045</v>
      </c>
      <c r="T116" s="7">
        <v>8382.9593908800016</v>
      </c>
      <c r="U116" s="7">
        <v>10043.02295708</v>
      </c>
      <c r="V116" s="7"/>
    </row>
    <row r="117" spans="1:22" s="9" customFormat="1" ht="15" customHeight="1" x14ac:dyDescent="0.3">
      <c r="A117" s="11"/>
      <c r="B117" s="10"/>
      <c r="C117" s="10"/>
      <c r="D117" s="10"/>
      <c r="E117" s="10"/>
      <c r="F117" s="10"/>
      <c r="G117" s="10"/>
      <c r="H117" s="10"/>
      <c r="I117" s="10"/>
      <c r="J117" s="10"/>
      <c r="K117" s="10"/>
      <c r="L117" s="10"/>
      <c r="M117" s="10"/>
      <c r="N117" s="10"/>
      <c r="O117" s="10"/>
      <c r="P117" s="10"/>
      <c r="Q117" s="10"/>
      <c r="R117" s="10"/>
      <c r="S117" s="10"/>
      <c r="T117" s="10"/>
      <c r="U117" s="10"/>
      <c r="V117" s="10"/>
    </row>
    <row r="118" spans="1:22" s="9" customFormat="1" ht="15" customHeight="1" x14ac:dyDescent="0.25">
      <c r="A118" s="12" t="s">
        <v>100</v>
      </c>
      <c r="B118" s="10">
        <f>SUM(B119:B123)</f>
        <v>4923.3875431411579</v>
      </c>
      <c r="C118" s="10">
        <f t="shared" ref="C118:U118" si="14">SUM(C119:C123)</f>
        <v>6104.2879278264063</v>
      </c>
      <c r="D118" s="10">
        <f t="shared" si="14"/>
        <v>6399.1830884694537</v>
      </c>
      <c r="E118" s="10">
        <f t="shared" si="14"/>
        <v>6969.6651053142723</v>
      </c>
      <c r="F118" s="10">
        <f t="shared" si="14"/>
        <v>7364.8862456203269</v>
      </c>
      <c r="G118" s="10">
        <f t="shared" si="14"/>
        <v>8639.4933231224604</v>
      </c>
      <c r="H118" s="10">
        <f t="shared" si="14"/>
        <v>8016.4281784150053</v>
      </c>
      <c r="I118" s="10">
        <f t="shared" si="14"/>
        <v>9160.1448222798281</v>
      </c>
      <c r="J118" s="10">
        <f t="shared" si="14"/>
        <v>10915.157230362063</v>
      </c>
      <c r="K118" s="10">
        <f t="shared" si="14"/>
        <v>12324.916436693042</v>
      </c>
      <c r="L118" s="10">
        <f t="shared" si="14"/>
        <v>14318.214806158529</v>
      </c>
      <c r="M118" s="10">
        <f t="shared" si="14"/>
        <v>16884.523151023815</v>
      </c>
      <c r="N118" s="10">
        <f t="shared" si="14"/>
        <v>30734.47110291</v>
      </c>
      <c r="O118" s="10">
        <f t="shared" si="14"/>
        <v>32847.985766946746</v>
      </c>
      <c r="P118" s="10">
        <f t="shared" si="14"/>
        <v>37618.4838418</v>
      </c>
      <c r="Q118" s="10">
        <f t="shared" si="14"/>
        <v>31861.189027870001</v>
      </c>
      <c r="R118" s="10">
        <f t="shared" si="14"/>
        <v>35195.81325264</v>
      </c>
      <c r="S118" s="10">
        <f t="shared" si="14"/>
        <v>40262.677265010003</v>
      </c>
      <c r="T118" s="10">
        <f t="shared" si="14"/>
        <v>46654.271251650003</v>
      </c>
      <c r="U118" s="10">
        <f t="shared" si="14"/>
        <v>52712.734498559999</v>
      </c>
      <c r="V118" s="10"/>
    </row>
    <row r="119" spans="1:22" ht="15" customHeight="1" x14ac:dyDescent="0.3">
      <c r="A119" s="11" t="s">
        <v>101</v>
      </c>
      <c r="B119" s="7">
        <v>909.33624275264356</v>
      </c>
      <c r="C119" s="7">
        <v>1134.0222039611072</v>
      </c>
      <c r="D119" s="7">
        <v>1200.1181757490658</v>
      </c>
      <c r="E119" s="7">
        <v>1140.4984671712218</v>
      </c>
      <c r="F119" s="7">
        <v>1217.6756570909943</v>
      </c>
      <c r="G119" s="7">
        <v>1376.0193073713435</v>
      </c>
      <c r="H119" s="7">
        <v>1525.6994207547673</v>
      </c>
      <c r="I119" s="7">
        <v>1792.0704885854038</v>
      </c>
      <c r="J119" s="7">
        <v>2018.1466795662468</v>
      </c>
      <c r="K119" s="7">
        <v>2267.0880370508157</v>
      </c>
      <c r="L119" s="7">
        <v>2719.2324462912766</v>
      </c>
      <c r="M119" s="7">
        <v>3117.5112829057312</v>
      </c>
      <c r="N119" s="7">
        <v>3558.7396053500006</v>
      </c>
      <c r="O119" s="7">
        <v>2837.0086788018007</v>
      </c>
      <c r="P119" s="7">
        <v>3233.4293631999999</v>
      </c>
      <c r="Q119" s="7">
        <v>2974.1390898200011</v>
      </c>
      <c r="R119" s="7">
        <v>3673.7012421600007</v>
      </c>
      <c r="S119" s="7">
        <v>4213.8201118200004</v>
      </c>
      <c r="T119" s="7">
        <v>4635.9068123800007</v>
      </c>
      <c r="U119" s="7">
        <v>5204.3817423199989</v>
      </c>
      <c r="V119" s="7"/>
    </row>
    <row r="120" spans="1:22" ht="15" customHeight="1" x14ac:dyDescent="0.3">
      <c r="A120" s="11" t="s">
        <v>102</v>
      </c>
      <c r="B120" s="7">
        <v>299.65819549338335</v>
      </c>
      <c r="C120" s="7">
        <v>343.27657935367301</v>
      </c>
      <c r="D120" s="7">
        <v>453.89728324951204</v>
      </c>
      <c r="E120" s="7">
        <v>490.23734690463067</v>
      </c>
      <c r="F120" s="7">
        <v>514.50315859381612</v>
      </c>
      <c r="G120" s="7">
        <v>614.7771997587073</v>
      </c>
      <c r="H120" s="7">
        <v>623.94435167550193</v>
      </c>
      <c r="I120" s="7">
        <v>734.5099539903407</v>
      </c>
      <c r="J120" s="7">
        <v>942.86067802507387</v>
      </c>
      <c r="K120" s="7">
        <v>945.81995544892322</v>
      </c>
      <c r="L120" s="7">
        <v>1054.520746560419</v>
      </c>
      <c r="M120" s="7">
        <v>1248.4403505566024</v>
      </c>
      <c r="N120" s="7">
        <v>1280.8070931300001</v>
      </c>
      <c r="O120" s="7">
        <v>865.58017448100009</v>
      </c>
      <c r="P120" s="7">
        <v>1000.2674775900001</v>
      </c>
      <c r="Q120" s="7">
        <v>1064.9843026599999</v>
      </c>
      <c r="R120" s="7">
        <v>1275.6893215900009</v>
      </c>
      <c r="S120" s="7">
        <v>1586.5452463300001</v>
      </c>
      <c r="T120" s="7">
        <v>2073.9574016699999</v>
      </c>
      <c r="U120" s="7">
        <v>2635.7510699300005</v>
      </c>
      <c r="V120" s="7"/>
    </row>
    <row r="121" spans="1:22" ht="15" customHeight="1" x14ac:dyDescent="0.3">
      <c r="A121" s="11" t="s">
        <v>103</v>
      </c>
      <c r="B121" s="7">
        <v>154.30487851372195</v>
      </c>
      <c r="C121" s="7">
        <v>177.63560433575108</v>
      </c>
      <c r="D121" s="7">
        <v>204.55541171805248</v>
      </c>
      <c r="E121" s="7">
        <v>227.83061594458545</v>
      </c>
      <c r="F121" s="7">
        <v>227.55255477475947</v>
      </c>
      <c r="G121" s="7">
        <v>269.63511300597258</v>
      </c>
      <c r="H121" s="7">
        <v>310.04603148537211</v>
      </c>
      <c r="I121" s="7">
        <v>380.27714790766964</v>
      </c>
      <c r="J121" s="7">
        <v>468.87562392034636</v>
      </c>
      <c r="K121" s="7">
        <v>561.90569086937035</v>
      </c>
      <c r="L121" s="7">
        <v>609.97675559446952</v>
      </c>
      <c r="M121" s="7">
        <v>661.76379701838709</v>
      </c>
      <c r="N121" s="7">
        <v>721.25977476999992</v>
      </c>
      <c r="O121" s="7">
        <v>482.85020327204995</v>
      </c>
      <c r="P121" s="7">
        <v>577.10321064999994</v>
      </c>
      <c r="Q121" s="7">
        <v>643.57026525999993</v>
      </c>
      <c r="R121" s="7">
        <v>747.62197069000013</v>
      </c>
      <c r="S121" s="7">
        <v>957.90802553999993</v>
      </c>
      <c r="T121" s="7">
        <v>1423.1459958599996</v>
      </c>
      <c r="U121" s="7">
        <v>1441.4511817800001</v>
      </c>
      <c r="V121" s="7"/>
    </row>
    <row r="122" spans="1:22" ht="15" customHeight="1" x14ac:dyDescent="0.3">
      <c r="A122" s="11" t="s">
        <v>104</v>
      </c>
      <c r="B122" s="7">
        <v>3560.0882263814096</v>
      </c>
      <c r="C122" s="7">
        <v>4449.3535401758745</v>
      </c>
      <c r="D122" s="7">
        <v>4540.6122177528232</v>
      </c>
      <c r="E122" s="7">
        <v>5111.0986752938343</v>
      </c>
      <c r="F122" s="7">
        <v>5405.154875160757</v>
      </c>
      <c r="G122" s="7">
        <v>6379.061702986437</v>
      </c>
      <c r="H122" s="7">
        <v>5556.738374499364</v>
      </c>
      <c r="I122" s="7">
        <v>6253.2872317964138</v>
      </c>
      <c r="J122" s="7">
        <v>7485.2742488503964</v>
      </c>
      <c r="K122" s="7">
        <v>8550.1027533239321</v>
      </c>
      <c r="L122" s="7">
        <v>9934.484857712363</v>
      </c>
      <c r="M122" s="7">
        <v>11856.807720543096</v>
      </c>
      <c r="N122" s="7">
        <v>12654.882162129999</v>
      </c>
      <c r="O122" s="7">
        <v>12428.1035645719</v>
      </c>
      <c r="P122" s="7">
        <v>13233.228806849998</v>
      </c>
      <c r="Q122" s="7">
        <v>11084.679336320001</v>
      </c>
      <c r="R122" s="7">
        <v>12557.280663829999</v>
      </c>
      <c r="S122" s="7">
        <v>14967.394450709999</v>
      </c>
      <c r="T122" s="7">
        <v>14906.00673243</v>
      </c>
      <c r="U122" s="7">
        <v>15695.310426580003</v>
      </c>
      <c r="V122" s="7"/>
    </row>
    <row r="123" spans="1:22" ht="18" customHeight="1" x14ac:dyDescent="0.3">
      <c r="A123" s="11" t="s">
        <v>105</v>
      </c>
      <c r="B123" s="7"/>
      <c r="C123" s="7"/>
      <c r="D123" s="7"/>
      <c r="E123" s="7"/>
      <c r="F123" s="7"/>
      <c r="G123" s="7"/>
      <c r="H123" s="7"/>
      <c r="I123" s="7"/>
      <c r="J123" s="7"/>
      <c r="K123" s="7"/>
      <c r="L123" s="7"/>
      <c r="M123" s="7"/>
      <c r="N123" s="7">
        <v>12518.78246753</v>
      </c>
      <c r="O123" s="7">
        <v>16234.443145819998</v>
      </c>
      <c r="P123" s="7">
        <v>19574.454983509997</v>
      </c>
      <c r="Q123" s="7">
        <v>16093.816033810001</v>
      </c>
      <c r="R123" s="7">
        <v>16941.520054369998</v>
      </c>
      <c r="S123" s="7">
        <v>18537.00943061</v>
      </c>
      <c r="T123" s="7">
        <v>23615.254309309999</v>
      </c>
      <c r="U123" s="7">
        <v>27735.840077949997</v>
      </c>
      <c r="V123" s="7"/>
    </row>
    <row r="124" spans="1:22" s="9" customFormat="1" ht="15" customHeight="1" x14ac:dyDescent="0.3">
      <c r="A124" s="11"/>
      <c r="B124" s="10"/>
      <c r="C124" s="10"/>
      <c r="D124" s="10"/>
      <c r="E124" s="10"/>
      <c r="F124" s="10"/>
      <c r="G124" s="10"/>
      <c r="H124" s="10"/>
      <c r="I124" s="10"/>
      <c r="J124" s="10"/>
      <c r="K124" s="10"/>
      <c r="L124" s="10"/>
      <c r="M124" s="10"/>
      <c r="N124" s="10"/>
      <c r="O124" s="10"/>
      <c r="P124" s="10"/>
      <c r="Q124" s="10"/>
      <c r="R124" s="10"/>
      <c r="S124" s="10"/>
      <c r="T124" s="10"/>
      <c r="U124" s="10"/>
      <c r="V124" s="10"/>
    </row>
    <row r="125" spans="1:22" s="9" customFormat="1" ht="15" customHeight="1" x14ac:dyDescent="0.25">
      <c r="A125" s="12" t="s">
        <v>106</v>
      </c>
      <c r="B125" s="10">
        <f>SUM(B126:B129)</f>
        <v>1533.6701771686583</v>
      </c>
      <c r="C125" s="10">
        <f t="shared" ref="C125:U125" si="15">SUM(C126:C129)</f>
        <v>1895.49450991713</v>
      </c>
      <c r="D125" s="10">
        <f t="shared" si="15"/>
        <v>2036.951547985288</v>
      </c>
      <c r="E125" s="10">
        <f t="shared" si="15"/>
        <v>2296.9082379857909</v>
      </c>
      <c r="F125" s="10">
        <f t="shared" si="15"/>
        <v>2302.4091126778908</v>
      </c>
      <c r="G125" s="10">
        <f t="shared" si="15"/>
        <v>2815.7103431067835</v>
      </c>
      <c r="H125" s="10">
        <f t="shared" si="15"/>
        <v>3209.3782935916561</v>
      </c>
      <c r="I125" s="10">
        <f t="shared" si="15"/>
        <v>3721.2344028872167</v>
      </c>
      <c r="J125" s="10">
        <f t="shared" si="15"/>
        <v>4287.1460811552943</v>
      </c>
      <c r="K125" s="10">
        <f t="shared" si="15"/>
        <v>5211.0270238349194</v>
      </c>
      <c r="L125" s="10">
        <f t="shared" si="15"/>
        <v>6512.0956459201807</v>
      </c>
      <c r="M125" s="10">
        <f t="shared" si="15"/>
        <v>7561.1709705459489</v>
      </c>
      <c r="N125" s="10">
        <f t="shared" si="15"/>
        <v>7780.0467117999988</v>
      </c>
      <c r="O125" s="10">
        <f t="shared" si="15"/>
        <v>5879.7976017196488</v>
      </c>
      <c r="P125" s="10">
        <f t="shared" si="15"/>
        <v>6757.1462108899996</v>
      </c>
      <c r="Q125" s="10">
        <f t="shared" si="15"/>
        <v>6475.2990799239997</v>
      </c>
      <c r="R125" s="10">
        <f t="shared" si="15"/>
        <v>7333.7605353499994</v>
      </c>
      <c r="S125" s="10">
        <f t="shared" si="15"/>
        <v>8965.8936007929988</v>
      </c>
      <c r="T125" s="10">
        <f t="shared" si="15"/>
        <v>12021.384137480003</v>
      </c>
      <c r="U125" s="10">
        <f t="shared" si="15"/>
        <v>13575.509663789999</v>
      </c>
      <c r="V125" s="10"/>
    </row>
    <row r="126" spans="1:22" ht="15" customHeight="1" x14ac:dyDescent="0.3">
      <c r="A126" s="11" t="s">
        <v>107</v>
      </c>
      <c r="B126" s="7">
        <v>272.44027186295654</v>
      </c>
      <c r="C126" s="7">
        <v>313.52571391764837</v>
      </c>
      <c r="D126" s="7">
        <v>372.33230805174088</v>
      </c>
      <c r="E126" s="7">
        <v>379.79083085776369</v>
      </c>
      <c r="F126" s="7">
        <v>386.85540149521034</v>
      </c>
      <c r="G126" s="7">
        <v>421.37227884118272</v>
      </c>
      <c r="H126" s="7">
        <v>517.39753210701031</v>
      </c>
      <c r="I126" s="7">
        <v>662.94142589915157</v>
      </c>
      <c r="J126" s="7">
        <v>778.32164595570805</v>
      </c>
      <c r="K126" s="7">
        <v>921.7739760229266</v>
      </c>
      <c r="L126" s="7">
        <v>1228.185379217123</v>
      </c>
      <c r="M126" s="7">
        <v>1446.1451344971904</v>
      </c>
      <c r="N126" s="7">
        <v>1630.4369839400001</v>
      </c>
      <c r="O126" s="7">
        <v>1121.96781749465</v>
      </c>
      <c r="P126" s="7">
        <v>1388.9783542600001</v>
      </c>
      <c r="Q126" s="7">
        <v>1354.003930974</v>
      </c>
      <c r="R126" s="7">
        <v>1537.7065004900001</v>
      </c>
      <c r="S126" s="7">
        <v>1852.2563834599998</v>
      </c>
      <c r="T126" s="7">
        <v>2231.825825150001</v>
      </c>
      <c r="U126" s="7">
        <v>2551.1114087299998</v>
      </c>
      <c r="V126" s="7"/>
    </row>
    <row r="127" spans="1:22" ht="15" customHeight="1" x14ac:dyDescent="0.3">
      <c r="A127" s="11" t="s">
        <v>108</v>
      </c>
      <c r="B127" s="7">
        <v>658.62320985842325</v>
      </c>
      <c r="C127" s="7">
        <v>823.74785809589673</v>
      </c>
      <c r="D127" s="7">
        <v>901.50076764810228</v>
      </c>
      <c r="E127" s="7">
        <v>1017.9787022900009</v>
      </c>
      <c r="F127" s="7">
        <v>929.87320806842547</v>
      </c>
      <c r="G127" s="7">
        <v>1091.0181377150898</v>
      </c>
      <c r="H127" s="7">
        <v>1205.4988166645776</v>
      </c>
      <c r="I127" s="7">
        <v>1414.2860810682052</v>
      </c>
      <c r="J127" s="7">
        <v>1682.1158246849134</v>
      </c>
      <c r="K127" s="7">
        <v>1958.9300241041326</v>
      </c>
      <c r="L127" s="7">
        <v>2509.1774489156496</v>
      </c>
      <c r="M127" s="7">
        <v>2717.2825283379102</v>
      </c>
      <c r="N127" s="7">
        <v>2715.4758250099994</v>
      </c>
      <c r="O127" s="7">
        <v>2430.9481077973992</v>
      </c>
      <c r="P127" s="7">
        <v>2717.2838066199993</v>
      </c>
      <c r="Q127" s="7">
        <v>2594.9378230199995</v>
      </c>
      <c r="R127" s="7">
        <v>2879.490373579999</v>
      </c>
      <c r="S127" s="7">
        <v>3386.4474703799997</v>
      </c>
      <c r="T127" s="7">
        <v>5009.1118256700011</v>
      </c>
      <c r="U127" s="7">
        <v>5519.6520018299989</v>
      </c>
      <c r="V127" s="7"/>
    </row>
    <row r="128" spans="1:22" ht="15" customHeight="1" x14ac:dyDescent="0.3">
      <c r="A128" s="11" t="s">
        <v>109</v>
      </c>
      <c r="B128" s="7">
        <v>464.63083460807394</v>
      </c>
      <c r="C128" s="7">
        <v>585.12504345785408</v>
      </c>
      <c r="D128" s="7">
        <v>520.47111585675771</v>
      </c>
      <c r="E128" s="7">
        <v>603.15869027312328</v>
      </c>
      <c r="F128" s="7">
        <v>668.48945705751942</v>
      </c>
      <c r="G128" s="7">
        <v>831.45329692043822</v>
      </c>
      <c r="H128" s="7">
        <v>829.87821807888088</v>
      </c>
      <c r="I128" s="7">
        <v>965.59458300060726</v>
      </c>
      <c r="J128" s="7">
        <v>1128.5971572915662</v>
      </c>
      <c r="K128" s="7">
        <v>1470.7181184014905</v>
      </c>
      <c r="L128" s="7">
        <v>1697.1606935390835</v>
      </c>
      <c r="M128" s="7">
        <v>2155.0421421097985</v>
      </c>
      <c r="N128" s="7">
        <v>2327.0891124199998</v>
      </c>
      <c r="O128" s="7">
        <v>1529.5688713175996</v>
      </c>
      <c r="P128" s="7">
        <v>1804.4889587499999</v>
      </c>
      <c r="Q128" s="7">
        <v>1556.0031869599998</v>
      </c>
      <c r="R128" s="7">
        <v>1781.6251931199997</v>
      </c>
      <c r="S128" s="7">
        <v>2375.3563658200001</v>
      </c>
      <c r="T128" s="7">
        <v>3256.5317133600001</v>
      </c>
      <c r="U128" s="7">
        <v>3737.5526517300009</v>
      </c>
      <c r="V128" s="7"/>
    </row>
    <row r="129" spans="1:22" ht="15" customHeight="1" x14ac:dyDescent="0.3">
      <c r="A129" s="11" t="s">
        <v>110</v>
      </c>
      <c r="B129" s="7">
        <v>137.9758608392047</v>
      </c>
      <c r="C129" s="7">
        <v>173.09589444573069</v>
      </c>
      <c r="D129" s="7">
        <v>242.64735642868709</v>
      </c>
      <c r="E129" s="7">
        <v>295.98001456490283</v>
      </c>
      <c r="F129" s="7">
        <v>317.19104605673556</v>
      </c>
      <c r="G129" s="7">
        <v>471.86662963007234</v>
      </c>
      <c r="H129" s="7">
        <v>656.60372674118776</v>
      </c>
      <c r="I129" s="7">
        <v>678.4123129192526</v>
      </c>
      <c r="J129" s="7">
        <v>698.11145322310688</v>
      </c>
      <c r="K129" s="7">
        <v>859.60490530637014</v>
      </c>
      <c r="L129" s="7">
        <v>1077.5721242483237</v>
      </c>
      <c r="M129" s="7">
        <v>1242.7011656010488</v>
      </c>
      <c r="N129" s="7">
        <v>1107.0447904300001</v>
      </c>
      <c r="O129" s="7">
        <v>797.31280511</v>
      </c>
      <c r="P129" s="7">
        <v>846.39509126000007</v>
      </c>
      <c r="Q129" s="7">
        <v>970.35413896999989</v>
      </c>
      <c r="R129" s="7">
        <v>1134.9384681600002</v>
      </c>
      <c r="S129" s="7">
        <v>1351.8333811329999</v>
      </c>
      <c r="T129" s="7">
        <v>1523.9147733000002</v>
      </c>
      <c r="U129" s="7">
        <v>1767.1936015000001</v>
      </c>
      <c r="V129" s="7"/>
    </row>
    <row r="130" spans="1:22" s="9" customFormat="1" ht="15" customHeight="1" x14ac:dyDescent="0.3">
      <c r="A130" s="11"/>
      <c r="B130" s="10"/>
      <c r="C130" s="10"/>
      <c r="D130" s="10"/>
      <c r="E130" s="10"/>
      <c r="F130" s="10"/>
      <c r="G130" s="10"/>
      <c r="H130" s="10"/>
      <c r="I130" s="10"/>
      <c r="J130" s="10"/>
      <c r="K130" s="10"/>
      <c r="L130" s="10"/>
      <c r="M130" s="10"/>
      <c r="N130" s="10"/>
      <c r="O130" s="10"/>
      <c r="P130" s="10"/>
      <c r="Q130" s="10"/>
      <c r="R130" s="10"/>
      <c r="S130" s="10"/>
      <c r="T130" s="10"/>
      <c r="U130" s="10"/>
      <c r="V130" s="10"/>
    </row>
    <row r="131" spans="1:22" s="9" customFormat="1" ht="15" customHeight="1" x14ac:dyDescent="0.25">
      <c r="A131" s="12" t="s">
        <v>111</v>
      </c>
      <c r="B131" s="10">
        <f>SUM(B132:B135)</f>
        <v>1371.3882033062414</v>
      </c>
      <c r="C131" s="10">
        <f t="shared" ref="C131:U131" si="16">SUM(C132:C135)</f>
        <v>1614.03262250373</v>
      </c>
      <c r="D131" s="10">
        <f t="shared" si="16"/>
        <v>2043.8438830503387</v>
      </c>
      <c r="E131" s="10">
        <f t="shared" si="16"/>
        <v>2561.3938356435988</v>
      </c>
      <c r="F131" s="10">
        <f t="shared" si="16"/>
        <v>2065.3063291540921</v>
      </c>
      <c r="G131" s="10">
        <f t="shared" si="16"/>
        <v>2606.773492948942</v>
      </c>
      <c r="H131" s="10">
        <f t="shared" si="16"/>
        <v>2672.7528337846506</v>
      </c>
      <c r="I131" s="10">
        <f t="shared" si="16"/>
        <v>3228.8190298964869</v>
      </c>
      <c r="J131" s="10">
        <f t="shared" si="16"/>
        <v>3490.0424812280444</v>
      </c>
      <c r="K131" s="10">
        <f t="shared" si="16"/>
        <v>3777.6402545295814</v>
      </c>
      <c r="L131" s="10">
        <f t="shared" si="16"/>
        <v>4385.9376159061931</v>
      </c>
      <c r="M131" s="10">
        <f t="shared" si="16"/>
        <v>5238.6006147280286</v>
      </c>
      <c r="N131" s="10">
        <f t="shared" si="16"/>
        <v>5950.1822755900002</v>
      </c>
      <c r="O131" s="10">
        <f t="shared" si="16"/>
        <v>4302.7328754999999</v>
      </c>
      <c r="P131" s="10">
        <f t="shared" si="16"/>
        <v>5143.1104990799995</v>
      </c>
      <c r="Q131" s="10">
        <f t="shared" si="16"/>
        <v>4890.9822619699989</v>
      </c>
      <c r="R131" s="10">
        <f t="shared" si="16"/>
        <v>5938.6661895999996</v>
      </c>
      <c r="S131" s="10">
        <f t="shared" si="16"/>
        <v>7202.6800926199994</v>
      </c>
      <c r="T131" s="10">
        <f t="shared" si="16"/>
        <v>9963.9654574300021</v>
      </c>
      <c r="U131" s="10">
        <f t="shared" si="16"/>
        <v>11020.041689529997</v>
      </c>
      <c r="V131" s="10"/>
    </row>
    <row r="132" spans="1:22" ht="15" customHeight="1" x14ac:dyDescent="0.3">
      <c r="A132" s="11" t="s">
        <v>112</v>
      </c>
      <c r="B132" s="7">
        <v>589.61635967166126</v>
      </c>
      <c r="C132" s="7">
        <v>628.94046254464547</v>
      </c>
      <c r="D132" s="7">
        <v>774.4851278265478</v>
      </c>
      <c r="E132" s="7">
        <v>817.88259011157186</v>
      </c>
      <c r="F132" s="7">
        <v>955.68294699127034</v>
      </c>
      <c r="G132" s="7">
        <v>1201.6499466932012</v>
      </c>
      <c r="H132" s="7">
        <v>1091.5924959313118</v>
      </c>
      <c r="I132" s="7">
        <v>1296.0792877827039</v>
      </c>
      <c r="J132" s="7">
        <v>1559.2383466740405</v>
      </c>
      <c r="K132" s="7">
        <v>1611.7278245159234</v>
      </c>
      <c r="L132" s="7">
        <v>2011.4293756964614</v>
      </c>
      <c r="M132" s="7">
        <v>2466.9279309074791</v>
      </c>
      <c r="N132" s="7">
        <v>2793.4285930800002</v>
      </c>
      <c r="O132" s="7">
        <v>1879.4330097199997</v>
      </c>
      <c r="P132" s="7">
        <v>2245.2187268099997</v>
      </c>
      <c r="Q132" s="7">
        <v>2094.4064964899999</v>
      </c>
      <c r="R132" s="7">
        <v>2527.0288980000005</v>
      </c>
      <c r="S132" s="7">
        <v>2978.4014112999994</v>
      </c>
      <c r="T132" s="7">
        <v>4331.678119180001</v>
      </c>
      <c r="U132" s="7">
        <v>4910.4090766199997</v>
      </c>
      <c r="V132" s="7"/>
    </row>
    <row r="133" spans="1:22" ht="15" customHeight="1" x14ac:dyDescent="0.3">
      <c r="A133" s="11" t="s">
        <v>113</v>
      </c>
      <c r="B133" s="7">
        <v>249.22106416158579</v>
      </c>
      <c r="C133" s="7">
        <v>274.50583461123108</v>
      </c>
      <c r="D133" s="7">
        <v>356.43455005063623</v>
      </c>
      <c r="E133" s="7">
        <v>406.30620998143365</v>
      </c>
      <c r="F133" s="7">
        <v>410.34176465916215</v>
      </c>
      <c r="G133" s="7">
        <v>481.4853233641021</v>
      </c>
      <c r="H133" s="7">
        <v>506.41729471053401</v>
      </c>
      <c r="I133" s="7">
        <v>611.684805004841</v>
      </c>
      <c r="J133" s="7">
        <v>656.21965722047184</v>
      </c>
      <c r="K133" s="7">
        <v>716.79572357579491</v>
      </c>
      <c r="L133" s="7">
        <v>752.07370913148407</v>
      </c>
      <c r="M133" s="7">
        <v>894.62412367790091</v>
      </c>
      <c r="N133" s="7">
        <v>1008.29235862</v>
      </c>
      <c r="O133" s="7">
        <v>790.07780121999986</v>
      </c>
      <c r="P133" s="7">
        <v>894.11580430000004</v>
      </c>
      <c r="Q133" s="7">
        <v>919.03613427999994</v>
      </c>
      <c r="R133" s="7">
        <v>1184.7479507099999</v>
      </c>
      <c r="S133" s="7">
        <v>1451.8613339599997</v>
      </c>
      <c r="T133" s="7">
        <v>1643.5371755400001</v>
      </c>
      <c r="U133" s="7">
        <v>1695.6655087899996</v>
      </c>
      <c r="V133" s="7"/>
    </row>
    <row r="134" spans="1:22" ht="15" customHeight="1" x14ac:dyDescent="0.3">
      <c r="A134" s="11" t="s">
        <v>114</v>
      </c>
      <c r="B134" s="7">
        <v>275.24312057549145</v>
      </c>
      <c r="C134" s="7">
        <v>421.32460505882727</v>
      </c>
      <c r="D134" s="7">
        <v>583.29694304082</v>
      </c>
      <c r="E134" s="7">
        <v>1001.1637205073099</v>
      </c>
      <c r="F134" s="7">
        <v>351.79338175998964</v>
      </c>
      <c r="G134" s="7">
        <v>445.020031521497</v>
      </c>
      <c r="H134" s="7">
        <v>488.92006542212118</v>
      </c>
      <c r="I134" s="7">
        <v>654.13894221482133</v>
      </c>
      <c r="J134" s="7">
        <v>663.67399753190386</v>
      </c>
      <c r="K134" s="7">
        <v>771.20847307288579</v>
      </c>
      <c r="L134" s="7">
        <v>820.37929385051439</v>
      </c>
      <c r="M134" s="7">
        <v>989.18742159841861</v>
      </c>
      <c r="N134" s="7">
        <v>1196.5168016600001</v>
      </c>
      <c r="O134" s="7">
        <v>957.76648368999997</v>
      </c>
      <c r="P134" s="7">
        <v>1259.3293224199999</v>
      </c>
      <c r="Q134" s="7">
        <v>1076.4574032699998</v>
      </c>
      <c r="R134" s="7">
        <v>1259.20419171</v>
      </c>
      <c r="S134" s="7">
        <v>1562.5595896099999</v>
      </c>
      <c r="T134" s="7">
        <v>2275.45913604</v>
      </c>
      <c r="U134" s="7">
        <v>2528.4250259399996</v>
      </c>
      <c r="V134" s="7"/>
    </row>
    <row r="135" spans="1:22" ht="15" customHeight="1" x14ac:dyDescent="0.3">
      <c r="A135" s="11" t="s">
        <v>115</v>
      </c>
      <c r="B135" s="7">
        <v>257.30765889750285</v>
      </c>
      <c r="C135" s="7">
        <v>289.26172028902619</v>
      </c>
      <c r="D135" s="7">
        <v>329.62726213233452</v>
      </c>
      <c r="E135" s="7">
        <v>336.04131504328325</v>
      </c>
      <c r="F135" s="7">
        <v>347.48823574367003</v>
      </c>
      <c r="G135" s="7">
        <v>478.61819137014169</v>
      </c>
      <c r="H135" s="7">
        <v>585.82297772068409</v>
      </c>
      <c r="I135" s="7">
        <v>666.91599489412067</v>
      </c>
      <c r="J135" s="7">
        <v>610.91047980162853</v>
      </c>
      <c r="K135" s="7">
        <v>677.90823336497772</v>
      </c>
      <c r="L135" s="7">
        <v>802.05523722773273</v>
      </c>
      <c r="M135" s="7">
        <v>887.86113854423002</v>
      </c>
      <c r="N135" s="7">
        <v>951.94452223000008</v>
      </c>
      <c r="O135" s="7">
        <v>675.45558086999995</v>
      </c>
      <c r="P135" s="7">
        <v>744.44664554999986</v>
      </c>
      <c r="Q135" s="7">
        <v>801.08222793000004</v>
      </c>
      <c r="R135" s="7">
        <v>967.68514917999994</v>
      </c>
      <c r="S135" s="7">
        <v>1209.85775775</v>
      </c>
      <c r="T135" s="7">
        <v>1713.2910266700001</v>
      </c>
      <c r="U135" s="7">
        <v>1885.5420781799994</v>
      </c>
      <c r="V135" s="7"/>
    </row>
    <row r="136" spans="1:22" s="9" customFormat="1" ht="15" customHeight="1" x14ac:dyDescent="0.3">
      <c r="A136" s="11"/>
      <c r="B136" s="10"/>
      <c r="C136" s="10"/>
      <c r="D136" s="10"/>
      <c r="E136" s="10"/>
      <c r="F136" s="10"/>
      <c r="G136" s="10"/>
      <c r="H136" s="10"/>
      <c r="I136" s="10"/>
      <c r="J136" s="10"/>
      <c r="K136" s="10"/>
      <c r="L136" s="10"/>
      <c r="M136" s="10"/>
      <c r="N136" s="10"/>
      <c r="O136" s="10"/>
      <c r="P136" s="10"/>
      <c r="Q136" s="10"/>
      <c r="R136" s="10"/>
      <c r="S136" s="10"/>
      <c r="T136" s="10"/>
      <c r="U136" s="10"/>
      <c r="V136" s="10"/>
    </row>
    <row r="137" spans="1:22" s="9" customFormat="1" ht="15" customHeight="1" x14ac:dyDescent="0.25">
      <c r="A137" s="13" t="s">
        <v>116</v>
      </c>
      <c r="B137" s="10">
        <f>SUM(B138:B143)</f>
        <v>931.09988532270711</v>
      </c>
      <c r="C137" s="10">
        <f t="shared" ref="C137:U137" si="17">SUM(C138:C143)</f>
        <v>1008.6119890448617</v>
      </c>
      <c r="D137" s="10">
        <f t="shared" si="17"/>
        <v>1128.7253595505356</v>
      </c>
      <c r="E137" s="10">
        <f t="shared" si="17"/>
        <v>1162.0922822834466</v>
      </c>
      <c r="F137" s="10">
        <f t="shared" si="17"/>
        <v>1038.4654762078533</v>
      </c>
      <c r="G137" s="10">
        <f t="shared" si="17"/>
        <v>1314.0265591810826</v>
      </c>
      <c r="H137" s="10">
        <f t="shared" si="17"/>
        <v>1676.5472519497546</v>
      </c>
      <c r="I137" s="10">
        <f t="shared" si="17"/>
        <v>2064.935479036274</v>
      </c>
      <c r="J137" s="10">
        <f t="shared" si="17"/>
        <v>2474.497871398331</v>
      </c>
      <c r="K137" s="10">
        <f t="shared" si="17"/>
        <v>2479.3374043994877</v>
      </c>
      <c r="L137" s="10">
        <f t="shared" si="17"/>
        <v>2657.5535179305534</v>
      </c>
      <c r="M137" s="10">
        <f t="shared" si="17"/>
        <v>2882.267200902651</v>
      </c>
      <c r="N137" s="10">
        <f t="shared" si="17"/>
        <v>3407.9986622500001</v>
      </c>
      <c r="O137" s="10">
        <f t="shared" si="17"/>
        <v>2311.4366073677998</v>
      </c>
      <c r="P137" s="10">
        <f t="shared" si="17"/>
        <v>2664.1666343799993</v>
      </c>
      <c r="Q137" s="10">
        <f t="shared" si="17"/>
        <v>2586.5827782400002</v>
      </c>
      <c r="R137" s="10">
        <f t="shared" si="17"/>
        <v>3791.7837054900001</v>
      </c>
      <c r="S137" s="10">
        <f t="shared" si="17"/>
        <v>4556.5750540499994</v>
      </c>
      <c r="T137" s="10">
        <f t="shared" si="17"/>
        <v>5043.2013490299996</v>
      </c>
      <c r="U137" s="10">
        <f t="shared" si="17"/>
        <v>5458.8658597899994</v>
      </c>
      <c r="V137" s="10"/>
    </row>
    <row r="138" spans="1:22" ht="15" customHeight="1" x14ac:dyDescent="0.3">
      <c r="A138" s="11" t="s">
        <v>117</v>
      </c>
      <c r="B138" s="7">
        <v>68.69561513801051</v>
      </c>
      <c r="C138" s="7">
        <v>59.627652548622358</v>
      </c>
      <c r="D138" s="7">
        <v>69.180456444985552</v>
      </c>
      <c r="E138" s="7">
        <v>75.297935544057466</v>
      </c>
      <c r="F138" s="7">
        <v>69.329152856552994</v>
      </c>
      <c r="G138" s="7">
        <v>96.070546171914856</v>
      </c>
      <c r="H138" s="7">
        <v>97.617229138722053</v>
      </c>
      <c r="I138" s="7">
        <v>117.56430267756545</v>
      </c>
      <c r="J138" s="7">
        <v>140.82026421684492</v>
      </c>
      <c r="K138" s="7">
        <v>152.08015634187166</v>
      </c>
      <c r="L138" s="7">
        <v>225.65670712780494</v>
      </c>
      <c r="M138" s="7">
        <v>238.39271173046515</v>
      </c>
      <c r="N138" s="7">
        <v>338.51015870999993</v>
      </c>
      <c r="O138" s="7">
        <v>109.92679248000002</v>
      </c>
      <c r="P138" s="7">
        <v>143.39404679999998</v>
      </c>
      <c r="Q138" s="7">
        <v>178.64870683000004</v>
      </c>
      <c r="R138" s="7">
        <v>285.29633449000005</v>
      </c>
      <c r="S138" s="7">
        <v>312.60630365999998</v>
      </c>
      <c r="T138" s="7">
        <v>388.63767486000006</v>
      </c>
      <c r="U138" s="7">
        <v>461.03904122999995</v>
      </c>
      <c r="V138" s="7"/>
    </row>
    <row r="139" spans="1:22" ht="15" customHeight="1" x14ac:dyDescent="0.3">
      <c r="A139" s="11" t="s">
        <v>118</v>
      </c>
      <c r="B139" s="7">
        <v>130.32024489765882</v>
      </c>
      <c r="C139" s="7">
        <v>156.14563559019803</v>
      </c>
      <c r="D139" s="7">
        <v>194.40453200307664</v>
      </c>
      <c r="E139" s="7">
        <v>208.98788683262427</v>
      </c>
      <c r="F139" s="7">
        <v>189.14559841767428</v>
      </c>
      <c r="G139" s="7">
        <v>245.66673906930279</v>
      </c>
      <c r="H139" s="7">
        <v>309.27335047904563</v>
      </c>
      <c r="I139" s="7">
        <v>388.8978313616966</v>
      </c>
      <c r="J139" s="7">
        <v>455.32466096040804</v>
      </c>
      <c r="K139" s="7">
        <v>463.87965838297117</v>
      </c>
      <c r="L139" s="7">
        <v>470.51796490903041</v>
      </c>
      <c r="M139" s="7">
        <v>490.76943401721888</v>
      </c>
      <c r="N139" s="7">
        <v>666.42833558000007</v>
      </c>
      <c r="O139" s="7">
        <v>437.98450608999997</v>
      </c>
      <c r="P139" s="7">
        <v>518.61353407999991</v>
      </c>
      <c r="Q139" s="7">
        <v>460.02019476999993</v>
      </c>
      <c r="R139" s="7">
        <v>779.33474855999998</v>
      </c>
      <c r="S139" s="7">
        <v>851.19171628999993</v>
      </c>
      <c r="T139" s="7">
        <v>958.94408142999998</v>
      </c>
      <c r="U139" s="7">
        <v>990.85464042000001</v>
      </c>
      <c r="V139" s="7"/>
    </row>
    <row r="140" spans="1:22" ht="15" customHeight="1" x14ac:dyDescent="0.3">
      <c r="A140" s="11" t="s">
        <v>119</v>
      </c>
      <c r="B140" s="7">
        <v>672.80895348718116</v>
      </c>
      <c r="C140" s="7">
        <v>723.56813936543381</v>
      </c>
      <c r="D140" s="7">
        <v>792.31417885294695</v>
      </c>
      <c r="E140" s="7">
        <v>803.43532566074657</v>
      </c>
      <c r="F140" s="7">
        <v>721.73110593103047</v>
      </c>
      <c r="G140" s="7">
        <v>890.80145187377036</v>
      </c>
      <c r="H140" s="7">
        <v>1161.9414549452158</v>
      </c>
      <c r="I140" s="7">
        <v>1400.2555809755818</v>
      </c>
      <c r="J140" s="7">
        <v>1637.38313417935</v>
      </c>
      <c r="K140" s="7">
        <v>1492.1926377546449</v>
      </c>
      <c r="L140" s="7">
        <v>1514.0936969376373</v>
      </c>
      <c r="M140" s="7">
        <v>1697.7575364308468</v>
      </c>
      <c r="N140" s="7">
        <v>1940.4044611100003</v>
      </c>
      <c r="O140" s="7">
        <v>1333.8241790299996</v>
      </c>
      <c r="P140" s="7">
        <v>1426.6524409899996</v>
      </c>
      <c r="Q140" s="7">
        <v>1546.5932114000002</v>
      </c>
      <c r="R140" s="7">
        <v>2167.22203704</v>
      </c>
      <c r="S140" s="7">
        <v>2737.3335393899997</v>
      </c>
      <c r="T140" s="7">
        <v>3087.5398264599999</v>
      </c>
      <c r="U140" s="7">
        <v>3341.9846802699994</v>
      </c>
      <c r="V140" s="7"/>
    </row>
    <row r="141" spans="1:22" ht="15" customHeight="1" x14ac:dyDescent="0.3">
      <c r="A141" s="11" t="s">
        <v>120</v>
      </c>
      <c r="B141" s="7">
        <v>31.436313610980356</v>
      </c>
      <c r="C141" s="7">
        <v>38.850185352569305</v>
      </c>
      <c r="D141" s="7">
        <v>39.880444027773351</v>
      </c>
      <c r="E141" s="7">
        <v>42.779767035537873</v>
      </c>
      <c r="F141" s="7">
        <v>33.08882669351366</v>
      </c>
      <c r="G141" s="7">
        <v>40.710191989794488</v>
      </c>
      <c r="H141" s="7">
        <v>53.035849731788069</v>
      </c>
      <c r="I141" s="7">
        <v>69.902173375166427</v>
      </c>
      <c r="J141" s="7">
        <v>96.610695215457326</v>
      </c>
      <c r="K141" s="7">
        <v>150.28793921000002</v>
      </c>
      <c r="L141" s="7">
        <v>233.94833017608053</v>
      </c>
      <c r="M141" s="7">
        <v>231.33589423181431</v>
      </c>
      <c r="N141" s="7">
        <v>260.34466716999998</v>
      </c>
      <c r="O141" s="7">
        <v>104.54546889000002</v>
      </c>
      <c r="P141" s="7">
        <v>148.08570293</v>
      </c>
      <c r="Q141" s="7">
        <v>151.31091938999998</v>
      </c>
      <c r="R141" s="7">
        <v>278.74401030000001</v>
      </c>
      <c r="S141" s="7">
        <v>375.72784780999996</v>
      </c>
      <c r="T141" s="7">
        <v>327.94608894999999</v>
      </c>
      <c r="U141" s="7">
        <v>374.36415675999996</v>
      </c>
      <c r="V141" s="7"/>
    </row>
    <row r="142" spans="1:22" ht="15" customHeight="1" x14ac:dyDescent="0.3">
      <c r="A142" s="11" t="s">
        <v>121</v>
      </c>
      <c r="B142" s="7">
        <v>27.838758188876255</v>
      </c>
      <c r="C142" s="7">
        <v>30.420376188038318</v>
      </c>
      <c r="D142" s="7">
        <v>32.945748221753028</v>
      </c>
      <c r="E142" s="7">
        <v>31.591367210480445</v>
      </c>
      <c r="F142" s="7">
        <v>25.170792309081996</v>
      </c>
      <c r="G142" s="7">
        <v>40.777630076300071</v>
      </c>
      <c r="H142" s="7">
        <v>54.679367654982734</v>
      </c>
      <c r="I142" s="7">
        <v>88.315590646263715</v>
      </c>
      <c r="J142" s="7">
        <v>144.35911682627071</v>
      </c>
      <c r="K142" s="7">
        <v>220.89701270999998</v>
      </c>
      <c r="L142" s="7">
        <v>213.33681877999996</v>
      </c>
      <c r="M142" s="7">
        <v>224.0116244923062</v>
      </c>
      <c r="N142" s="7">
        <v>202.31103968000002</v>
      </c>
      <c r="O142" s="7">
        <v>325.15566087780007</v>
      </c>
      <c r="P142" s="7">
        <v>427.42090957999989</v>
      </c>
      <c r="Q142" s="7">
        <v>250.00974584999997</v>
      </c>
      <c r="R142" s="7">
        <v>281.18657509999997</v>
      </c>
      <c r="S142" s="7">
        <v>279.71564689999997</v>
      </c>
      <c r="T142" s="7">
        <v>280.13367732999995</v>
      </c>
      <c r="U142" s="7">
        <v>290.62334110999996</v>
      </c>
      <c r="V142" s="7"/>
    </row>
    <row r="143" spans="1:22" ht="18" customHeight="1" x14ac:dyDescent="0.3">
      <c r="A143" s="11" t="s">
        <v>122</v>
      </c>
      <c r="B143" s="7"/>
      <c r="C143" s="7"/>
      <c r="D143" s="7"/>
      <c r="E143" s="7"/>
      <c r="F143" s="7"/>
      <c r="G143" s="7"/>
      <c r="H143" s="7"/>
      <c r="I143" s="7"/>
      <c r="J143" s="7"/>
      <c r="K143" s="7"/>
      <c r="L143" s="7"/>
      <c r="M143" s="7"/>
      <c r="N143" s="7"/>
      <c r="O143" s="7"/>
      <c r="P143" s="7"/>
      <c r="Q143" s="7"/>
      <c r="R143" s="7"/>
      <c r="S143" s="7"/>
      <c r="T143" s="7"/>
      <c r="U143" s="7"/>
      <c r="V143" s="7"/>
    </row>
    <row r="144" spans="1:22" ht="15" customHeight="1" x14ac:dyDescent="0.3">
      <c r="B144" s="7"/>
      <c r="C144" s="7"/>
      <c r="D144" s="7"/>
      <c r="E144" s="7"/>
      <c r="F144" s="7"/>
      <c r="G144" s="7"/>
      <c r="H144" s="7"/>
      <c r="I144" s="7"/>
      <c r="J144" s="7"/>
      <c r="K144" s="7"/>
      <c r="L144" s="7"/>
      <c r="M144" s="7"/>
      <c r="N144" s="7"/>
      <c r="O144" s="7"/>
      <c r="P144" s="7"/>
      <c r="Q144" s="7"/>
      <c r="R144" s="7"/>
      <c r="S144" s="7"/>
      <c r="T144" s="7"/>
      <c r="U144" s="7"/>
      <c r="V144" s="7"/>
    </row>
    <row r="145" spans="1:36" s="9" customFormat="1" ht="15" customHeight="1" x14ac:dyDescent="0.25">
      <c r="A145" s="9" t="s">
        <v>123</v>
      </c>
      <c r="B145" s="10">
        <f>+B7+B25+B33+B39+B45+B56+B64+B71+B79+B86+B90+B96+B104+B111+B118+B125+B131+B137</f>
        <v>542696.66912432993</v>
      </c>
      <c r="C145" s="10">
        <f t="shared" ref="C145:U145" si="18">+C7+C25+C33+C39+C45+C56+C64+C71+C79+C86+C90+C96+C104+C111+C118+C125+C131+C137</f>
        <v>614880.60065368994</v>
      </c>
      <c r="D145" s="10">
        <f t="shared" si="18"/>
        <v>679033.14355265023</v>
      </c>
      <c r="E145" s="10">
        <f t="shared" si="18"/>
        <v>740967.63665529992</v>
      </c>
      <c r="F145" s="10">
        <f t="shared" si="18"/>
        <v>716104.52930482</v>
      </c>
      <c r="G145" s="10">
        <f t="shared" si="18"/>
        <v>788617.34291694988</v>
      </c>
      <c r="H145" s="10">
        <f t="shared" si="18"/>
        <v>890492.79203799018</v>
      </c>
      <c r="I145" s="10">
        <f t="shared" si="18"/>
        <v>1016966.9694865098</v>
      </c>
      <c r="J145" s="10">
        <f t="shared" si="18"/>
        <v>1178667.7239699797</v>
      </c>
      <c r="K145" s="10">
        <f t="shared" si="18"/>
        <v>1297534.1831014201</v>
      </c>
      <c r="L145" s="10">
        <f t="shared" si="18"/>
        <v>1404231.3240691698</v>
      </c>
      <c r="M145" s="10">
        <f t="shared" si="18"/>
        <v>1540847.314078467</v>
      </c>
      <c r="N145" s="10">
        <f t="shared" si="18"/>
        <v>1744082.2552287779</v>
      </c>
      <c r="O145" s="10">
        <f t="shared" si="18"/>
        <v>1916695.6206756316</v>
      </c>
      <c r="P145" s="10">
        <f t="shared" si="18"/>
        <v>2132986.5434404695</v>
      </c>
      <c r="Q145" s="10">
        <f t="shared" si="18"/>
        <v>1893931.1866068752</v>
      </c>
      <c r="R145" s="10">
        <f t="shared" si="18"/>
        <v>2020062.4967229769</v>
      </c>
      <c r="S145" s="10">
        <f t="shared" si="18"/>
        <v>2268592.3918545689</v>
      </c>
      <c r="T145" s="10">
        <f t="shared" si="18"/>
        <v>2442524.5717924149</v>
      </c>
      <c r="U145" s="10">
        <f t="shared" si="18"/>
        <v>2768418.1405386673</v>
      </c>
      <c r="V145" s="10"/>
    </row>
    <row r="146" spans="1:36" ht="15" customHeight="1" x14ac:dyDescent="0.3">
      <c r="B146" s="7"/>
      <c r="C146" s="7"/>
      <c r="D146" s="7"/>
      <c r="E146" s="7"/>
      <c r="F146" s="7"/>
      <c r="G146" s="7"/>
      <c r="H146" s="7"/>
      <c r="I146" s="7"/>
      <c r="J146" s="7"/>
      <c r="K146" s="7"/>
      <c r="L146" s="7"/>
      <c r="M146" s="7"/>
      <c r="N146" s="7"/>
      <c r="O146" s="7"/>
      <c r="P146" s="7"/>
      <c r="Q146" s="7"/>
      <c r="R146" s="7"/>
      <c r="S146" s="7"/>
      <c r="T146" s="7"/>
      <c r="U146" s="7"/>
      <c r="V146" s="7"/>
    </row>
    <row r="147" spans="1:36" s="9" customFormat="1" ht="15" customHeight="1" x14ac:dyDescent="0.25">
      <c r="A147" s="9" t="s">
        <v>124</v>
      </c>
      <c r="B147" s="10">
        <v>0</v>
      </c>
      <c r="C147" s="10">
        <v>37852.226595439999</v>
      </c>
      <c r="D147" s="10">
        <v>34562.551018719998</v>
      </c>
      <c r="E147" s="10">
        <v>37613.159464639997</v>
      </c>
      <c r="F147" s="10">
        <v>34183.147029840002</v>
      </c>
      <c r="G147" s="10">
        <v>34006.553808729994</v>
      </c>
      <c r="H147" s="10">
        <v>33653.236508240007</v>
      </c>
      <c r="I147" s="10">
        <v>40949.442056989996</v>
      </c>
      <c r="J147" s="10">
        <v>37992.993787880005</v>
      </c>
      <c r="K147" s="10">
        <v>37227.45152137</v>
      </c>
      <c r="L147" s="10">
        <v>37340.526504059999</v>
      </c>
      <c r="M147" s="10">
        <v>34936.560697400004</v>
      </c>
      <c r="N147" s="10">
        <v>36641.418998369998</v>
      </c>
      <c r="O147" s="10">
        <v>45784.926275079997</v>
      </c>
      <c r="P147" s="10">
        <v>53259.125031810006</v>
      </c>
      <c r="Q147" s="10">
        <v>62070.937165560004</v>
      </c>
      <c r="R147" s="10">
        <v>66015.995902950002</v>
      </c>
      <c r="S147" s="10">
        <v>73938.687869640009</v>
      </c>
      <c r="T147" s="10">
        <v>82684.733010579992</v>
      </c>
      <c r="U147" s="10">
        <v>96603.586457140002</v>
      </c>
      <c r="V147" s="10"/>
      <c r="W147" s="14"/>
      <c r="X147" s="14"/>
      <c r="Y147" s="14"/>
      <c r="Z147" s="14"/>
      <c r="AA147" s="14"/>
      <c r="AB147" s="14"/>
      <c r="AC147" s="14"/>
      <c r="AD147" s="14"/>
      <c r="AE147" s="14"/>
      <c r="AF147" s="14"/>
      <c r="AG147" s="14"/>
      <c r="AH147" s="14"/>
      <c r="AI147" s="14"/>
      <c r="AJ147" s="14"/>
    </row>
    <row r="148" spans="1:36" s="9" customFormat="1" ht="15" customHeight="1" x14ac:dyDescent="0.25">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row>
    <row r="149" spans="1:36" s="9" customFormat="1" ht="15" customHeight="1" x14ac:dyDescent="0.25">
      <c r="A149" s="9" t="s">
        <v>125</v>
      </c>
      <c r="B149" s="14">
        <v>0</v>
      </c>
      <c r="C149" s="14">
        <v>0</v>
      </c>
      <c r="D149" s="14">
        <v>0</v>
      </c>
      <c r="E149" s="14">
        <v>0</v>
      </c>
      <c r="F149" s="14">
        <v>0</v>
      </c>
      <c r="G149" s="14">
        <v>0</v>
      </c>
      <c r="H149" s="14">
        <v>0</v>
      </c>
      <c r="I149" s="14">
        <v>0</v>
      </c>
      <c r="J149" s="14">
        <v>0</v>
      </c>
      <c r="K149" s="14">
        <v>0</v>
      </c>
      <c r="L149" s="14">
        <v>0</v>
      </c>
      <c r="M149" s="14">
        <v>0</v>
      </c>
      <c r="N149" s="14">
        <v>79.16181066</v>
      </c>
      <c r="O149" s="14">
        <v>161.96041326999998</v>
      </c>
      <c r="P149" s="14">
        <v>173.43588332000004</v>
      </c>
      <c r="Q149" s="14">
        <v>281.62462735000008</v>
      </c>
      <c r="R149" s="14">
        <v>215.08013631</v>
      </c>
      <c r="S149" s="14">
        <v>151.62795445700178</v>
      </c>
      <c r="T149" s="14">
        <v>186.87795940601052</v>
      </c>
      <c r="U149" s="14">
        <v>131.10277405600141</v>
      </c>
      <c r="V149" s="14"/>
      <c r="W149" s="14"/>
      <c r="X149" s="14"/>
      <c r="Y149" s="14"/>
      <c r="Z149" s="14"/>
      <c r="AA149" s="14"/>
      <c r="AB149" s="14"/>
      <c r="AC149" s="14"/>
      <c r="AD149" s="14"/>
      <c r="AE149" s="14"/>
      <c r="AF149" s="14"/>
      <c r="AG149" s="14"/>
      <c r="AH149" s="14"/>
      <c r="AI149" s="14"/>
      <c r="AJ149" s="14"/>
    </row>
    <row r="150" spans="1:36" s="9" customFormat="1" ht="15" customHeight="1" x14ac:dyDescent="0.25">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row>
    <row r="151" spans="1:36" s="9" customFormat="1" ht="15" customHeight="1" x14ac:dyDescent="0.25">
      <c r="A151" s="9" t="s">
        <v>126</v>
      </c>
      <c r="B151" s="14">
        <f>+B145+B147+B149</f>
        <v>542696.66912432993</v>
      </c>
      <c r="C151" s="14">
        <f t="shared" ref="C151:U151" si="19">+C145+C147+C149</f>
        <v>652732.82724912988</v>
      </c>
      <c r="D151" s="14">
        <f t="shared" si="19"/>
        <v>713595.69457137026</v>
      </c>
      <c r="E151" s="14">
        <f t="shared" si="19"/>
        <v>778580.79611993989</v>
      </c>
      <c r="F151" s="14">
        <f t="shared" si="19"/>
        <v>750287.67633466003</v>
      </c>
      <c r="G151" s="14">
        <f t="shared" si="19"/>
        <v>822623.89672567986</v>
      </c>
      <c r="H151" s="14">
        <f t="shared" si="19"/>
        <v>924146.02854623017</v>
      </c>
      <c r="I151" s="14">
        <f t="shared" si="19"/>
        <v>1057916.4115434997</v>
      </c>
      <c r="J151" s="14">
        <f t="shared" si="19"/>
        <v>1216660.7177578597</v>
      </c>
      <c r="K151" s="14">
        <f t="shared" si="19"/>
        <v>1334761.6346227902</v>
      </c>
      <c r="L151" s="14">
        <f t="shared" si="19"/>
        <v>1441571.8505732298</v>
      </c>
      <c r="M151" s="14">
        <f t="shared" si="19"/>
        <v>1575783.874775867</v>
      </c>
      <c r="N151" s="14">
        <f t="shared" si="19"/>
        <v>1780802.8360378079</v>
      </c>
      <c r="O151" s="14">
        <f t="shared" si="19"/>
        <v>1962642.5073639816</v>
      </c>
      <c r="P151" s="14">
        <f t="shared" si="19"/>
        <v>2186419.1043555993</v>
      </c>
      <c r="Q151" s="14">
        <f t="shared" si="19"/>
        <v>1956283.748399785</v>
      </c>
      <c r="R151" s="14">
        <f t="shared" si="19"/>
        <v>2086293.5727622369</v>
      </c>
      <c r="S151" s="14">
        <f t="shared" si="19"/>
        <v>2342682.7076786659</v>
      </c>
      <c r="T151" s="14">
        <f t="shared" si="19"/>
        <v>2525396.1827624007</v>
      </c>
      <c r="U151" s="14">
        <f t="shared" si="19"/>
        <v>2865152.8297698633</v>
      </c>
      <c r="V151" s="14"/>
      <c r="W151" s="14"/>
      <c r="X151" s="14"/>
      <c r="Y151" s="14"/>
      <c r="Z151" s="14"/>
      <c r="AA151" s="14"/>
      <c r="AB151" s="14"/>
      <c r="AC151" s="14"/>
      <c r="AD151" s="14"/>
      <c r="AE151" s="14"/>
      <c r="AF151" s="14"/>
      <c r="AG151" s="14"/>
      <c r="AH151" s="14"/>
      <c r="AI151" s="14"/>
      <c r="AJ151" s="14"/>
    </row>
    <row r="152" spans="1:36" s="9" customFormat="1" ht="15" customHeight="1" x14ac:dyDescent="0.25">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row>
    <row r="153" spans="1:36" s="9" customFormat="1" ht="15" customHeight="1" x14ac:dyDescent="0.25">
      <c r="A153" s="9" t="s">
        <v>127</v>
      </c>
      <c r="B153" s="14">
        <v>0</v>
      </c>
      <c r="C153" s="14">
        <v>0</v>
      </c>
      <c r="D153" s="14">
        <v>0</v>
      </c>
      <c r="E153" s="14">
        <v>0</v>
      </c>
      <c r="F153" s="14">
        <v>0</v>
      </c>
      <c r="G153" s="14">
        <v>0</v>
      </c>
      <c r="H153" s="14">
        <v>0</v>
      </c>
      <c r="I153" s="14">
        <v>0</v>
      </c>
      <c r="J153" s="14">
        <v>0</v>
      </c>
      <c r="K153" s="14">
        <v>0</v>
      </c>
      <c r="L153" s="14">
        <v>-8270.8247403900004</v>
      </c>
      <c r="M153" s="14">
        <v>-8571.0178699399985</v>
      </c>
      <c r="N153" s="14">
        <v>-8481.5665069000006</v>
      </c>
      <c r="O153" s="14">
        <v>-10793.22442744</v>
      </c>
      <c r="P153" s="14">
        <v>-10914.368412160002</v>
      </c>
      <c r="Q153" s="14">
        <v>-5260.4110837400003</v>
      </c>
      <c r="R153" s="14">
        <v>-8148.9143052699992</v>
      </c>
      <c r="S153" s="14">
        <v>-7008.8341466599995</v>
      </c>
      <c r="T153" s="14">
        <v>-8409.4260095699992</v>
      </c>
      <c r="U153" s="14">
        <v>-13549.096798429999</v>
      </c>
      <c r="V153" s="14"/>
      <c r="W153" s="14"/>
      <c r="X153" s="14"/>
      <c r="Y153" s="14"/>
      <c r="Z153" s="14"/>
      <c r="AA153" s="14"/>
      <c r="AB153" s="14"/>
      <c r="AC153" s="14"/>
      <c r="AD153" s="14"/>
      <c r="AE153" s="14"/>
      <c r="AF153" s="14"/>
      <c r="AG153" s="14"/>
      <c r="AH153" s="14"/>
      <c r="AI153" s="14"/>
      <c r="AJ153" s="14"/>
    </row>
    <row r="154" spans="1:36" s="9" customFormat="1" ht="15" customHeight="1" x14ac:dyDescent="0.25">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row>
    <row r="155" spans="1:36" s="9" customFormat="1" ht="15" customHeight="1" x14ac:dyDescent="0.25">
      <c r="A155" s="9" t="s">
        <v>128</v>
      </c>
      <c r="B155" s="14">
        <f>+B151+B153</f>
        <v>542696.66912432993</v>
      </c>
      <c r="C155" s="14">
        <f t="shared" ref="C155:U155" si="20">+C151+C153</f>
        <v>652732.82724912988</v>
      </c>
      <c r="D155" s="14">
        <f t="shared" si="20"/>
        <v>713595.69457137026</v>
      </c>
      <c r="E155" s="14">
        <f t="shared" si="20"/>
        <v>778580.79611993989</v>
      </c>
      <c r="F155" s="14">
        <f t="shared" si="20"/>
        <v>750287.67633466003</v>
      </c>
      <c r="G155" s="14">
        <f t="shared" si="20"/>
        <v>822623.89672567986</v>
      </c>
      <c r="H155" s="14">
        <f t="shared" si="20"/>
        <v>924146.02854623017</v>
      </c>
      <c r="I155" s="14">
        <f t="shared" si="20"/>
        <v>1057916.4115434997</v>
      </c>
      <c r="J155" s="14">
        <f t="shared" si="20"/>
        <v>1216660.7177578597</v>
      </c>
      <c r="K155" s="14">
        <f t="shared" si="20"/>
        <v>1334761.6346227902</v>
      </c>
      <c r="L155" s="14">
        <f t="shared" si="20"/>
        <v>1433301.0258328398</v>
      </c>
      <c r="M155" s="14">
        <f t="shared" si="20"/>
        <v>1567212.856905927</v>
      </c>
      <c r="N155" s="14">
        <f t="shared" si="20"/>
        <v>1772321.269530908</v>
      </c>
      <c r="O155" s="14">
        <f t="shared" si="20"/>
        <v>1951849.2829365416</v>
      </c>
      <c r="P155" s="14">
        <f t="shared" si="20"/>
        <v>2175504.7359434394</v>
      </c>
      <c r="Q155" s="14">
        <f t="shared" si="20"/>
        <v>1951023.3373160451</v>
      </c>
      <c r="R155" s="14">
        <f t="shared" si="20"/>
        <v>2078144.658456967</v>
      </c>
      <c r="S155" s="14">
        <f t="shared" si="20"/>
        <v>2335673.8735320061</v>
      </c>
      <c r="T155" s="14">
        <f t="shared" si="20"/>
        <v>2516986.7567528309</v>
      </c>
      <c r="U155" s="14">
        <f t="shared" si="20"/>
        <v>2851603.7329714331</v>
      </c>
      <c r="V155" s="14"/>
      <c r="W155" s="14"/>
      <c r="X155" s="14"/>
      <c r="Y155" s="14"/>
      <c r="Z155" s="14"/>
      <c r="AA155" s="14"/>
      <c r="AB155" s="14"/>
      <c r="AC155" s="14"/>
      <c r="AD155" s="14"/>
      <c r="AE155" s="14"/>
      <c r="AF155" s="14"/>
      <c r="AG155" s="14"/>
      <c r="AH155" s="14"/>
      <c r="AI155" s="14"/>
      <c r="AJ155" s="14"/>
    </row>
    <row r="156" spans="1:36" s="9" customFormat="1" ht="15" customHeight="1" thickBot="1" x14ac:dyDescent="0.3">
      <c r="A156" s="15"/>
      <c r="B156" s="16"/>
      <c r="C156" s="16"/>
      <c r="D156" s="16"/>
      <c r="E156" s="16"/>
      <c r="F156" s="16"/>
      <c r="G156" s="16"/>
      <c r="H156" s="16"/>
      <c r="I156" s="16"/>
      <c r="J156" s="16"/>
      <c r="K156" s="16"/>
      <c r="L156" s="16"/>
      <c r="M156" s="16"/>
      <c r="N156" s="16"/>
      <c r="O156" s="16"/>
      <c r="P156" s="16"/>
      <c r="Q156" s="16"/>
      <c r="R156" s="16"/>
      <c r="S156" s="16"/>
      <c r="T156" s="16"/>
      <c r="U156" s="16"/>
      <c r="V156" s="14"/>
      <c r="W156" s="14"/>
      <c r="X156" s="14"/>
      <c r="Y156" s="14"/>
      <c r="Z156" s="14"/>
      <c r="AA156" s="14"/>
      <c r="AB156" s="14"/>
      <c r="AC156" s="14"/>
      <c r="AD156" s="14"/>
      <c r="AE156" s="14"/>
      <c r="AF156" s="14"/>
      <c r="AG156" s="14"/>
      <c r="AH156" s="14"/>
      <c r="AI156" s="14"/>
      <c r="AJ156" s="14"/>
    </row>
    <row r="157" spans="1:36" s="9" customFormat="1" ht="15" customHeight="1" thickTop="1" x14ac:dyDescent="0.25">
      <c r="A157" s="17" t="s">
        <v>129</v>
      </c>
      <c r="B157" s="18"/>
      <c r="C157" s="18"/>
      <c r="D157" s="18"/>
      <c r="E157" s="18"/>
      <c r="F157" s="18"/>
      <c r="G157" s="18"/>
      <c r="H157" s="18"/>
      <c r="I157" s="18"/>
      <c r="J157" s="18"/>
      <c r="K157" s="18"/>
      <c r="L157" s="18"/>
      <c r="M157" s="18"/>
      <c r="N157" s="18"/>
      <c r="O157" s="18"/>
      <c r="P157" s="18"/>
      <c r="Q157" s="18"/>
      <c r="R157" s="18"/>
      <c r="S157" s="18"/>
      <c r="T157" s="18"/>
      <c r="U157" s="18"/>
      <c r="V157" s="14"/>
      <c r="W157" s="14"/>
      <c r="X157" s="14"/>
      <c r="Y157" s="14"/>
      <c r="Z157" s="14"/>
      <c r="AA157" s="14"/>
      <c r="AB157" s="14"/>
      <c r="AC157" s="14"/>
      <c r="AD157" s="14"/>
      <c r="AE157" s="14"/>
      <c r="AF157" s="14"/>
      <c r="AG157" s="14"/>
      <c r="AH157" s="14"/>
      <c r="AI157" s="14"/>
      <c r="AJ157" s="14"/>
    </row>
    <row r="158" spans="1:36" s="9" customFormat="1" ht="15" customHeight="1" x14ac:dyDescent="0.25">
      <c r="A158" s="17" t="s">
        <v>130</v>
      </c>
      <c r="B158" s="18"/>
      <c r="C158" s="18"/>
      <c r="D158" s="18"/>
      <c r="E158" s="18"/>
      <c r="F158" s="18"/>
      <c r="G158" s="18"/>
      <c r="H158" s="18"/>
      <c r="I158" s="18"/>
      <c r="J158" s="18"/>
      <c r="K158" s="18"/>
      <c r="L158" s="18"/>
      <c r="M158" s="18"/>
      <c r="N158" s="18"/>
      <c r="O158" s="18"/>
      <c r="P158" s="18"/>
      <c r="Q158" s="18"/>
      <c r="R158" s="18"/>
      <c r="S158" s="18"/>
      <c r="T158" s="18"/>
      <c r="U158" s="18"/>
      <c r="V158" s="14"/>
      <c r="W158" s="14"/>
      <c r="X158" s="14"/>
      <c r="Y158" s="14"/>
      <c r="Z158" s="14"/>
      <c r="AA158" s="14"/>
      <c r="AB158" s="14"/>
      <c r="AC158" s="14"/>
      <c r="AD158" s="14"/>
      <c r="AE158" s="14"/>
      <c r="AF158" s="14"/>
      <c r="AG158" s="14"/>
      <c r="AH158" s="14"/>
      <c r="AI158" s="14"/>
      <c r="AJ158" s="14"/>
    </row>
    <row r="159" spans="1:36" s="9" customFormat="1" ht="15" customHeight="1" x14ac:dyDescent="0.3">
      <c r="A159" s="19" t="s">
        <v>131</v>
      </c>
      <c r="B159" s="20"/>
      <c r="C159" s="20"/>
      <c r="D159" s="20"/>
      <c r="E159" s="20"/>
      <c r="F159" s="20"/>
      <c r="G159" s="20"/>
      <c r="H159" s="20"/>
      <c r="I159" s="20"/>
      <c r="J159" s="20"/>
      <c r="K159" s="20"/>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row>
    <row r="160" spans="1:36" s="9" customFormat="1" ht="15" customHeight="1" x14ac:dyDescent="0.3">
      <c r="A160" s="19"/>
      <c r="B160" s="21"/>
      <c r="C160" s="21"/>
      <c r="D160" s="21"/>
      <c r="E160" s="21"/>
      <c r="F160" s="21"/>
      <c r="G160" s="21"/>
      <c r="H160" s="21"/>
      <c r="I160" s="21"/>
      <c r="J160" s="21"/>
    </row>
    <row r="161" spans="1:10" ht="15" customHeight="1" x14ac:dyDescent="0.3">
      <c r="A161" s="22" t="s">
        <v>132</v>
      </c>
      <c r="B161" s="23"/>
      <c r="C161" s="23"/>
      <c r="D161" s="23"/>
      <c r="E161" s="23"/>
      <c r="F161" s="23"/>
      <c r="G161" s="23"/>
      <c r="H161" s="23"/>
      <c r="I161" s="23"/>
      <c r="J161" s="23"/>
    </row>
    <row r="162" spans="1:10" s="23" customFormat="1" ht="17.100000000000001" customHeight="1" x14ac:dyDescent="0.3">
      <c r="A162" s="24" t="s">
        <v>133</v>
      </c>
    </row>
    <row r="163" spans="1:10" s="23" customFormat="1" ht="17.100000000000001" customHeight="1" x14ac:dyDescent="0.3">
      <c r="A163" s="24" t="s">
        <v>134</v>
      </c>
    </row>
    <row r="164" spans="1:10" s="23" customFormat="1" ht="17.100000000000001" customHeight="1" x14ac:dyDescent="0.3">
      <c r="A164" s="24" t="s">
        <v>135</v>
      </c>
    </row>
    <row r="165" spans="1:10" s="23" customFormat="1" ht="17.100000000000001" customHeight="1" x14ac:dyDescent="0.3">
      <c r="A165" s="24" t="s">
        <v>136</v>
      </c>
    </row>
    <row r="166" spans="1:10" s="23" customFormat="1" ht="17.100000000000001" customHeight="1" x14ac:dyDescent="0.3">
      <c r="A166" s="24" t="s">
        <v>137</v>
      </c>
    </row>
    <row r="167" spans="1:10" s="23" customFormat="1" ht="15.95" customHeight="1" x14ac:dyDescent="0.3">
      <c r="A167" s="55" t="s">
        <v>138</v>
      </c>
      <c r="B167" s="55"/>
      <c r="C167" s="55"/>
      <c r="D167" s="55"/>
      <c r="E167" s="55"/>
      <c r="F167" s="55"/>
      <c r="G167" s="55"/>
      <c r="H167" s="55"/>
      <c r="I167" s="55"/>
      <c r="J167" s="55"/>
    </row>
    <row r="168" spans="1:10" s="23" customFormat="1" ht="15.95" customHeight="1" x14ac:dyDescent="0.3">
      <c r="A168" s="55"/>
      <c r="B168" s="55"/>
      <c r="C168" s="55"/>
      <c r="D168" s="55"/>
      <c r="E168" s="55"/>
      <c r="F168" s="55"/>
      <c r="G168" s="55"/>
      <c r="H168" s="55"/>
      <c r="I168" s="55"/>
      <c r="J168" s="55"/>
    </row>
    <row r="169" spans="1:10" s="23" customFormat="1" ht="17.100000000000001" customHeight="1" x14ac:dyDescent="0.3">
      <c r="A169" s="24" t="s">
        <v>139</v>
      </c>
    </row>
    <row r="170" spans="1:10" s="23" customFormat="1" ht="17.100000000000001" customHeight="1" x14ac:dyDescent="0.3">
      <c r="A170" s="24" t="s">
        <v>140</v>
      </c>
    </row>
    <row r="171" spans="1:10" s="23" customFormat="1" ht="15.95" customHeight="1" x14ac:dyDescent="0.3">
      <c r="A171" s="55" t="s">
        <v>141</v>
      </c>
      <c r="B171" s="55"/>
      <c r="C171" s="55"/>
      <c r="D171" s="55"/>
      <c r="E171" s="55"/>
      <c r="F171" s="55"/>
      <c r="G171" s="55"/>
      <c r="H171" s="55"/>
      <c r="I171" s="55"/>
      <c r="J171" s="55"/>
    </row>
    <row r="172" spans="1:10" s="23" customFormat="1" ht="15.95" customHeight="1" x14ac:dyDescent="0.3">
      <c r="A172" s="55"/>
      <c r="B172" s="55"/>
      <c r="C172" s="55"/>
      <c r="D172" s="55"/>
      <c r="E172" s="55"/>
      <c r="F172" s="55"/>
      <c r="G172" s="55"/>
      <c r="H172" s="55"/>
      <c r="I172" s="55"/>
      <c r="J172" s="55"/>
    </row>
    <row r="173" spans="1:10" s="23" customFormat="1" ht="17.100000000000001" customHeight="1" x14ac:dyDescent="0.3">
      <c r="A173" s="24" t="s">
        <v>142</v>
      </c>
    </row>
    <row r="174" spans="1:10" s="23" customFormat="1" ht="17.100000000000001" customHeight="1" x14ac:dyDescent="0.3">
      <c r="A174" s="24" t="s">
        <v>143</v>
      </c>
    </row>
    <row r="175" spans="1:10" s="23" customFormat="1" ht="17.100000000000001" customHeight="1" x14ac:dyDescent="0.3">
      <c r="A175" s="24" t="s">
        <v>144</v>
      </c>
      <c r="B175" s="24"/>
      <c r="C175" s="24"/>
      <c r="D175" s="24"/>
      <c r="E175" s="24"/>
      <c r="F175" s="24"/>
      <c r="G175" s="24"/>
      <c r="H175" s="24"/>
      <c r="I175" s="24"/>
      <c r="J175" s="24"/>
    </row>
    <row r="176" spans="1:10" s="23" customFormat="1" ht="17.100000000000001" customHeight="1" x14ac:dyDescent="0.3">
      <c r="A176" s="24" t="s">
        <v>145</v>
      </c>
    </row>
    <row r="177" spans="1:1" s="23" customFormat="1" ht="17.100000000000001" customHeight="1" x14ac:dyDescent="0.3">
      <c r="A177" s="24" t="s">
        <v>146</v>
      </c>
    </row>
    <row r="178" spans="1:1" s="23" customFormat="1" ht="13.5" x14ac:dyDescent="0.3"/>
    <row r="179" spans="1:1" s="23" customFormat="1" ht="13.5" x14ac:dyDescent="0.3"/>
    <row r="180" spans="1:1" s="23" customFormat="1" x14ac:dyDescent="0.3">
      <c r="A180" s="1"/>
    </row>
    <row r="181" spans="1:1" s="23" customFormat="1" ht="13.5" x14ac:dyDescent="0.3"/>
    <row r="182" spans="1:1" s="23" customFormat="1" ht="13.5" x14ac:dyDescent="0.3"/>
    <row r="183" spans="1:1" s="23" customFormat="1" ht="13.5" x14ac:dyDescent="0.3"/>
    <row r="184" spans="1:1" s="23"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5D9C-C55E-459F-AAAC-42858C587FB3}">
  <dimension ref="A1:AK198"/>
  <sheetViews>
    <sheetView showGridLines="0" tabSelected="1" zoomScaleNormal="100" workbookViewId="0">
      <pane xSplit="1" ySplit="6" topLeftCell="T7" activePane="bottomRight" state="frozen"/>
      <selection activeCell="A2" sqref="A2"/>
      <selection pane="topRight" activeCell="A2" sqref="A2"/>
      <selection pane="bottomLeft" activeCell="A2" sqref="A2"/>
      <selection pane="bottomRight" activeCell="A2" sqref="A2"/>
    </sheetView>
  </sheetViews>
  <sheetFormatPr defaultRowHeight="14.25" x14ac:dyDescent="0.3"/>
  <cols>
    <col min="1" max="1" width="48.625" style="33" bestFit="1" customWidth="1"/>
    <col min="2" max="4" width="10.625" style="29" hidden="1" customWidth="1"/>
    <col min="5" max="5" width="11.625" style="29" hidden="1" customWidth="1"/>
    <col min="6" max="8" width="10.625" style="29" hidden="1" customWidth="1"/>
    <col min="9" max="10" width="11.625" style="29" hidden="1" customWidth="1"/>
    <col min="11" max="13" width="10.625" style="29" hidden="1" customWidth="1"/>
    <col min="14" max="14" width="11.625" style="29" hidden="1" customWidth="1"/>
    <col min="15" max="17" width="10.625" style="29" hidden="1" customWidth="1"/>
    <col min="18" max="19" width="11.625" style="29" hidden="1" customWidth="1"/>
    <col min="20" max="20" width="11.625" style="29" customWidth="1"/>
    <col min="21" max="21" width="11.125" style="27" bestFit="1" customWidth="1"/>
    <col min="22" max="22" width="9" style="27"/>
    <col min="23" max="37" width="9" style="29"/>
    <col min="38" max="16384" width="9" style="33"/>
  </cols>
  <sheetData>
    <row r="1" spans="1:37" s="30" customFormat="1" x14ac:dyDescent="0.3">
      <c r="A1" s="25" t="s">
        <v>0</v>
      </c>
      <c r="B1" s="26"/>
      <c r="C1" s="26"/>
      <c r="D1" s="26"/>
      <c r="E1" s="26"/>
      <c r="F1" s="26"/>
      <c r="G1" s="26"/>
      <c r="H1" s="26"/>
      <c r="I1" s="26"/>
      <c r="J1" s="26"/>
      <c r="K1" s="26"/>
      <c r="L1" s="26"/>
      <c r="M1" s="26"/>
      <c r="N1" s="26"/>
      <c r="O1" s="26"/>
      <c r="P1" s="26"/>
      <c r="Q1" s="26"/>
      <c r="R1" s="26"/>
      <c r="S1" s="26"/>
      <c r="T1" s="26"/>
      <c r="U1" s="27"/>
      <c r="V1" s="27"/>
      <c r="W1" s="28"/>
      <c r="X1" s="28"/>
      <c r="Y1" s="29"/>
      <c r="Z1" s="29"/>
      <c r="AA1" s="29"/>
      <c r="AB1" s="29"/>
      <c r="AC1" s="29"/>
      <c r="AD1" s="29"/>
      <c r="AE1" s="29"/>
      <c r="AF1" s="29"/>
      <c r="AG1" s="29"/>
      <c r="AH1" s="29"/>
      <c r="AI1" s="29"/>
      <c r="AJ1" s="29"/>
      <c r="AK1" s="29"/>
    </row>
    <row r="2" spans="1:37" s="30" customFormat="1" x14ac:dyDescent="0.3">
      <c r="A2" s="31" t="s">
        <v>148</v>
      </c>
      <c r="B2" s="26"/>
      <c r="C2" s="26"/>
      <c r="D2" s="26"/>
      <c r="E2" s="26"/>
      <c r="F2" s="26"/>
      <c r="G2" s="26"/>
      <c r="H2" s="26"/>
      <c r="I2" s="26"/>
      <c r="J2" s="26"/>
      <c r="K2" s="26"/>
      <c r="L2" s="26"/>
      <c r="M2" s="26"/>
      <c r="N2" s="26"/>
      <c r="O2" s="26"/>
      <c r="P2" s="26"/>
      <c r="Q2" s="26"/>
      <c r="R2" s="26"/>
      <c r="S2" s="26"/>
      <c r="T2" s="26"/>
      <c r="U2" s="27"/>
      <c r="V2" s="27"/>
      <c r="W2" s="28"/>
      <c r="X2" s="28"/>
      <c r="Y2" s="29"/>
      <c r="Z2" s="29"/>
      <c r="AA2" s="29"/>
      <c r="AB2" s="29"/>
      <c r="AC2" s="29"/>
      <c r="AD2" s="29"/>
      <c r="AE2" s="29"/>
      <c r="AF2" s="29"/>
      <c r="AG2" s="29"/>
      <c r="AH2" s="29"/>
      <c r="AI2" s="29"/>
      <c r="AJ2" s="29"/>
      <c r="AK2" s="29"/>
    </row>
    <row r="3" spans="1:37" s="30" customFormat="1" x14ac:dyDescent="0.3">
      <c r="A3" s="25" t="s">
        <v>149</v>
      </c>
      <c r="B3" s="26"/>
      <c r="C3" s="26"/>
      <c r="D3" s="26"/>
      <c r="E3" s="26"/>
      <c r="F3" s="26"/>
      <c r="G3" s="26"/>
      <c r="H3" s="26"/>
      <c r="I3" s="26"/>
      <c r="J3" s="26"/>
      <c r="K3" s="26"/>
      <c r="L3" s="26"/>
      <c r="M3" s="26"/>
      <c r="N3" s="26"/>
      <c r="O3" s="26"/>
      <c r="P3" s="26"/>
      <c r="Q3" s="26"/>
      <c r="R3" s="26"/>
      <c r="S3" s="26"/>
      <c r="T3" s="26"/>
      <c r="U3" s="27"/>
      <c r="V3" s="27"/>
      <c r="W3" s="28"/>
      <c r="X3" s="28"/>
      <c r="Y3" s="29"/>
      <c r="Z3" s="29"/>
      <c r="AA3" s="29"/>
      <c r="AB3" s="29"/>
      <c r="AC3" s="29"/>
      <c r="AD3" s="29"/>
      <c r="AE3" s="29"/>
      <c r="AF3" s="29"/>
      <c r="AG3" s="29"/>
      <c r="AH3" s="29"/>
      <c r="AI3" s="29"/>
      <c r="AJ3" s="29"/>
      <c r="AK3" s="29"/>
    </row>
    <row r="4" spans="1:37" ht="15" thickBot="1" x14ac:dyDescent="0.35">
      <c r="A4" s="32"/>
      <c r="B4" s="28"/>
      <c r="C4" s="28"/>
      <c r="D4" s="28"/>
      <c r="E4" s="28"/>
      <c r="F4" s="28"/>
      <c r="G4" s="28"/>
      <c r="H4" s="28"/>
      <c r="I4" s="28"/>
      <c r="J4" s="28"/>
      <c r="K4" s="28"/>
      <c r="L4" s="28"/>
      <c r="M4" s="28"/>
      <c r="N4" s="28"/>
      <c r="O4" s="28"/>
      <c r="P4" s="28"/>
      <c r="Q4" s="28"/>
      <c r="R4" s="28"/>
      <c r="S4" s="28"/>
      <c r="T4" s="28"/>
    </row>
    <row r="5" spans="1:37" s="32" customFormat="1" ht="15" thickBot="1" x14ac:dyDescent="0.35">
      <c r="A5" s="34" t="s">
        <v>2</v>
      </c>
      <c r="B5" s="35" t="s">
        <v>150</v>
      </c>
      <c r="C5" s="35" t="s">
        <v>151</v>
      </c>
      <c r="D5" s="35" t="s">
        <v>152</v>
      </c>
      <c r="E5" s="35" t="s">
        <v>153</v>
      </c>
      <c r="F5" s="35" t="s">
        <v>154</v>
      </c>
      <c r="G5" s="35" t="s">
        <v>155</v>
      </c>
      <c r="H5" s="35" t="s">
        <v>156</v>
      </c>
      <c r="I5" s="35" t="s">
        <v>157</v>
      </c>
      <c r="J5" s="35" t="s">
        <v>158</v>
      </c>
      <c r="K5" s="35" t="s">
        <v>159</v>
      </c>
      <c r="L5" s="35" t="s">
        <v>160</v>
      </c>
      <c r="M5" s="35" t="s">
        <v>161</v>
      </c>
      <c r="N5" s="35" t="s">
        <v>162</v>
      </c>
      <c r="O5" s="35" t="s">
        <v>163</v>
      </c>
      <c r="P5" s="35" t="s">
        <v>164</v>
      </c>
      <c r="Q5" s="35" t="s">
        <v>165</v>
      </c>
      <c r="R5" s="35" t="s">
        <v>166</v>
      </c>
      <c r="S5" s="35" t="s">
        <v>167</v>
      </c>
      <c r="T5" s="35" t="s">
        <v>168</v>
      </c>
      <c r="U5" s="36"/>
      <c r="V5" s="36"/>
      <c r="W5" s="28"/>
      <c r="X5" s="28"/>
      <c r="Y5" s="28"/>
      <c r="Z5" s="28"/>
      <c r="AA5" s="28"/>
      <c r="AB5" s="28"/>
      <c r="AC5" s="28"/>
      <c r="AD5" s="28"/>
      <c r="AE5" s="28"/>
      <c r="AF5" s="28"/>
      <c r="AG5" s="28"/>
      <c r="AH5" s="28"/>
      <c r="AI5" s="28"/>
      <c r="AJ5" s="28"/>
      <c r="AK5" s="28"/>
    </row>
    <row r="7" spans="1:37" s="37" customFormat="1" x14ac:dyDescent="0.3">
      <c r="A7" s="37" t="s">
        <v>3</v>
      </c>
      <c r="B7" s="26">
        <f>SUM(B8:B25)</f>
        <v>283268.27711756993</v>
      </c>
      <c r="C7" s="26">
        <f t="shared" ref="C7:T7" si="0">SUM(C8:C25)</f>
        <v>123525.42953882998</v>
      </c>
      <c r="D7" s="26">
        <f t="shared" si="0"/>
        <v>132004.50888779</v>
      </c>
      <c r="E7" s="26">
        <f t="shared" si="0"/>
        <v>538798.21554418991</v>
      </c>
      <c r="F7" s="26">
        <f t="shared" si="0"/>
        <v>334459.32014555996</v>
      </c>
      <c r="G7" s="26">
        <f t="shared" si="0"/>
        <v>189407.31639923999</v>
      </c>
      <c r="H7" s="26">
        <f t="shared" si="0"/>
        <v>150618.27116067999</v>
      </c>
      <c r="I7" s="26">
        <f t="shared" si="0"/>
        <v>674484.90770547988</v>
      </c>
      <c r="J7" s="26">
        <f t="shared" si="0"/>
        <v>1213283.1232496698</v>
      </c>
      <c r="K7" s="26">
        <f t="shared" si="0"/>
        <v>266007.57975203998</v>
      </c>
      <c r="L7" s="26">
        <f t="shared" si="0"/>
        <v>196450.82325546001</v>
      </c>
      <c r="M7" s="26">
        <f t="shared" si="0"/>
        <v>136107.12360810998</v>
      </c>
      <c r="N7" s="26">
        <f t="shared" si="0"/>
        <v>598565.52661560988</v>
      </c>
      <c r="O7" s="26">
        <f t="shared" si="0"/>
        <v>260720.63853003</v>
      </c>
      <c r="P7" s="26">
        <f t="shared" si="0"/>
        <v>200337.00123555999</v>
      </c>
      <c r="Q7" s="26">
        <f t="shared" si="0"/>
        <v>161657.19584824002</v>
      </c>
      <c r="R7" s="26">
        <f t="shared" si="0"/>
        <v>622714.83561383002</v>
      </c>
      <c r="S7" s="26">
        <f t="shared" si="0"/>
        <v>1221280.3622294399</v>
      </c>
      <c r="T7" s="26">
        <f t="shared" si="0"/>
        <v>2434563.4854791099</v>
      </c>
      <c r="U7" s="27">
        <f>+B7+C7+D7+F7+G7+H7+K7+L7+M7+O7+P7+Q7</f>
        <v>2434563.4854791099</v>
      </c>
      <c r="V7" s="27">
        <f>+U7-T7</f>
        <v>0</v>
      </c>
      <c r="W7" s="26"/>
      <c r="X7" s="26"/>
      <c r="Y7" s="26"/>
      <c r="Z7" s="26"/>
      <c r="AA7" s="26"/>
      <c r="AB7" s="26"/>
      <c r="AC7" s="26"/>
      <c r="AD7" s="26"/>
      <c r="AE7" s="26"/>
      <c r="AF7" s="26"/>
      <c r="AG7" s="26"/>
      <c r="AH7" s="26"/>
      <c r="AI7" s="26"/>
      <c r="AJ7" s="26"/>
      <c r="AK7" s="26"/>
    </row>
    <row r="8" spans="1:37" x14ac:dyDescent="0.3">
      <c r="A8" s="33" t="s">
        <v>4</v>
      </c>
      <c r="B8" s="29">
        <v>1215.9561627900002</v>
      </c>
      <c r="C8" s="29">
        <v>405.91151881999974</v>
      </c>
      <c r="D8" s="29">
        <v>413.17588600999994</v>
      </c>
      <c r="E8" s="29">
        <f t="shared" ref="E8:E25" si="1">+B8+C8+D8</f>
        <v>2035.04356762</v>
      </c>
      <c r="F8" s="29">
        <v>1281.3337741399992</v>
      </c>
      <c r="G8" s="29">
        <v>553.53793051999992</v>
      </c>
      <c r="H8" s="29">
        <v>590.98345957000026</v>
      </c>
      <c r="I8" s="29">
        <f t="shared" ref="I8:I25" si="2">+F8+G8+H8</f>
        <v>2425.8551642299994</v>
      </c>
      <c r="J8" s="29">
        <f>+E8+I8</f>
        <v>4460.8987318499994</v>
      </c>
      <c r="K8" s="29">
        <v>996.67662208000002</v>
      </c>
      <c r="L8" s="29">
        <v>592.74949653000033</v>
      </c>
      <c r="M8" s="29">
        <v>462.04332120000009</v>
      </c>
      <c r="N8" s="29">
        <f t="shared" ref="N8:N25" si="3">+K8+L8+M8</f>
        <v>2051.4694398100005</v>
      </c>
      <c r="O8" s="29">
        <v>1243.7201594699961</v>
      </c>
      <c r="P8" s="29">
        <v>693.97816075999992</v>
      </c>
      <c r="Q8" s="29">
        <v>447.11451672000032</v>
      </c>
      <c r="R8" s="29">
        <f t="shared" ref="R8:R25" si="4">+O8+P8+Q8</f>
        <v>2384.8128369499964</v>
      </c>
      <c r="S8" s="29">
        <f>+N8+R8</f>
        <v>4436.2822767599973</v>
      </c>
      <c r="T8" s="29">
        <f t="shared" ref="T8:T22" si="5">+J8+S8</f>
        <v>8897.1810086099977</v>
      </c>
      <c r="U8" s="27">
        <f t="shared" ref="U8:U71" si="6">+B8+C8+D8+F8+G8+H8+K8+L8+M8+O8+P8+Q8</f>
        <v>8897.1810086099977</v>
      </c>
      <c r="V8" s="27">
        <f t="shared" ref="V8:V71" si="7">+U8-T8</f>
        <v>0</v>
      </c>
    </row>
    <row r="9" spans="1:37" x14ac:dyDescent="0.3">
      <c r="A9" s="33" t="s">
        <v>169</v>
      </c>
      <c r="B9" s="29">
        <v>907.7048639700015</v>
      </c>
      <c r="C9" s="29">
        <v>308.19190242000013</v>
      </c>
      <c r="D9" s="29">
        <v>385.49273220000003</v>
      </c>
      <c r="E9" s="29">
        <f t="shared" si="1"/>
        <v>1601.3894985900017</v>
      </c>
      <c r="F9" s="29">
        <v>1107.4485820400014</v>
      </c>
      <c r="G9" s="29">
        <v>485.52660482000005</v>
      </c>
      <c r="H9" s="29">
        <v>495.57827412000029</v>
      </c>
      <c r="I9" s="29">
        <f t="shared" si="2"/>
        <v>2088.5534609800015</v>
      </c>
      <c r="J9" s="29">
        <f>+E9+I9</f>
        <v>3689.942959570003</v>
      </c>
      <c r="K9" s="29">
        <v>786.38604692000013</v>
      </c>
      <c r="L9" s="29">
        <v>518.31913515000008</v>
      </c>
      <c r="M9" s="29">
        <v>388.5413678000001</v>
      </c>
      <c r="N9" s="29">
        <f t="shared" si="3"/>
        <v>1693.2465498700003</v>
      </c>
      <c r="O9" s="29">
        <v>863.64875643000107</v>
      </c>
      <c r="P9" s="29">
        <v>488.40642596000009</v>
      </c>
      <c r="Q9" s="29">
        <v>332.96937626000044</v>
      </c>
      <c r="R9" s="29">
        <f t="shared" si="4"/>
        <v>1685.0245586500016</v>
      </c>
      <c r="S9" s="29">
        <f>+N9+R9</f>
        <v>3378.2711085200017</v>
      </c>
      <c r="T9" s="29">
        <f t="shared" si="5"/>
        <v>7068.2140680900047</v>
      </c>
      <c r="U9" s="27">
        <f t="shared" si="6"/>
        <v>7068.2140680900047</v>
      </c>
      <c r="V9" s="27">
        <f t="shared" si="7"/>
        <v>0</v>
      </c>
    </row>
    <row r="10" spans="1:37" x14ac:dyDescent="0.3">
      <c r="A10" s="33" t="s">
        <v>6</v>
      </c>
      <c r="B10" s="29">
        <v>19204.780669699983</v>
      </c>
      <c r="C10" s="29">
        <v>6876.7815184799947</v>
      </c>
      <c r="D10" s="29">
        <v>8636.8472005099993</v>
      </c>
      <c r="E10" s="29">
        <f t="shared" si="1"/>
        <v>34718.409388689979</v>
      </c>
      <c r="F10" s="29">
        <v>21355.598109200011</v>
      </c>
      <c r="G10" s="29">
        <v>10950.779756219996</v>
      </c>
      <c r="H10" s="29">
        <v>12258.501345160008</v>
      </c>
      <c r="I10" s="29">
        <f t="shared" si="2"/>
        <v>44564.879210580017</v>
      </c>
      <c r="J10" s="29">
        <f>+E10+I10</f>
        <v>79283.288599269988</v>
      </c>
      <c r="K10" s="29">
        <v>17436.163798120004</v>
      </c>
      <c r="L10" s="29">
        <v>11502.780610530004</v>
      </c>
      <c r="M10" s="29">
        <v>8285.8320992099998</v>
      </c>
      <c r="N10" s="29">
        <f t="shared" si="3"/>
        <v>37224.776507860006</v>
      </c>
      <c r="O10" s="29">
        <v>15757.551343169966</v>
      </c>
      <c r="P10" s="29">
        <v>11185.460461369994</v>
      </c>
      <c r="Q10" s="29">
        <v>12006.506901729997</v>
      </c>
      <c r="R10" s="29">
        <f t="shared" si="4"/>
        <v>38949.518706269955</v>
      </c>
      <c r="S10" s="29">
        <f>+N10+R10</f>
        <v>76174.295214129961</v>
      </c>
      <c r="T10" s="29">
        <f t="shared" si="5"/>
        <v>155457.58381339995</v>
      </c>
      <c r="U10" s="27">
        <f t="shared" si="6"/>
        <v>155457.58381339998</v>
      </c>
      <c r="V10" s="27">
        <f t="shared" si="7"/>
        <v>0</v>
      </c>
    </row>
    <row r="11" spans="1:37" x14ac:dyDescent="0.3">
      <c r="A11" s="33" t="s">
        <v>170</v>
      </c>
      <c r="B11" s="56">
        <v>670.40417860000093</v>
      </c>
      <c r="C11" s="56">
        <v>226.67630248000006</v>
      </c>
      <c r="D11" s="56">
        <v>278.94452197000015</v>
      </c>
      <c r="E11" s="56">
        <f t="shared" si="1"/>
        <v>1176.025003050001</v>
      </c>
      <c r="F11" s="56">
        <v>767.71180390000029</v>
      </c>
      <c r="G11" s="56">
        <v>335.51789156000007</v>
      </c>
      <c r="H11" s="56">
        <v>336.63112594999996</v>
      </c>
      <c r="I11" s="56">
        <f t="shared" si="2"/>
        <v>1439.8608214100004</v>
      </c>
      <c r="J11" s="56">
        <f t="shared" ref="J11:J74" si="8">+E11+I11</f>
        <v>2615.8858244600015</v>
      </c>
      <c r="K11" s="56">
        <v>652.60142211000004</v>
      </c>
      <c r="L11" s="56">
        <v>400.16562983999995</v>
      </c>
      <c r="M11" s="56">
        <v>237.46840005000004</v>
      </c>
      <c r="N11" s="56">
        <f t="shared" si="3"/>
        <v>1290.2354520000001</v>
      </c>
      <c r="O11" s="56">
        <v>657.6982720099993</v>
      </c>
      <c r="P11" s="56">
        <v>696.1760109999999</v>
      </c>
      <c r="Q11" s="56">
        <v>304.62246302000005</v>
      </c>
      <c r="R11" s="56">
        <f t="shared" si="4"/>
        <v>1658.496746029999</v>
      </c>
      <c r="S11" s="56">
        <f t="shared" ref="S11:S25" si="9">+N11+R11</f>
        <v>2948.7321980299994</v>
      </c>
      <c r="T11" s="56">
        <f t="shared" si="5"/>
        <v>5564.6180224900008</v>
      </c>
      <c r="U11" s="27">
        <f t="shared" si="6"/>
        <v>5564.6180224899999</v>
      </c>
      <c r="V11" s="27">
        <f t="shared" si="7"/>
        <v>0</v>
      </c>
    </row>
    <row r="12" spans="1:37" x14ac:dyDescent="0.3">
      <c r="A12" s="33" t="s">
        <v>171</v>
      </c>
      <c r="B12" s="56"/>
      <c r="C12" s="56"/>
      <c r="D12" s="56"/>
      <c r="E12" s="56"/>
      <c r="F12" s="56"/>
      <c r="G12" s="56"/>
      <c r="H12" s="56"/>
      <c r="I12" s="56"/>
      <c r="J12" s="56">
        <f t="shared" si="8"/>
        <v>0</v>
      </c>
      <c r="K12" s="56"/>
      <c r="L12" s="56"/>
      <c r="M12" s="56"/>
      <c r="N12" s="56"/>
      <c r="O12" s="56"/>
      <c r="P12" s="56"/>
      <c r="Q12" s="56"/>
      <c r="R12" s="56"/>
      <c r="S12" s="56">
        <f t="shared" si="9"/>
        <v>0</v>
      </c>
      <c r="T12" s="56">
        <f t="shared" si="5"/>
        <v>0</v>
      </c>
      <c r="U12" s="27">
        <f t="shared" si="6"/>
        <v>0</v>
      </c>
      <c r="V12" s="27">
        <f t="shared" si="7"/>
        <v>0</v>
      </c>
    </row>
    <row r="13" spans="1:37" x14ac:dyDescent="0.3">
      <c r="A13" s="33" t="s">
        <v>8</v>
      </c>
      <c r="B13" s="29">
        <v>5741.6180071200097</v>
      </c>
      <c r="C13" s="29">
        <v>1496.1798888999986</v>
      </c>
      <c r="D13" s="29">
        <v>1650.1991555999975</v>
      </c>
      <c r="E13" s="29">
        <f t="shared" si="1"/>
        <v>8887.9970516200046</v>
      </c>
      <c r="F13" s="29">
        <v>5931.8227237699848</v>
      </c>
      <c r="G13" s="29">
        <v>2393.8700776599972</v>
      </c>
      <c r="H13" s="29">
        <v>1793.5939344899975</v>
      </c>
      <c r="I13" s="29">
        <f t="shared" si="2"/>
        <v>10119.286735919979</v>
      </c>
      <c r="J13" s="29">
        <f t="shared" si="8"/>
        <v>19007.283787539985</v>
      </c>
      <c r="K13" s="29">
        <v>5434.1012775000017</v>
      </c>
      <c r="L13" s="29">
        <v>2694.6889520999976</v>
      </c>
      <c r="M13" s="29">
        <v>5350.1982826200001</v>
      </c>
      <c r="N13" s="29">
        <f t="shared" si="3"/>
        <v>13478.988512219999</v>
      </c>
      <c r="O13" s="29">
        <v>5064.673087240013</v>
      </c>
      <c r="P13" s="29">
        <v>3145.827332489996</v>
      </c>
      <c r="Q13" s="29">
        <v>2375.8520973400014</v>
      </c>
      <c r="R13" s="29">
        <f t="shared" si="4"/>
        <v>10586.35251707001</v>
      </c>
      <c r="S13" s="29">
        <f t="shared" si="9"/>
        <v>24065.341029290008</v>
      </c>
      <c r="T13" s="29">
        <f t="shared" si="5"/>
        <v>43072.624816829994</v>
      </c>
      <c r="U13" s="27">
        <f t="shared" si="6"/>
        <v>43072.624816829986</v>
      </c>
      <c r="V13" s="27">
        <f t="shared" si="7"/>
        <v>0</v>
      </c>
    </row>
    <row r="14" spans="1:37" x14ac:dyDescent="0.3">
      <c r="A14" s="33" t="s">
        <v>9</v>
      </c>
      <c r="B14" s="29">
        <v>6637.5237894700003</v>
      </c>
      <c r="C14" s="29">
        <v>3194.3831099200002</v>
      </c>
      <c r="D14" s="29">
        <v>3690.0201421899992</v>
      </c>
      <c r="E14" s="29">
        <f t="shared" si="1"/>
        <v>13521.927041579998</v>
      </c>
      <c r="F14" s="29">
        <v>8092.5221711799923</v>
      </c>
      <c r="G14" s="29">
        <v>4243.4954853200006</v>
      </c>
      <c r="H14" s="29">
        <v>5534.6770537799985</v>
      </c>
      <c r="I14" s="29">
        <f t="shared" si="2"/>
        <v>17870.69471027999</v>
      </c>
      <c r="J14" s="29">
        <f t="shared" si="8"/>
        <v>31392.621751859988</v>
      </c>
      <c r="K14" s="29">
        <v>6535.9181060599985</v>
      </c>
      <c r="L14" s="29">
        <v>4416.1872013100001</v>
      </c>
      <c r="M14" s="29">
        <v>3427.9407489899991</v>
      </c>
      <c r="N14" s="29">
        <f t="shared" si="3"/>
        <v>14380.046056359997</v>
      </c>
      <c r="O14" s="29">
        <v>6379.6598146700035</v>
      </c>
      <c r="P14" s="29">
        <v>4854.4014350499929</v>
      </c>
      <c r="Q14" s="29">
        <v>4542.7649363500032</v>
      </c>
      <c r="R14" s="29">
        <f t="shared" si="4"/>
        <v>15776.82618607</v>
      </c>
      <c r="S14" s="29">
        <f t="shared" si="9"/>
        <v>30156.872242429999</v>
      </c>
      <c r="T14" s="29">
        <f t="shared" si="5"/>
        <v>61549.493994289987</v>
      </c>
      <c r="U14" s="27">
        <f t="shared" si="6"/>
        <v>61549.49399428998</v>
      </c>
      <c r="V14" s="27">
        <f t="shared" si="7"/>
        <v>0</v>
      </c>
    </row>
    <row r="15" spans="1:37" ht="16.5" x14ac:dyDescent="0.3">
      <c r="A15" s="33" t="s">
        <v>10</v>
      </c>
      <c r="B15" s="29">
        <v>1642.2694158400036</v>
      </c>
      <c r="C15" s="29">
        <v>582.98252666000076</v>
      </c>
      <c r="D15" s="29">
        <v>641.57326535000038</v>
      </c>
      <c r="E15" s="29">
        <f t="shared" si="1"/>
        <v>2866.825207850005</v>
      </c>
      <c r="F15" s="29">
        <v>2017.32802636</v>
      </c>
      <c r="G15" s="29">
        <v>1006.3942616200005</v>
      </c>
      <c r="H15" s="29">
        <v>785.11885303000088</v>
      </c>
      <c r="I15" s="29">
        <f t="shared" si="2"/>
        <v>3808.8411410100016</v>
      </c>
      <c r="J15" s="29">
        <f t="shared" si="8"/>
        <v>6675.6663488600061</v>
      </c>
      <c r="K15" s="29">
        <v>1545.5798144600024</v>
      </c>
      <c r="L15" s="29">
        <v>1116.1215945900003</v>
      </c>
      <c r="M15" s="29">
        <v>783.18899882000062</v>
      </c>
      <c r="N15" s="29">
        <f t="shared" si="3"/>
        <v>3444.8904078700029</v>
      </c>
      <c r="O15" s="29">
        <v>1707.970228919997</v>
      </c>
      <c r="P15" s="29">
        <v>999.57782965000001</v>
      </c>
      <c r="Q15" s="29">
        <v>613.06477554000048</v>
      </c>
      <c r="R15" s="29">
        <f t="shared" si="4"/>
        <v>3320.6128341099975</v>
      </c>
      <c r="S15" s="29">
        <f t="shared" si="9"/>
        <v>6765.5032419800009</v>
      </c>
      <c r="T15" s="29">
        <f t="shared" si="5"/>
        <v>13441.169590840007</v>
      </c>
      <c r="U15" s="27">
        <f t="shared" si="6"/>
        <v>13441.169590840007</v>
      </c>
      <c r="V15" s="27">
        <f t="shared" si="7"/>
        <v>0</v>
      </c>
    </row>
    <row r="16" spans="1:37" x14ac:dyDescent="0.3">
      <c r="A16" s="33" t="s">
        <v>11</v>
      </c>
      <c r="B16" s="29">
        <v>2190.5918777100014</v>
      </c>
      <c r="C16" s="29">
        <v>855.77655691999985</v>
      </c>
      <c r="D16" s="29">
        <v>1149.1118880399986</v>
      </c>
      <c r="E16" s="29">
        <f t="shared" si="1"/>
        <v>4195.4803226700005</v>
      </c>
      <c r="F16" s="29">
        <v>2590.3892075200051</v>
      </c>
      <c r="G16" s="29">
        <v>1296.5705997699995</v>
      </c>
      <c r="H16" s="29">
        <v>1195.9613930099988</v>
      </c>
      <c r="I16" s="29">
        <f t="shared" si="2"/>
        <v>5082.921200300003</v>
      </c>
      <c r="J16" s="29">
        <f t="shared" si="8"/>
        <v>9278.4015229700035</v>
      </c>
      <c r="K16" s="29">
        <v>2005.4429431299995</v>
      </c>
      <c r="L16" s="29">
        <v>1436.7074574199996</v>
      </c>
      <c r="M16" s="29">
        <v>1027.1886186099998</v>
      </c>
      <c r="N16" s="29">
        <f t="shared" si="3"/>
        <v>4469.3390191599992</v>
      </c>
      <c r="O16" s="29">
        <v>2488.5575372300013</v>
      </c>
      <c r="P16" s="29">
        <v>1437.5103778299988</v>
      </c>
      <c r="Q16" s="29">
        <v>1145.2193173399992</v>
      </c>
      <c r="R16" s="29">
        <f t="shared" si="4"/>
        <v>5071.2872323999991</v>
      </c>
      <c r="S16" s="29">
        <f t="shared" si="9"/>
        <v>9540.6262515599992</v>
      </c>
      <c r="T16" s="29">
        <f t="shared" si="5"/>
        <v>18819.027774530005</v>
      </c>
      <c r="U16" s="27">
        <f t="shared" si="6"/>
        <v>18819.027774530005</v>
      </c>
      <c r="V16" s="27">
        <f t="shared" si="7"/>
        <v>0</v>
      </c>
    </row>
    <row r="17" spans="1:37" x14ac:dyDescent="0.3">
      <c r="A17" s="33" t="s">
        <v>12</v>
      </c>
      <c r="B17" s="29">
        <v>2587.5759400599991</v>
      </c>
      <c r="C17" s="29">
        <v>1017.9170209300004</v>
      </c>
      <c r="D17" s="29">
        <v>1085.2317298500016</v>
      </c>
      <c r="E17" s="29">
        <f t="shared" si="1"/>
        <v>4690.7246908400011</v>
      </c>
      <c r="F17" s="29">
        <v>3751.3115754000005</v>
      </c>
      <c r="G17" s="29">
        <v>1666.7438788600005</v>
      </c>
      <c r="H17" s="29">
        <v>1296.0636157000022</v>
      </c>
      <c r="I17" s="29">
        <f t="shared" si="2"/>
        <v>6714.1190699600029</v>
      </c>
      <c r="J17" s="29">
        <f t="shared" si="8"/>
        <v>11404.843760800004</v>
      </c>
      <c r="K17" s="29">
        <v>2795.7572864899985</v>
      </c>
      <c r="L17" s="29">
        <v>1659.6556801900001</v>
      </c>
      <c r="M17" s="29">
        <v>1228.9289821899997</v>
      </c>
      <c r="N17" s="29">
        <f t="shared" si="3"/>
        <v>5684.3419488699983</v>
      </c>
      <c r="O17" s="29">
        <v>2892.2021466700039</v>
      </c>
      <c r="P17" s="29">
        <v>1647.9249776299985</v>
      </c>
      <c r="Q17" s="29">
        <v>1253.1117361300016</v>
      </c>
      <c r="R17" s="29">
        <f t="shared" si="4"/>
        <v>5793.2388604300049</v>
      </c>
      <c r="S17" s="29">
        <f t="shared" si="9"/>
        <v>11477.580809300003</v>
      </c>
      <c r="T17" s="29">
        <f t="shared" si="5"/>
        <v>22882.424570100007</v>
      </c>
      <c r="U17" s="27">
        <f t="shared" si="6"/>
        <v>22882.424570100007</v>
      </c>
      <c r="V17" s="27">
        <f t="shared" si="7"/>
        <v>0</v>
      </c>
    </row>
    <row r="18" spans="1:37" x14ac:dyDescent="0.3">
      <c r="A18" s="33" t="s">
        <v>13</v>
      </c>
      <c r="B18" s="29">
        <v>3405.7239811200011</v>
      </c>
      <c r="C18" s="29">
        <v>1337.0907389100003</v>
      </c>
      <c r="D18" s="29">
        <v>1214.3582453899999</v>
      </c>
      <c r="E18" s="29">
        <f t="shared" si="1"/>
        <v>5957.1729654200008</v>
      </c>
      <c r="F18" s="29">
        <v>3429.8798671499985</v>
      </c>
      <c r="G18" s="29">
        <v>2256.0048812800005</v>
      </c>
      <c r="H18" s="29">
        <v>1382.4469141999994</v>
      </c>
      <c r="I18" s="29">
        <f t="shared" si="2"/>
        <v>7068.3316626299984</v>
      </c>
      <c r="J18" s="29">
        <f t="shared" si="8"/>
        <v>13025.504628049999</v>
      </c>
      <c r="K18" s="29">
        <v>2493.3480401100005</v>
      </c>
      <c r="L18" s="29">
        <v>2262.9072762399992</v>
      </c>
      <c r="M18" s="29">
        <v>1430.6077122300007</v>
      </c>
      <c r="N18" s="29">
        <f t="shared" si="3"/>
        <v>6186.8630285800009</v>
      </c>
      <c r="O18" s="29">
        <v>2821.1364147999939</v>
      </c>
      <c r="P18" s="29">
        <v>2511.5541418700013</v>
      </c>
      <c r="Q18" s="29">
        <v>2689.1294662100008</v>
      </c>
      <c r="R18" s="29">
        <f t="shared" si="4"/>
        <v>8021.820022879996</v>
      </c>
      <c r="S18" s="29">
        <f t="shared" si="9"/>
        <v>14208.683051459997</v>
      </c>
      <c r="T18" s="29">
        <f t="shared" si="5"/>
        <v>27234.187679509996</v>
      </c>
      <c r="U18" s="27">
        <f t="shared" si="6"/>
        <v>27234.18767951</v>
      </c>
      <c r="V18" s="27">
        <f t="shared" si="7"/>
        <v>0</v>
      </c>
    </row>
    <row r="19" spans="1:37" x14ac:dyDescent="0.3">
      <c r="A19" s="33" t="s">
        <v>14</v>
      </c>
      <c r="B19" s="29">
        <v>8751.7141808499855</v>
      </c>
      <c r="C19" s="29">
        <v>3599.4238517600015</v>
      </c>
      <c r="D19" s="29">
        <v>3121.6471614900042</v>
      </c>
      <c r="E19" s="29">
        <f t="shared" si="1"/>
        <v>15472.78519409999</v>
      </c>
      <c r="F19" s="29">
        <v>9241.2181446800041</v>
      </c>
      <c r="G19" s="29">
        <v>4252.5764463900023</v>
      </c>
      <c r="H19" s="29">
        <v>3402.4930492800072</v>
      </c>
      <c r="I19" s="29">
        <f t="shared" si="2"/>
        <v>16896.287640350016</v>
      </c>
      <c r="J19" s="29">
        <f t="shared" si="8"/>
        <v>32369.072834450006</v>
      </c>
      <c r="K19" s="29">
        <v>6890.9109814100011</v>
      </c>
      <c r="L19" s="29">
        <v>5399.1381405399979</v>
      </c>
      <c r="M19" s="29">
        <v>3115.6097774300015</v>
      </c>
      <c r="N19" s="29">
        <f t="shared" si="3"/>
        <v>15405.658899380001</v>
      </c>
      <c r="O19" s="29">
        <v>7870.1153700500126</v>
      </c>
      <c r="P19" s="29">
        <v>4589.5414691200058</v>
      </c>
      <c r="Q19" s="29">
        <v>4085.3310270400057</v>
      </c>
      <c r="R19" s="29">
        <f t="shared" si="4"/>
        <v>16544.987866210024</v>
      </c>
      <c r="S19" s="29">
        <f t="shared" si="9"/>
        <v>31950.646765590027</v>
      </c>
      <c r="T19" s="29">
        <f t="shared" si="5"/>
        <v>64319.719600040029</v>
      </c>
      <c r="U19" s="27">
        <f t="shared" si="6"/>
        <v>64319.719600040022</v>
      </c>
      <c r="V19" s="27">
        <f t="shared" si="7"/>
        <v>0</v>
      </c>
    </row>
    <row r="20" spans="1:37" x14ac:dyDescent="0.3">
      <c r="A20" s="33" t="s">
        <v>15</v>
      </c>
      <c r="B20" s="29">
        <v>14625.361621419986</v>
      </c>
      <c r="C20" s="29">
        <v>5415.3777688799983</v>
      </c>
      <c r="D20" s="29">
        <v>7005.5952033599979</v>
      </c>
      <c r="E20" s="29">
        <f t="shared" si="1"/>
        <v>27046.33459365998</v>
      </c>
      <c r="F20" s="29">
        <v>16223.036663820001</v>
      </c>
      <c r="G20" s="29">
        <v>7832.4897968599971</v>
      </c>
      <c r="H20" s="29">
        <v>7821.6531578299901</v>
      </c>
      <c r="I20" s="29">
        <f t="shared" si="2"/>
        <v>31877.179618509988</v>
      </c>
      <c r="J20" s="29">
        <f t="shared" si="8"/>
        <v>58923.514212169968</v>
      </c>
      <c r="K20" s="29">
        <v>12454.253159799993</v>
      </c>
      <c r="L20" s="29">
        <v>10017.204682129994</v>
      </c>
      <c r="M20" s="29">
        <v>8293.0536009499938</v>
      </c>
      <c r="N20" s="29">
        <f t="shared" si="3"/>
        <v>30764.511442879979</v>
      </c>
      <c r="O20" s="29">
        <v>16233.194044560019</v>
      </c>
      <c r="P20" s="29">
        <v>9007.7717400899928</v>
      </c>
      <c r="Q20" s="29">
        <v>8876.3289476799964</v>
      </c>
      <c r="R20" s="29">
        <f t="shared" si="4"/>
        <v>34117.29473233001</v>
      </c>
      <c r="S20" s="29">
        <f t="shared" si="9"/>
        <v>64881.806175209989</v>
      </c>
      <c r="T20" s="29">
        <f t="shared" si="5"/>
        <v>123805.32038737996</v>
      </c>
      <c r="U20" s="27">
        <f t="shared" si="6"/>
        <v>123805.32038737995</v>
      </c>
      <c r="V20" s="27">
        <f t="shared" si="7"/>
        <v>0</v>
      </c>
    </row>
    <row r="21" spans="1:37" x14ac:dyDescent="0.3">
      <c r="A21" s="33" t="s">
        <v>16</v>
      </c>
      <c r="B21" s="29">
        <v>1340.1100935800036</v>
      </c>
      <c r="C21" s="29">
        <v>393.86523112000037</v>
      </c>
      <c r="D21" s="29">
        <v>488.09445397999997</v>
      </c>
      <c r="E21" s="29">
        <f t="shared" si="1"/>
        <v>2222.0697786800038</v>
      </c>
      <c r="F21" s="29">
        <v>1489.07315034</v>
      </c>
      <c r="G21" s="29">
        <v>629.03966786000069</v>
      </c>
      <c r="H21" s="29">
        <v>685.15838927999926</v>
      </c>
      <c r="I21" s="29">
        <f t="shared" si="2"/>
        <v>2803.2712074800002</v>
      </c>
      <c r="J21" s="29">
        <f t="shared" si="8"/>
        <v>5025.3409861600039</v>
      </c>
      <c r="K21" s="29">
        <v>1303.6229491700001</v>
      </c>
      <c r="L21" s="29">
        <v>780.57650030999991</v>
      </c>
      <c r="M21" s="29">
        <v>503.64310126999942</v>
      </c>
      <c r="N21" s="29">
        <f t="shared" si="3"/>
        <v>2587.8425507499996</v>
      </c>
      <c r="O21" s="29">
        <v>1349.8880566300002</v>
      </c>
      <c r="P21" s="29">
        <v>726.81151342999976</v>
      </c>
      <c r="Q21" s="29">
        <v>637.7072018500005</v>
      </c>
      <c r="R21" s="29">
        <f t="shared" si="4"/>
        <v>2714.4067719100003</v>
      </c>
      <c r="S21" s="29">
        <f t="shared" si="9"/>
        <v>5302.24932266</v>
      </c>
      <c r="T21" s="29">
        <f t="shared" si="5"/>
        <v>10327.590308820003</v>
      </c>
      <c r="U21" s="27">
        <f t="shared" si="6"/>
        <v>10327.590308820005</v>
      </c>
      <c r="V21" s="27">
        <f t="shared" si="7"/>
        <v>0</v>
      </c>
    </row>
    <row r="22" spans="1:37" x14ac:dyDescent="0.3">
      <c r="A22" s="33" t="s">
        <v>172</v>
      </c>
      <c r="B22" s="56">
        <v>12674.13120288997</v>
      </c>
      <c r="C22" s="56">
        <v>5028.6357723100082</v>
      </c>
      <c r="D22" s="56">
        <v>5392.007544560006</v>
      </c>
      <c r="E22" s="56">
        <f t="shared" si="1"/>
        <v>23094.774519759983</v>
      </c>
      <c r="F22" s="56">
        <v>15991.977929700006</v>
      </c>
      <c r="G22" s="56">
        <v>7878.0203361800013</v>
      </c>
      <c r="H22" s="56">
        <v>5891.3088993199863</v>
      </c>
      <c r="I22" s="56">
        <f t="shared" si="2"/>
        <v>29761.307165199993</v>
      </c>
      <c r="J22" s="56">
        <f t="shared" si="8"/>
        <v>52856.08168495998</v>
      </c>
      <c r="K22" s="56">
        <v>10958.940137330004</v>
      </c>
      <c r="L22" s="56">
        <v>7966.0322774700098</v>
      </c>
      <c r="M22" s="56">
        <v>5408.4453268099987</v>
      </c>
      <c r="N22" s="56">
        <f t="shared" si="3"/>
        <v>24333.417741610014</v>
      </c>
      <c r="O22" s="56">
        <v>10939.253981819997</v>
      </c>
      <c r="P22" s="56">
        <v>8609.5386864500088</v>
      </c>
      <c r="Q22" s="56">
        <v>8293.8896393200066</v>
      </c>
      <c r="R22" s="56">
        <f t="shared" si="4"/>
        <v>27842.68230759001</v>
      </c>
      <c r="S22" s="56">
        <f t="shared" si="9"/>
        <v>52176.100049200024</v>
      </c>
      <c r="T22" s="56">
        <f t="shared" si="5"/>
        <v>105032.18173416</v>
      </c>
      <c r="U22" s="27">
        <f t="shared" si="6"/>
        <v>105032.18173416001</v>
      </c>
      <c r="V22" s="27">
        <f t="shared" si="7"/>
        <v>0</v>
      </c>
    </row>
    <row r="23" spans="1:37" x14ac:dyDescent="0.3">
      <c r="A23" s="33" t="s">
        <v>173</v>
      </c>
      <c r="B23" s="56"/>
      <c r="C23" s="56"/>
      <c r="D23" s="56"/>
      <c r="E23" s="56"/>
      <c r="F23" s="56"/>
      <c r="G23" s="56"/>
      <c r="H23" s="56"/>
      <c r="I23" s="56"/>
      <c r="J23" s="56">
        <f t="shared" si="8"/>
        <v>0</v>
      </c>
      <c r="K23" s="56"/>
      <c r="L23" s="56"/>
      <c r="M23" s="56"/>
      <c r="N23" s="56"/>
      <c r="O23" s="56"/>
      <c r="P23" s="56"/>
      <c r="Q23" s="56"/>
      <c r="R23" s="56"/>
      <c r="S23" s="56">
        <f t="shared" si="9"/>
        <v>0</v>
      </c>
      <c r="T23" s="57"/>
      <c r="U23" s="27">
        <f t="shared" si="6"/>
        <v>0</v>
      </c>
      <c r="V23" s="27">
        <f t="shared" si="7"/>
        <v>0</v>
      </c>
    </row>
    <row r="24" spans="1:37" x14ac:dyDescent="0.3">
      <c r="A24" s="33" t="s">
        <v>18</v>
      </c>
      <c r="B24" s="29">
        <v>969.6004635699984</v>
      </c>
      <c r="C24" s="29">
        <v>308.37956458999986</v>
      </c>
      <c r="D24" s="29">
        <v>631.60775492999983</v>
      </c>
      <c r="E24" s="29">
        <f t="shared" si="1"/>
        <v>1909.5877830899981</v>
      </c>
      <c r="F24" s="29">
        <v>1146.1296200600002</v>
      </c>
      <c r="G24" s="29">
        <v>532.25500611999996</v>
      </c>
      <c r="H24" s="29">
        <v>487.97231104999969</v>
      </c>
      <c r="I24" s="29">
        <f t="shared" si="2"/>
        <v>2166.3569372299999</v>
      </c>
      <c r="J24" s="29">
        <f t="shared" si="8"/>
        <v>4075.9447203199979</v>
      </c>
      <c r="K24" s="29">
        <v>1092.6909937799994</v>
      </c>
      <c r="L24" s="29">
        <v>660.91238222000004</v>
      </c>
      <c r="M24" s="29">
        <v>462.29581516000002</v>
      </c>
      <c r="N24" s="29">
        <f t="shared" si="3"/>
        <v>2215.8991911599996</v>
      </c>
      <c r="O24" s="29">
        <v>984.07499181000094</v>
      </c>
      <c r="P24" s="29">
        <v>622.48657910000043</v>
      </c>
      <c r="Q24" s="29">
        <v>322.89103562000014</v>
      </c>
      <c r="R24" s="29">
        <f t="shared" si="4"/>
        <v>1929.4526065300015</v>
      </c>
      <c r="S24" s="29">
        <f t="shared" si="9"/>
        <v>4145.3517976900011</v>
      </c>
      <c r="T24" s="29">
        <f>+J24+S24</f>
        <v>8221.29651801</v>
      </c>
      <c r="U24" s="27">
        <f t="shared" si="6"/>
        <v>8221.2965180099982</v>
      </c>
      <c r="V24" s="27">
        <f t="shared" si="7"/>
        <v>0</v>
      </c>
    </row>
    <row r="25" spans="1:37" ht="16.5" x14ac:dyDescent="0.3">
      <c r="A25" s="33" t="s">
        <v>19</v>
      </c>
      <c r="B25" s="29">
        <v>200703.21066887997</v>
      </c>
      <c r="C25" s="29">
        <v>92477.856265729977</v>
      </c>
      <c r="D25" s="29">
        <v>96220.602002359999</v>
      </c>
      <c r="E25" s="29">
        <f t="shared" si="1"/>
        <v>389401.66893696995</v>
      </c>
      <c r="F25" s="29">
        <v>240042.53879629995</v>
      </c>
      <c r="G25" s="29">
        <v>143094.49377820001</v>
      </c>
      <c r="H25" s="29">
        <v>106660.12938491</v>
      </c>
      <c r="I25" s="29">
        <f t="shared" si="2"/>
        <v>489797.16195940995</v>
      </c>
      <c r="J25" s="29">
        <f t="shared" si="8"/>
        <v>879198.83089637989</v>
      </c>
      <c r="K25" s="29">
        <v>192625.18617356996</v>
      </c>
      <c r="L25" s="29">
        <v>145026.67623889001</v>
      </c>
      <c r="M25" s="29">
        <v>95702.137454769996</v>
      </c>
      <c r="N25" s="29">
        <f t="shared" si="3"/>
        <v>433353.99986722996</v>
      </c>
      <c r="O25" s="29">
        <v>183467.29432454999</v>
      </c>
      <c r="P25" s="29">
        <v>149120.03409376001</v>
      </c>
      <c r="Q25" s="29">
        <v>113730.69241009001</v>
      </c>
      <c r="R25" s="29">
        <f t="shared" si="4"/>
        <v>446318.02082840004</v>
      </c>
      <c r="S25" s="29">
        <f t="shared" si="9"/>
        <v>879672.02069563</v>
      </c>
      <c r="T25" s="29">
        <f>+J25+S25</f>
        <v>1758870.8515920099</v>
      </c>
      <c r="U25" s="27">
        <f t="shared" si="6"/>
        <v>1758870.8515920099</v>
      </c>
      <c r="V25" s="27">
        <f t="shared" si="7"/>
        <v>0</v>
      </c>
    </row>
    <row r="26" spans="1:37" x14ac:dyDescent="0.3">
      <c r="U26" s="27">
        <f t="shared" si="6"/>
        <v>0</v>
      </c>
      <c r="V26" s="27">
        <f t="shared" si="7"/>
        <v>0</v>
      </c>
    </row>
    <row r="27" spans="1:37" s="37" customFormat="1" x14ac:dyDescent="0.3">
      <c r="A27" s="37" t="s">
        <v>20</v>
      </c>
      <c r="B27" s="26">
        <f>SUM(B28:B34)</f>
        <v>1077.7048852199998</v>
      </c>
      <c r="C27" s="26">
        <f t="shared" ref="C27:T27" si="10">SUM(C28:C34)</f>
        <v>690.65623687999982</v>
      </c>
      <c r="D27" s="26">
        <f t="shared" si="10"/>
        <v>896.64437647000011</v>
      </c>
      <c r="E27" s="26">
        <f t="shared" si="10"/>
        <v>2665.0054985699999</v>
      </c>
      <c r="F27" s="26">
        <f t="shared" si="10"/>
        <v>1115.2669817199999</v>
      </c>
      <c r="G27" s="26">
        <f t="shared" si="10"/>
        <v>691.77451703000008</v>
      </c>
      <c r="H27" s="26">
        <f t="shared" si="10"/>
        <v>1051.2166551599998</v>
      </c>
      <c r="I27" s="26">
        <f t="shared" si="10"/>
        <v>2858.2581539100001</v>
      </c>
      <c r="J27" s="26">
        <f t="shared" si="10"/>
        <v>5523.26365248</v>
      </c>
      <c r="K27" s="26">
        <f t="shared" si="10"/>
        <v>975.22304403999988</v>
      </c>
      <c r="L27" s="26">
        <f t="shared" si="10"/>
        <v>679.89982437999993</v>
      </c>
      <c r="M27" s="26">
        <f t="shared" si="10"/>
        <v>660.28379234999989</v>
      </c>
      <c r="N27" s="26">
        <f t="shared" si="10"/>
        <v>2315.4066607699997</v>
      </c>
      <c r="O27" s="26">
        <f t="shared" si="10"/>
        <v>915.07456040999955</v>
      </c>
      <c r="P27" s="26">
        <f t="shared" si="10"/>
        <v>767.07833116000006</v>
      </c>
      <c r="Q27" s="26">
        <f t="shared" si="10"/>
        <v>818.79373381000039</v>
      </c>
      <c r="R27" s="26">
        <f t="shared" si="10"/>
        <v>2500.9466253800001</v>
      </c>
      <c r="S27" s="26">
        <f t="shared" si="10"/>
        <v>4816.3532861499998</v>
      </c>
      <c r="T27" s="26">
        <f t="shared" si="10"/>
        <v>10339.616938629999</v>
      </c>
      <c r="U27" s="27">
        <f t="shared" si="6"/>
        <v>10339.616938630001</v>
      </c>
      <c r="V27" s="27">
        <f t="shared" si="7"/>
        <v>0</v>
      </c>
      <c r="W27" s="26"/>
      <c r="X27" s="26"/>
      <c r="Y27" s="26"/>
      <c r="Z27" s="26"/>
      <c r="AA27" s="26"/>
      <c r="AB27" s="26"/>
      <c r="AC27" s="26"/>
      <c r="AD27" s="26"/>
      <c r="AE27" s="26"/>
      <c r="AF27" s="26"/>
      <c r="AG27" s="26"/>
      <c r="AH27" s="26"/>
      <c r="AI27" s="26"/>
      <c r="AJ27" s="26"/>
      <c r="AK27" s="26"/>
    </row>
    <row r="28" spans="1:37" x14ac:dyDescent="0.3">
      <c r="A28" s="33" t="s">
        <v>21</v>
      </c>
      <c r="B28" s="29">
        <v>65.093107589999988</v>
      </c>
      <c r="C28" s="29">
        <v>95.41747620999999</v>
      </c>
      <c r="D28" s="29">
        <v>225.71437988000005</v>
      </c>
      <c r="E28" s="29">
        <f t="shared" ref="E28:E34" si="11">+B28+C28+D28</f>
        <v>386.22496368000003</v>
      </c>
      <c r="F28" s="29">
        <v>124.11475075999998</v>
      </c>
      <c r="G28" s="29">
        <v>110.57246932</v>
      </c>
      <c r="H28" s="29">
        <v>150.60344497000003</v>
      </c>
      <c r="I28" s="29">
        <f t="shared" ref="I28:I34" si="12">+F28+G28+H28</f>
        <v>385.29066505000003</v>
      </c>
      <c r="J28" s="29">
        <f t="shared" si="8"/>
        <v>771.51562873000012</v>
      </c>
      <c r="K28" s="29">
        <v>116.80154964999997</v>
      </c>
      <c r="L28" s="29">
        <v>67.275666279999996</v>
      </c>
      <c r="M28" s="29">
        <v>35.348782520000007</v>
      </c>
      <c r="N28" s="29">
        <f t="shared" ref="N28:N34" si="13">+K28+L28+M28</f>
        <v>219.42599844999998</v>
      </c>
      <c r="O28" s="29">
        <v>70.475240579999948</v>
      </c>
      <c r="P28" s="29">
        <v>40.432062569999992</v>
      </c>
      <c r="Q28" s="29">
        <v>56.700710360000002</v>
      </c>
      <c r="R28" s="29">
        <f t="shared" ref="R28:R34" si="14">+O28+P28+Q28</f>
        <v>167.60801350999992</v>
      </c>
      <c r="S28" s="29">
        <f>+N28+R28</f>
        <v>387.03401195999993</v>
      </c>
      <c r="T28" s="29">
        <f>+J28+S28</f>
        <v>1158.5496406900002</v>
      </c>
      <c r="U28" s="27">
        <f t="shared" si="6"/>
        <v>1158.5496406899999</v>
      </c>
      <c r="V28" s="27">
        <f t="shared" si="7"/>
        <v>0</v>
      </c>
    </row>
    <row r="29" spans="1:37" x14ac:dyDescent="0.3">
      <c r="A29" s="33" t="s">
        <v>174</v>
      </c>
      <c r="B29" s="56">
        <v>146.31921492999996</v>
      </c>
      <c r="C29" s="56">
        <v>81.994281409999999</v>
      </c>
      <c r="D29" s="56">
        <v>137.51723871999999</v>
      </c>
      <c r="E29" s="56">
        <f t="shared" si="11"/>
        <v>365.83073505999994</v>
      </c>
      <c r="F29" s="56">
        <v>138.27826775999995</v>
      </c>
      <c r="G29" s="56">
        <v>75.440249730000019</v>
      </c>
      <c r="H29" s="56">
        <v>147.62413277000002</v>
      </c>
      <c r="I29" s="56">
        <f t="shared" si="12"/>
        <v>361.34265025999997</v>
      </c>
      <c r="J29" s="56">
        <f t="shared" si="8"/>
        <v>727.17338531999985</v>
      </c>
      <c r="K29" s="56">
        <v>107.90563266000001</v>
      </c>
      <c r="L29" s="56">
        <v>86.27903615999999</v>
      </c>
      <c r="M29" s="56">
        <v>88.587338379999991</v>
      </c>
      <c r="N29" s="56">
        <f t="shared" si="13"/>
        <v>282.77200720000002</v>
      </c>
      <c r="O29" s="56">
        <v>101.03025825999985</v>
      </c>
      <c r="P29" s="56">
        <v>122.13930107</v>
      </c>
      <c r="Q29" s="56">
        <v>143.54750706999999</v>
      </c>
      <c r="R29" s="56">
        <f t="shared" si="14"/>
        <v>366.71706639999985</v>
      </c>
      <c r="S29" s="56">
        <f t="shared" ref="S29:S34" si="15">+N29+R29</f>
        <v>649.48907359999987</v>
      </c>
      <c r="T29" s="56">
        <f>+J29+S29</f>
        <v>1376.6624589199996</v>
      </c>
      <c r="U29" s="27">
        <f t="shared" si="6"/>
        <v>1376.6624589199998</v>
      </c>
      <c r="V29" s="27">
        <f t="shared" si="7"/>
        <v>0</v>
      </c>
    </row>
    <row r="30" spans="1:37" x14ac:dyDescent="0.3">
      <c r="A30" s="33" t="s">
        <v>175</v>
      </c>
      <c r="B30" s="56"/>
      <c r="C30" s="56"/>
      <c r="D30" s="56"/>
      <c r="E30" s="56"/>
      <c r="F30" s="56"/>
      <c r="G30" s="56"/>
      <c r="H30" s="56"/>
      <c r="I30" s="56"/>
      <c r="J30" s="56">
        <f t="shared" si="8"/>
        <v>0</v>
      </c>
      <c r="K30" s="56"/>
      <c r="L30" s="56"/>
      <c r="M30" s="56"/>
      <c r="N30" s="56"/>
      <c r="O30" s="56"/>
      <c r="P30" s="56"/>
      <c r="Q30" s="56"/>
      <c r="R30" s="56"/>
      <c r="S30" s="56">
        <f t="shared" si="15"/>
        <v>0</v>
      </c>
      <c r="T30" s="56"/>
      <c r="U30" s="27">
        <f t="shared" si="6"/>
        <v>0</v>
      </c>
      <c r="V30" s="27">
        <f t="shared" si="7"/>
        <v>0</v>
      </c>
    </row>
    <row r="31" spans="1:37" x14ac:dyDescent="0.3">
      <c r="A31" s="33" t="s">
        <v>23</v>
      </c>
      <c r="B31" s="29">
        <v>165.35719073999994</v>
      </c>
      <c r="C31" s="29">
        <v>131.57932693999999</v>
      </c>
      <c r="D31" s="29">
        <v>130.14089579000003</v>
      </c>
      <c r="E31" s="29">
        <f t="shared" si="11"/>
        <v>427.07741347000001</v>
      </c>
      <c r="F31" s="29">
        <v>180.49031849999994</v>
      </c>
      <c r="G31" s="29">
        <v>113.13892239000005</v>
      </c>
      <c r="H31" s="29">
        <v>268.67498510000001</v>
      </c>
      <c r="I31" s="29">
        <f t="shared" si="12"/>
        <v>562.30422599000008</v>
      </c>
      <c r="J31" s="29">
        <f t="shared" si="8"/>
        <v>989.38163946000009</v>
      </c>
      <c r="K31" s="29">
        <v>161.68736659000001</v>
      </c>
      <c r="L31" s="29">
        <v>124.02540843999995</v>
      </c>
      <c r="M31" s="29">
        <v>128.04839039999999</v>
      </c>
      <c r="N31" s="29">
        <f t="shared" si="13"/>
        <v>413.76116543000001</v>
      </c>
      <c r="O31" s="29">
        <v>178.56669479000004</v>
      </c>
      <c r="P31" s="29">
        <v>130.28774533000001</v>
      </c>
      <c r="Q31" s="29">
        <v>179.17149474999997</v>
      </c>
      <c r="R31" s="29">
        <f t="shared" si="14"/>
        <v>488.02593487000001</v>
      </c>
      <c r="S31" s="29">
        <f t="shared" si="15"/>
        <v>901.78710030000002</v>
      </c>
      <c r="T31" s="29">
        <f>+J31+S31</f>
        <v>1891.1687397600001</v>
      </c>
      <c r="U31" s="27">
        <f t="shared" si="6"/>
        <v>1891.1687397600001</v>
      </c>
      <c r="V31" s="27">
        <f t="shared" si="7"/>
        <v>0</v>
      </c>
    </row>
    <row r="32" spans="1:37" x14ac:dyDescent="0.3">
      <c r="A32" s="33" t="s">
        <v>24</v>
      </c>
      <c r="B32" s="29">
        <v>75.724133869999946</v>
      </c>
      <c r="C32" s="29">
        <v>34.785236049999995</v>
      </c>
      <c r="D32" s="29">
        <v>50.035714019999993</v>
      </c>
      <c r="E32" s="29">
        <f t="shared" si="11"/>
        <v>160.54508393999993</v>
      </c>
      <c r="F32" s="29">
        <v>48.361763679999996</v>
      </c>
      <c r="G32" s="29">
        <v>29.484163770000002</v>
      </c>
      <c r="H32" s="29">
        <v>56.962147160000015</v>
      </c>
      <c r="I32" s="29">
        <f t="shared" si="12"/>
        <v>134.80807461000001</v>
      </c>
      <c r="J32" s="29">
        <f t="shared" si="8"/>
        <v>295.35315854999993</v>
      </c>
      <c r="K32" s="29">
        <v>62.478375719999995</v>
      </c>
      <c r="L32" s="29">
        <v>41.288572080000002</v>
      </c>
      <c r="M32" s="29">
        <v>68.509310670000019</v>
      </c>
      <c r="N32" s="29">
        <f t="shared" si="13"/>
        <v>172.27625847000002</v>
      </c>
      <c r="O32" s="29">
        <v>39.418894120000026</v>
      </c>
      <c r="P32" s="29">
        <v>56.291668580000014</v>
      </c>
      <c r="Q32" s="29">
        <v>56.074620609999997</v>
      </c>
      <c r="R32" s="29">
        <f t="shared" si="14"/>
        <v>151.78518331000004</v>
      </c>
      <c r="S32" s="29">
        <f t="shared" si="15"/>
        <v>324.06144178000005</v>
      </c>
      <c r="T32" s="29">
        <f>+J32+S32</f>
        <v>619.41460032999998</v>
      </c>
      <c r="U32" s="27">
        <f t="shared" si="6"/>
        <v>619.41460032999987</v>
      </c>
      <c r="V32" s="27">
        <f t="shared" si="7"/>
        <v>0</v>
      </c>
    </row>
    <row r="33" spans="1:37" x14ac:dyDescent="0.3">
      <c r="A33" s="33" t="s">
        <v>25</v>
      </c>
      <c r="B33" s="29">
        <v>68.522496130000007</v>
      </c>
      <c r="C33" s="29">
        <v>49.91706168000001</v>
      </c>
      <c r="D33" s="29">
        <v>34.057097460000008</v>
      </c>
      <c r="E33" s="29">
        <f t="shared" si="11"/>
        <v>152.49665527000002</v>
      </c>
      <c r="F33" s="29">
        <v>59.18863557000001</v>
      </c>
      <c r="G33" s="29">
        <v>56.141716830000007</v>
      </c>
      <c r="H33" s="29">
        <v>66.629247819999989</v>
      </c>
      <c r="I33" s="29">
        <f t="shared" si="12"/>
        <v>181.95960022</v>
      </c>
      <c r="J33" s="29">
        <f t="shared" si="8"/>
        <v>334.45625548999999</v>
      </c>
      <c r="K33" s="29">
        <v>67.06137975999998</v>
      </c>
      <c r="L33" s="29">
        <v>50.459025320000002</v>
      </c>
      <c r="M33" s="29">
        <v>50.131189269999993</v>
      </c>
      <c r="N33" s="29">
        <f t="shared" si="13"/>
        <v>167.65159434999998</v>
      </c>
      <c r="O33" s="29">
        <v>40.457162009999969</v>
      </c>
      <c r="P33" s="29">
        <v>45.224021580000006</v>
      </c>
      <c r="Q33" s="29">
        <v>87.174356939999996</v>
      </c>
      <c r="R33" s="29">
        <f t="shared" si="14"/>
        <v>172.85554052999998</v>
      </c>
      <c r="S33" s="29">
        <f t="shared" si="15"/>
        <v>340.50713487999997</v>
      </c>
      <c r="T33" s="29">
        <f>+J33+S33</f>
        <v>674.96339036999996</v>
      </c>
      <c r="U33" s="27">
        <f t="shared" si="6"/>
        <v>674.96339037000007</v>
      </c>
      <c r="V33" s="27">
        <f t="shared" si="7"/>
        <v>0</v>
      </c>
    </row>
    <row r="34" spans="1:37" x14ac:dyDescent="0.3">
      <c r="A34" s="33" t="s">
        <v>26</v>
      </c>
      <c r="B34" s="29">
        <v>556.68874196000002</v>
      </c>
      <c r="C34" s="29">
        <v>296.96285458999989</v>
      </c>
      <c r="D34" s="29">
        <v>319.17905059999998</v>
      </c>
      <c r="E34" s="29">
        <f t="shared" si="11"/>
        <v>1172.83064715</v>
      </c>
      <c r="F34" s="29">
        <v>564.83324545000005</v>
      </c>
      <c r="G34" s="29">
        <v>306.99699499000002</v>
      </c>
      <c r="H34" s="29">
        <v>360.72269733999991</v>
      </c>
      <c r="I34" s="29">
        <f t="shared" si="12"/>
        <v>1232.5529377800001</v>
      </c>
      <c r="J34" s="29">
        <f t="shared" si="8"/>
        <v>2405.3835849300003</v>
      </c>
      <c r="K34" s="29">
        <v>459.28873965999986</v>
      </c>
      <c r="L34" s="29">
        <v>310.57211610000002</v>
      </c>
      <c r="M34" s="29">
        <v>289.65878110999984</v>
      </c>
      <c r="N34" s="29">
        <f t="shared" si="13"/>
        <v>1059.5196368699997</v>
      </c>
      <c r="O34" s="29">
        <v>485.12631064999965</v>
      </c>
      <c r="P34" s="29">
        <v>372.70353203000002</v>
      </c>
      <c r="Q34" s="29">
        <v>296.12504408000041</v>
      </c>
      <c r="R34" s="29">
        <f t="shared" si="14"/>
        <v>1153.9548867600001</v>
      </c>
      <c r="S34" s="29">
        <f t="shared" si="15"/>
        <v>2213.4745236299996</v>
      </c>
      <c r="T34" s="29">
        <f>+J34+S34</f>
        <v>4618.8581085599999</v>
      </c>
      <c r="U34" s="27">
        <f t="shared" si="6"/>
        <v>4618.8581085599999</v>
      </c>
      <c r="V34" s="27">
        <f t="shared" si="7"/>
        <v>0</v>
      </c>
    </row>
    <row r="35" spans="1:37" x14ac:dyDescent="0.3">
      <c r="U35" s="27">
        <f t="shared" si="6"/>
        <v>0</v>
      </c>
      <c r="V35" s="27">
        <f t="shared" si="7"/>
        <v>0</v>
      </c>
    </row>
    <row r="36" spans="1:37" s="37" customFormat="1" x14ac:dyDescent="0.3">
      <c r="A36" s="37" t="s">
        <v>27</v>
      </c>
      <c r="B36" s="26">
        <f>SUM(B37:B40)</f>
        <v>2972.9301670670011</v>
      </c>
      <c r="C36" s="26">
        <f t="shared" ref="C36:T36" si="16">SUM(C37:C40)</f>
        <v>1659.9015024629998</v>
      </c>
      <c r="D36" s="26">
        <f t="shared" si="16"/>
        <v>1731.6376577119995</v>
      </c>
      <c r="E36" s="26">
        <f t="shared" si="16"/>
        <v>6364.469327242</v>
      </c>
      <c r="F36" s="26">
        <f t="shared" si="16"/>
        <v>3248.1211967550016</v>
      </c>
      <c r="G36" s="26">
        <f t="shared" si="16"/>
        <v>2010.4677238529998</v>
      </c>
      <c r="H36" s="26">
        <f t="shared" si="16"/>
        <v>2087.7849389239991</v>
      </c>
      <c r="I36" s="26">
        <f t="shared" si="16"/>
        <v>7346.373859532001</v>
      </c>
      <c r="J36" s="26">
        <f t="shared" si="16"/>
        <v>13710.843186774</v>
      </c>
      <c r="K36" s="26">
        <f t="shared" si="16"/>
        <v>2566.1658264300004</v>
      </c>
      <c r="L36" s="26">
        <f t="shared" si="16"/>
        <v>1879.0976634900001</v>
      </c>
      <c r="M36" s="26">
        <f t="shared" si="16"/>
        <v>1484.9444489599996</v>
      </c>
      <c r="N36" s="26">
        <f t="shared" si="16"/>
        <v>5930.2079388800003</v>
      </c>
      <c r="O36" s="26">
        <f t="shared" si="16"/>
        <v>1981.4584438648985</v>
      </c>
      <c r="P36" s="26">
        <f t="shared" si="16"/>
        <v>1609.0694857100002</v>
      </c>
      <c r="Q36" s="26">
        <f t="shared" si="16"/>
        <v>1743.3782422899992</v>
      </c>
      <c r="R36" s="26">
        <f t="shared" si="16"/>
        <v>5333.9061718648973</v>
      </c>
      <c r="S36" s="26">
        <f t="shared" si="16"/>
        <v>11264.114110744897</v>
      </c>
      <c r="T36" s="26">
        <f t="shared" si="16"/>
        <v>24974.9572975189</v>
      </c>
      <c r="U36" s="27">
        <f t="shared" si="6"/>
        <v>24974.9572975189</v>
      </c>
      <c r="V36" s="27">
        <f t="shared" si="7"/>
        <v>0</v>
      </c>
      <c r="W36" s="26"/>
      <c r="X36" s="26"/>
      <c r="Y36" s="26"/>
      <c r="Z36" s="26"/>
      <c r="AA36" s="26"/>
      <c r="AB36" s="26"/>
      <c r="AC36" s="26"/>
      <c r="AD36" s="26"/>
      <c r="AE36" s="26"/>
      <c r="AF36" s="26"/>
      <c r="AG36" s="26"/>
      <c r="AH36" s="26"/>
      <c r="AI36" s="26"/>
      <c r="AJ36" s="26"/>
      <c r="AK36" s="26"/>
    </row>
    <row r="37" spans="1:37" x14ac:dyDescent="0.3">
      <c r="A37" s="33" t="s">
        <v>28</v>
      </c>
      <c r="B37" s="29">
        <v>447.62887930000016</v>
      </c>
      <c r="C37" s="29">
        <v>274.12604696999995</v>
      </c>
      <c r="D37" s="29">
        <v>290.17685666999995</v>
      </c>
      <c r="E37" s="29">
        <f t="shared" ref="E37:E40" si="17">+B37+C37+D37</f>
        <v>1011.9317829400002</v>
      </c>
      <c r="F37" s="29">
        <v>435.16634417999995</v>
      </c>
      <c r="G37" s="29">
        <v>293.62003711</v>
      </c>
      <c r="H37" s="29">
        <v>329.93385737400007</v>
      </c>
      <c r="I37" s="29">
        <f t="shared" ref="I37:I40" si="18">+F37+G37+H37</f>
        <v>1058.7202386640001</v>
      </c>
      <c r="J37" s="29">
        <f t="shared" si="8"/>
        <v>2070.6520216040003</v>
      </c>
      <c r="K37" s="29">
        <v>378.11061048000028</v>
      </c>
      <c r="L37" s="29">
        <v>255.30796971000007</v>
      </c>
      <c r="M37" s="29">
        <v>224.30222498000001</v>
      </c>
      <c r="N37" s="29">
        <f t="shared" ref="N37:N40" si="19">+K37+L37+M37</f>
        <v>857.72080517000029</v>
      </c>
      <c r="O37" s="29">
        <v>293.20022562989965</v>
      </c>
      <c r="P37" s="29">
        <v>228.80530018000002</v>
      </c>
      <c r="Q37" s="29">
        <v>361.41287006999994</v>
      </c>
      <c r="R37" s="29">
        <f t="shared" ref="R37:R40" si="20">+O37+P37+Q37</f>
        <v>883.41839587989955</v>
      </c>
      <c r="S37" s="29">
        <f t="shared" ref="S37:S40" si="21">+N37+R37</f>
        <v>1741.1392010498998</v>
      </c>
      <c r="T37" s="29">
        <f>+J37+S37</f>
        <v>3811.7912226539001</v>
      </c>
      <c r="U37" s="27">
        <f t="shared" si="6"/>
        <v>3811.7912226539001</v>
      </c>
      <c r="V37" s="27">
        <f t="shared" si="7"/>
        <v>0</v>
      </c>
    </row>
    <row r="38" spans="1:37" x14ac:dyDescent="0.3">
      <c r="A38" s="33" t="s">
        <v>29</v>
      </c>
      <c r="B38" s="29">
        <v>518.83075997000037</v>
      </c>
      <c r="C38" s="29">
        <v>185.93505267000003</v>
      </c>
      <c r="D38" s="29">
        <v>227.41381159999995</v>
      </c>
      <c r="E38" s="29">
        <f t="shared" si="17"/>
        <v>932.17962424000029</v>
      </c>
      <c r="F38" s="29">
        <v>509.39383228000014</v>
      </c>
      <c r="G38" s="29">
        <v>276.30621470999989</v>
      </c>
      <c r="H38" s="29">
        <v>325.91827867999962</v>
      </c>
      <c r="I38" s="29">
        <f t="shared" si="18"/>
        <v>1111.6183256699996</v>
      </c>
      <c r="J38" s="29">
        <f t="shared" si="8"/>
        <v>2043.7979499099999</v>
      </c>
      <c r="K38" s="29">
        <v>372.58901820000011</v>
      </c>
      <c r="L38" s="29">
        <v>250.85412912000004</v>
      </c>
      <c r="M38" s="29">
        <v>214.16237734999999</v>
      </c>
      <c r="N38" s="29">
        <f t="shared" si="19"/>
        <v>837.60552467000025</v>
      </c>
      <c r="O38" s="29">
        <v>253.69711959500009</v>
      </c>
      <c r="P38" s="29">
        <v>243.49619733000003</v>
      </c>
      <c r="Q38" s="29">
        <v>248.74675348999972</v>
      </c>
      <c r="R38" s="29">
        <f t="shared" si="20"/>
        <v>745.94007041499981</v>
      </c>
      <c r="S38" s="29">
        <f t="shared" si="21"/>
        <v>1583.5455950850001</v>
      </c>
      <c r="T38" s="29">
        <f>+J38+S38</f>
        <v>3627.3435449950002</v>
      </c>
      <c r="U38" s="27">
        <f t="shared" si="6"/>
        <v>3627.3435449950002</v>
      </c>
      <c r="V38" s="27">
        <f t="shared" si="7"/>
        <v>0</v>
      </c>
    </row>
    <row r="39" spans="1:37" x14ac:dyDescent="0.3">
      <c r="A39" s="33" t="s">
        <v>30</v>
      </c>
      <c r="B39" s="29">
        <v>775.70627563000096</v>
      </c>
      <c r="C39" s="29">
        <v>355.17027584000004</v>
      </c>
      <c r="D39" s="29">
        <v>457.00510112000006</v>
      </c>
      <c r="E39" s="29">
        <f t="shared" si="17"/>
        <v>1587.8816525900011</v>
      </c>
      <c r="F39" s="29">
        <v>639.31183952000026</v>
      </c>
      <c r="G39" s="29">
        <v>561.07092112999987</v>
      </c>
      <c r="H39" s="29">
        <v>498.05628207000001</v>
      </c>
      <c r="I39" s="29">
        <f t="shared" si="18"/>
        <v>1698.4390427200001</v>
      </c>
      <c r="J39" s="29">
        <f t="shared" si="8"/>
        <v>3286.3206953100012</v>
      </c>
      <c r="K39" s="29">
        <v>613.64494391999983</v>
      </c>
      <c r="L39" s="29">
        <v>438.07854528999997</v>
      </c>
      <c r="M39" s="29">
        <v>298.88238036999996</v>
      </c>
      <c r="N39" s="29">
        <f t="shared" si="19"/>
        <v>1350.6058695799998</v>
      </c>
      <c r="O39" s="29">
        <v>423.05214198999988</v>
      </c>
      <c r="P39" s="29">
        <v>309.52452283999997</v>
      </c>
      <c r="Q39" s="29">
        <v>376.43084641000002</v>
      </c>
      <c r="R39" s="29">
        <f t="shared" si="20"/>
        <v>1109.0075112399998</v>
      </c>
      <c r="S39" s="29">
        <f t="shared" si="21"/>
        <v>2459.6133808199993</v>
      </c>
      <c r="T39" s="29">
        <f>+J39+S39</f>
        <v>5745.9340761300009</v>
      </c>
      <c r="U39" s="27">
        <f t="shared" si="6"/>
        <v>5745.9340761300009</v>
      </c>
      <c r="V39" s="27">
        <f t="shared" si="7"/>
        <v>0</v>
      </c>
    </row>
    <row r="40" spans="1:37" x14ac:dyDescent="0.3">
      <c r="A40" s="33" t="s">
        <v>31</v>
      </c>
      <c r="B40" s="29">
        <v>1230.7642521669993</v>
      </c>
      <c r="C40" s="29">
        <v>844.67012698299993</v>
      </c>
      <c r="D40" s="29">
        <v>757.04188832199964</v>
      </c>
      <c r="E40" s="29">
        <f t="shared" si="17"/>
        <v>2832.4762674719987</v>
      </c>
      <c r="F40" s="29">
        <v>1664.2491807750012</v>
      </c>
      <c r="G40" s="29">
        <v>879.47055090299989</v>
      </c>
      <c r="H40" s="29">
        <v>933.87652079999975</v>
      </c>
      <c r="I40" s="29">
        <f t="shared" si="18"/>
        <v>3477.5962524780007</v>
      </c>
      <c r="J40" s="29">
        <f t="shared" si="8"/>
        <v>6310.0725199499993</v>
      </c>
      <c r="K40" s="29">
        <v>1201.8212538299999</v>
      </c>
      <c r="L40" s="29">
        <v>934.85701936999999</v>
      </c>
      <c r="M40" s="29">
        <v>747.59746625999969</v>
      </c>
      <c r="N40" s="29">
        <f t="shared" si="19"/>
        <v>2884.2757394599998</v>
      </c>
      <c r="O40" s="29">
        <v>1011.5089566499989</v>
      </c>
      <c r="P40" s="29">
        <v>827.24346536000007</v>
      </c>
      <c r="Q40" s="29">
        <v>756.78777231999948</v>
      </c>
      <c r="R40" s="29">
        <f t="shared" si="20"/>
        <v>2595.5401943299985</v>
      </c>
      <c r="S40" s="29">
        <f t="shared" si="21"/>
        <v>5479.8159337899979</v>
      </c>
      <c r="T40" s="29">
        <f>+J40+S40</f>
        <v>11789.888453739997</v>
      </c>
      <c r="U40" s="27">
        <f t="shared" si="6"/>
        <v>11789.888453739997</v>
      </c>
      <c r="V40" s="27">
        <f t="shared" si="7"/>
        <v>0</v>
      </c>
    </row>
    <row r="41" spans="1:37" x14ac:dyDescent="0.3">
      <c r="U41" s="27">
        <f t="shared" si="6"/>
        <v>0</v>
      </c>
      <c r="V41" s="27">
        <f t="shared" si="7"/>
        <v>0</v>
      </c>
    </row>
    <row r="42" spans="1:37" s="37" customFormat="1" x14ac:dyDescent="0.3">
      <c r="A42" s="37" t="s">
        <v>32</v>
      </c>
      <c r="B42" s="26">
        <f>SUM(B43:B47)</f>
        <v>1628.1005584500006</v>
      </c>
      <c r="C42" s="26">
        <f t="shared" ref="C42:T42" si="22">SUM(C43:C47)</f>
        <v>917.98564728999997</v>
      </c>
      <c r="D42" s="26">
        <f t="shared" si="22"/>
        <v>1188.6909776599998</v>
      </c>
      <c r="E42" s="26">
        <f t="shared" si="22"/>
        <v>3734.7771834000005</v>
      </c>
      <c r="F42" s="26">
        <f t="shared" si="22"/>
        <v>1871.8224428300002</v>
      </c>
      <c r="G42" s="26">
        <f t="shared" si="22"/>
        <v>1226.9177545299999</v>
      </c>
      <c r="H42" s="26">
        <f t="shared" si="22"/>
        <v>1630.7357778000003</v>
      </c>
      <c r="I42" s="26">
        <f t="shared" si="22"/>
        <v>4729.4759751600004</v>
      </c>
      <c r="J42" s="26">
        <f t="shared" si="22"/>
        <v>8464.2531585600009</v>
      </c>
      <c r="K42" s="26">
        <f t="shared" si="22"/>
        <v>1590.8917339499999</v>
      </c>
      <c r="L42" s="26">
        <f t="shared" si="22"/>
        <v>1274.1795386900001</v>
      </c>
      <c r="M42" s="26">
        <f t="shared" si="22"/>
        <v>1173.7083318899995</v>
      </c>
      <c r="N42" s="26">
        <f t="shared" si="22"/>
        <v>4038.7796045299997</v>
      </c>
      <c r="O42" s="26">
        <f t="shared" si="22"/>
        <v>1341.9191336499985</v>
      </c>
      <c r="P42" s="26">
        <f t="shared" si="22"/>
        <v>1256.8293743600002</v>
      </c>
      <c r="Q42" s="26">
        <f t="shared" si="22"/>
        <v>1116.3354017099996</v>
      </c>
      <c r="R42" s="26">
        <f t="shared" si="22"/>
        <v>3715.0839097199982</v>
      </c>
      <c r="S42" s="26">
        <f t="shared" si="22"/>
        <v>7753.863514249997</v>
      </c>
      <c r="T42" s="26">
        <f t="shared" si="22"/>
        <v>16218.116672809998</v>
      </c>
      <c r="U42" s="27">
        <f t="shared" si="6"/>
        <v>16218.116672809998</v>
      </c>
      <c r="V42" s="27">
        <f t="shared" si="7"/>
        <v>0</v>
      </c>
      <c r="W42" s="26"/>
      <c r="X42" s="26"/>
      <c r="Y42" s="26"/>
      <c r="Z42" s="26"/>
      <c r="AA42" s="26"/>
      <c r="AB42" s="26"/>
      <c r="AC42" s="26"/>
      <c r="AD42" s="26"/>
      <c r="AE42" s="26"/>
      <c r="AF42" s="26"/>
      <c r="AG42" s="26"/>
      <c r="AH42" s="26"/>
      <c r="AI42" s="26"/>
      <c r="AJ42" s="26"/>
      <c r="AK42" s="26"/>
    </row>
    <row r="43" spans="1:37" x14ac:dyDescent="0.3">
      <c r="A43" s="33" t="s">
        <v>176</v>
      </c>
      <c r="B43" s="56">
        <v>540.8391743799998</v>
      </c>
      <c r="C43" s="56">
        <v>374.35467574000012</v>
      </c>
      <c r="D43" s="56">
        <v>487.3546373399999</v>
      </c>
      <c r="E43" s="56">
        <f t="shared" ref="E43:E47" si="23">+B43+C43+D43</f>
        <v>1402.5484874599999</v>
      </c>
      <c r="F43" s="56">
        <v>626.2961726700006</v>
      </c>
      <c r="G43" s="56">
        <v>451.7500451099998</v>
      </c>
      <c r="H43" s="56">
        <v>548.57681411999999</v>
      </c>
      <c r="I43" s="56">
        <f t="shared" ref="I43:I47" si="24">+F43+G43+H43</f>
        <v>1626.6230319000006</v>
      </c>
      <c r="J43" s="56">
        <f t="shared" si="8"/>
        <v>3029.1715193600003</v>
      </c>
      <c r="K43" s="56">
        <v>549.07539803999987</v>
      </c>
      <c r="L43" s="56">
        <v>499.92037703000005</v>
      </c>
      <c r="M43" s="56">
        <v>421.11429831999993</v>
      </c>
      <c r="N43" s="56">
        <f t="shared" ref="N43:N47" si="25">+K43+L43+M43</f>
        <v>1470.11007339</v>
      </c>
      <c r="O43" s="56">
        <v>524.12626449999959</v>
      </c>
      <c r="P43" s="56">
        <v>472.72183340000004</v>
      </c>
      <c r="Q43" s="56">
        <v>389.64815984000001</v>
      </c>
      <c r="R43" s="56">
        <f t="shared" ref="R43:R47" si="26">+O43+P43+Q43</f>
        <v>1386.4962577399997</v>
      </c>
      <c r="S43" s="56">
        <f>+N43+R43</f>
        <v>2856.6063311299995</v>
      </c>
      <c r="T43" s="56">
        <f>+J43+S43</f>
        <v>5885.7778504899998</v>
      </c>
      <c r="U43" s="27">
        <f t="shared" si="6"/>
        <v>5885.7778504899998</v>
      </c>
      <c r="V43" s="27">
        <f t="shared" si="7"/>
        <v>0</v>
      </c>
    </row>
    <row r="44" spans="1:37" x14ac:dyDescent="0.3">
      <c r="A44" s="33" t="s">
        <v>177</v>
      </c>
      <c r="B44" s="56"/>
      <c r="C44" s="56"/>
      <c r="D44" s="56"/>
      <c r="E44" s="56"/>
      <c r="F44" s="56"/>
      <c r="G44" s="56"/>
      <c r="H44" s="56"/>
      <c r="I44" s="56"/>
      <c r="J44" s="56">
        <f t="shared" si="8"/>
        <v>0</v>
      </c>
      <c r="K44" s="56"/>
      <c r="L44" s="56"/>
      <c r="M44" s="56"/>
      <c r="N44" s="56"/>
      <c r="O44" s="56"/>
      <c r="P44" s="56"/>
      <c r="Q44" s="56"/>
      <c r="R44" s="56"/>
      <c r="S44" s="56"/>
      <c r="T44" s="56"/>
      <c r="U44" s="27">
        <f t="shared" si="6"/>
        <v>0</v>
      </c>
      <c r="V44" s="27">
        <f t="shared" si="7"/>
        <v>0</v>
      </c>
    </row>
    <row r="45" spans="1:37" x14ac:dyDescent="0.3">
      <c r="A45" s="33" t="s">
        <v>34</v>
      </c>
      <c r="B45" s="29">
        <v>790.32919091000053</v>
      </c>
      <c r="C45" s="29">
        <v>377.32182425999974</v>
      </c>
      <c r="D45" s="29">
        <v>471.93855149999996</v>
      </c>
      <c r="E45" s="29">
        <f t="shared" si="23"/>
        <v>1639.5895666700003</v>
      </c>
      <c r="F45" s="29">
        <v>863.72506295999983</v>
      </c>
      <c r="G45" s="29">
        <v>595.8358272700001</v>
      </c>
      <c r="H45" s="29">
        <v>816.94989007999993</v>
      </c>
      <c r="I45" s="29">
        <f t="shared" si="24"/>
        <v>2276.51078031</v>
      </c>
      <c r="J45" s="29">
        <f t="shared" si="8"/>
        <v>3916.1003469800003</v>
      </c>
      <c r="K45" s="29">
        <v>793.40975499000001</v>
      </c>
      <c r="L45" s="29">
        <v>562.34135805999995</v>
      </c>
      <c r="M45" s="29">
        <v>556.62310007999963</v>
      </c>
      <c r="N45" s="29">
        <f t="shared" si="25"/>
        <v>1912.3742131299996</v>
      </c>
      <c r="O45" s="29">
        <v>567.54815472999883</v>
      </c>
      <c r="P45" s="29">
        <v>570.75688398999978</v>
      </c>
      <c r="Q45" s="29">
        <v>540.45632448999959</v>
      </c>
      <c r="R45" s="29">
        <f t="shared" si="26"/>
        <v>1678.7613632099983</v>
      </c>
      <c r="S45" s="29">
        <f t="shared" ref="S45:S47" si="27">+N45+R45</f>
        <v>3591.1355763399979</v>
      </c>
      <c r="T45" s="29">
        <f>+J45+S45</f>
        <v>7507.2359233199986</v>
      </c>
      <c r="U45" s="27">
        <f t="shared" si="6"/>
        <v>7507.2359233199986</v>
      </c>
      <c r="V45" s="27">
        <f t="shared" si="7"/>
        <v>0</v>
      </c>
    </row>
    <row r="46" spans="1:37" x14ac:dyDescent="0.3">
      <c r="A46" s="33" t="s">
        <v>35</v>
      </c>
      <c r="B46" s="29">
        <v>203.68942234000014</v>
      </c>
      <c r="C46" s="29">
        <v>114.92702998000001</v>
      </c>
      <c r="D46" s="29">
        <v>188.54235698000002</v>
      </c>
      <c r="E46" s="29">
        <f t="shared" si="23"/>
        <v>507.15880930000014</v>
      </c>
      <c r="F46" s="29">
        <v>313.37492324999999</v>
      </c>
      <c r="G46" s="29">
        <v>135.62826345999997</v>
      </c>
      <c r="H46" s="29">
        <v>203.62126262000007</v>
      </c>
      <c r="I46" s="29">
        <f t="shared" si="24"/>
        <v>652.62444933000006</v>
      </c>
      <c r="J46" s="29">
        <f t="shared" si="8"/>
        <v>1159.7832586300001</v>
      </c>
      <c r="K46" s="29">
        <v>171.86622962000001</v>
      </c>
      <c r="L46" s="29">
        <v>158.24619061999999</v>
      </c>
      <c r="M46" s="29">
        <v>138.84839944999999</v>
      </c>
      <c r="N46" s="29">
        <f t="shared" si="25"/>
        <v>468.96081968999999</v>
      </c>
      <c r="O46" s="29">
        <v>178.60912260000003</v>
      </c>
      <c r="P46" s="29">
        <v>147.89736617000005</v>
      </c>
      <c r="Q46" s="29">
        <v>129.96411490999995</v>
      </c>
      <c r="R46" s="29">
        <f t="shared" si="26"/>
        <v>456.47060368000007</v>
      </c>
      <c r="S46" s="29">
        <f t="shared" si="27"/>
        <v>925.43142337000006</v>
      </c>
      <c r="T46" s="29">
        <f>+J46+S46</f>
        <v>2085.2146820000003</v>
      </c>
      <c r="U46" s="27">
        <f t="shared" si="6"/>
        <v>2085.2146820000003</v>
      </c>
      <c r="V46" s="27">
        <f t="shared" si="7"/>
        <v>0</v>
      </c>
    </row>
    <row r="47" spans="1:37" x14ac:dyDescent="0.3">
      <c r="A47" s="33" t="s">
        <v>36</v>
      </c>
      <c r="B47" s="29">
        <v>93.24277081999999</v>
      </c>
      <c r="C47" s="29">
        <v>51.382117310000169</v>
      </c>
      <c r="D47" s="29">
        <v>40.85543183999998</v>
      </c>
      <c r="E47" s="29">
        <f t="shared" si="23"/>
        <v>185.48031997000015</v>
      </c>
      <c r="F47" s="29">
        <v>68.426283949999998</v>
      </c>
      <c r="G47" s="29">
        <v>43.703618690000013</v>
      </c>
      <c r="H47" s="29">
        <v>61.587810980000022</v>
      </c>
      <c r="I47" s="29">
        <f t="shared" si="24"/>
        <v>173.71771362000004</v>
      </c>
      <c r="J47" s="29">
        <f t="shared" si="8"/>
        <v>359.19803359000019</v>
      </c>
      <c r="K47" s="29">
        <v>76.540351300000012</v>
      </c>
      <c r="L47" s="29">
        <v>53.671612979999999</v>
      </c>
      <c r="M47" s="29">
        <v>57.122534039999998</v>
      </c>
      <c r="N47" s="29">
        <f t="shared" si="25"/>
        <v>187.33449832000002</v>
      </c>
      <c r="O47" s="29">
        <v>71.635591819999945</v>
      </c>
      <c r="P47" s="29">
        <v>65.453290799999991</v>
      </c>
      <c r="Q47" s="29">
        <v>56.266802470000002</v>
      </c>
      <c r="R47" s="29">
        <f t="shared" si="26"/>
        <v>193.35568508999995</v>
      </c>
      <c r="S47" s="29">
        <f t="shared" si="27"/>
        <v>380.69018340999997</v>
      </c>
      <c r="T47" s="29">
        <f>+J47+S47</f>
        <v>739.88821700000017</v>
      </c>
      <c r="U47" s="27">
        <f t="shared" si="6"/>
        <v>739.88821700000017</v>
      </c>
      <c r="V47" s="27">
        <f t="shared" si="7"/>
        <v>0</v>
      </c>
    </row>
    <row r="48" spans="1:37" x14ac:dyDescent="0.3">
      <c r="U48" s="27">
        <f t="shared" si="6"/>
        <v>0</v>
      </c>
      <c r="V48" s="27">
        <f t="shared" si="7"/>
        <v>0</v>
      </c>
    </row>
    <row r="49" spans="1:37" s="37" customFormat="1" x14ac:dyDescent="0.3">
      <c r="A49" s="37" t="s">
        <v>37</v>
      </c>
      <c r="B49" s="26">
        <f>SUM(B50:B58)</f>
        <v>10752.542474384003</v>
      </c>
      <c r="C49" s="26">
        <f t="shared" ref="C49:T49" si="28">SUM(C50:C58)</f>
        <v>4677.6040974899997</v>
      </c>
      <c r="D49" s="26">
        <f t="shared" si="28"/>
        <v>5623.3279200699999</v>
      </c>
      <c r="E49" s="26">
        <f t="shared" si="28"/>
        <v>21053.474491944002</v>
      </c>
      <c r="F49" s="26">
        <f t="shared" si="28"/>
        <v>13316.689587919998</v>
      </c>
      <c r="G49" s="26">
        <f t="shared" si="28"/>
        <v>7582.8597607000002</v>
      </c>
      <c r="H49" s="26">
        <f t="shared" si="28"/>
        <v>6283.2344534999966</v>
      </c>
      <c r="I49" s="26">
        <f t="shared" si="28"/>
        <v>27182.78380212</v>
      </c>
      <c r="J49" s="26">
        <f t="shared" si="28"/>
        <v>48236.258294063999</v>
      </c>
      <c r="K49" s="26">
        <f t="shared" si="28"/>
        <v>10883.870996210004</v>
      </c>
      <c r="L49" s="26">
        <f t="shared" si="28"/>
        <v>7346.8872314400014</v>
      </c>
      <c r="M49" s="26">
        <f t="shared" si="28"/>
        <v>5220.5977242399995</v>
      </c>
      <c r="N49" s="26">
        <f t="shared" si="28"/>
        <v>23451.355951890004</v>
      </c>
      <c r="O49" s="26">
        <f t="shared" si="28"/>
        <v>9405.097830450004</v>
      </c>
      <c r="P49" s="26">
        <f t="shared" si="28"/>
        <v>7283.0205454000006</v>
      </c>
      <c r="Q49" s="26">
        <f t="shared" si="28"/>
        <v>5520.2035485799988</v>
      </c>
      <c r="R49" s="26">
        <f t="shared" si="28"/>
        <v>22208.321924430005</v>
      </c>
      <c r="S49" s="26">
        <f t="shared" si="28"/>
        <v>45659.677876319998</v>
      </c>
      <c r="T49" s="26">
        <f t="shared" si="28"/>
        <v>93895.936170384011</v>
      </c>
      <c r="U49" s="27">
        <f t="shared" si="6"/>
        <v>93895.936170383997</v>
      </c>
      <c r="V49" s="27">
        <f t="shared" si="7"/>
        <v>0</v>
      </c>
      <c r="W49" s="26"/>
      <c r="X49" s="26"/>
      <c r="Y49" s="26"/>
      <c r="Z49" s="26"/>
      <c r="AA49" s="26"/>
      <c r="AB49" s="26"/>
      <c r="AC49" s="26"/>
      <c r="AD49" s="26"/>
      <c r="AE49" s="26"/>
      <c r="AF49" s="26"/>
      <c r="AG49" s="26"/>
      <c r="AH49" s="26"/>
      <c r="AI49" s="26"/>
      <c r="AJ49" s="26"/>
      <c r="AK49" s="26"/>
    </row>
    <row r="50" spans="1:37" x14ac:dyDescent="0.3">
      <c r="A50" s="33" t="s">
        <v>38</v>
      </c>
      <c r="B50" s="29">
        <v>131.02434529999996</v>
      </c>
      <c r="C50" s="29">
        <v>34.920950249999997</v>
      </c>
      <c r="D50" s="29">
        <v>45.214503569999998</v>
      </c>
      <c r="E50" s="29">
        <f t="shared" ref="E50:E58" si="29">+B50+C50+D50</f>
        <v>211.15979911999997</v>
      </c>
      <c r="F50" s="29">
        <v>118.40874157999998</v>
      </c>
      <c r="G50" s="29">
        <v>54.000711160000002</v>
      </c>
      <c r="H50" s="29">
        <v>73.98446709000001</v>
      </c>
      <c r="I50" s="29">
        <f t="shared" ref="I50:I58" si="30">+F50+G50+H50</f>
        <v>246.39391982999999</v>
      </c>
      <c r="J50" s="29">
        <f t="shared" si="8"/>
        <v>457.55371894999996</v>
      </c>
      <c r="K50" s="29">
        <v>102.90837473999999</v>
      </c>
      <c r="L50" s="29">
        <v>55.569460750000012</v>
      </c>
      <c r="M50" s="29">
        <v>47.015696860000013</v>
      </c>
      <c r="N50" s="29">
        <f t="shared" ref="N50:N58" si="31">+K50+L50+M50</f>
        <v>205.49353235000001</v>
      </c>
      <c r="O50" s="29">
        <v>78.762161840000005</v>
      </c>
      <c r="P50" s="29">
        <v>37.916826560000004</v>
      </c>
      <c r="Q50" s="29">
        <v>51.719590819999993</v>
      </c>
      <c r="R50" s="29">
        <f t="shared" ref="R50:R58" si="32">+O50+P50+Q50</f>
        <v>168.39857921999999</v>
      </c>
      <c r="S50" s="29">
        <f t="shared" ref="S50:S58" si="33">+N50+R50</f>
        <v>373.89211157</v>
      </c>
      <c r="T50" s="29">
        <f t="shared" ref="T50:T58" si="34">+J50+S50</f>
        <v>831.44583051999996</v>
      </c>
      <c r="U50" s="27">
        <f t="shared" si="6"/>
        <v>831.44583051999996</v>
      </c>
      <c r="V50" s="27">
        <f t="shared" si="7"/>
        <v>0</v>
      </c>
    </row>
    <row r="51" spans="1:37" x14ac:dyDescent="0.3">
      <c r="A51" s="33" t="s">
        <v>39</v>
      </c>
      <c r="B51" s="29">
        <v>888.0401792900002</v>
      </c>
      <c r="C51" s="29">
        <v>346.52608524999999</v>
      </c>
      <c r="D51" s="29">
        <v>386.27113646999987</v>
      </c>
      <c r="E51" s="29">
        <f t="shared" si="29"/>
        <v>1620.8374010100001</v>
      </c>
      <c r="F51" s="29">
        <v>715.92011317999936</v>
      </c>
      <c r="G51" s="29">
        <v>420.76274822000005</v>
      </c>
      <c r="H51" s="29">
        <v>512.40554008999993</v>
      </c>
      <c r="I51" s="29">
        <f t="shared" si="30"/>
        <v>1649.0884014899993</v>
      </c>
      <c r="J51" s="29">
        <f t="shared" si="8"/>
        <v>3269.9258024999995</v>
      </c>
      <c r="K51" s="29">
        <v>688.78049624000016</v>
      </c>
      <c r="L51" s="29">
        <v>428.92047652000002</v>
      </c>
      <c r="M51" s="29">
        <v>350.34130335999987</v>
      </c>
      <c r="N51" s="29">
        <f t="shared" si="31"/>
        <v>1468.0422761200002</v>
      </c>
      <c r="O51" s="29">
        <v>696.73504880000098</v>
      </c>
      <c r="P51" s="29">
        <v>459.96707688000021</v>
      </c>
      <c r="Q51" s="29">
        <v>429.56983489999976</v>
      </c>
      <c r="R51" s="29">
        <f t="shared" si="32"/>
        <v>1586.271960580001</v>
      </c>
      <c r="S51" s="29">
        <f t="shared" si="33"/>
        <v>3054.3142367000009</v>
      </c>
      <c r="T51" s="29">
        <f t="shared" si="34"/>
        <v>6324.2400392</v>
      </c>
      <c r="U51" s="27">
        <f t="shared" si="6"/>
        <v>6324.2400392000009</v>
      </c>
      <c r="V51" s="27">
        <f t="shared" si="7"/>
        <v>0</v>
      </c>
    </row>
    <row r="52" spans="1:37" x14ac:dyDescent="0.3">
      <c r="A52" s="33" t="s">
        <v>40</v>
      </c>
      <c r="B52" s="29">
        <v>2682.5326471500011</v>
      </c>
      <c r="C52" s="29">
        <v>1134.5244524999998</v>
      </c>
      <c r="D52" s="29">
        <v>1319.4448082800006</v>
      </c>
      <c r="E52" s="29">
        <f t="shared" si="29"/>
        <v>5136.5019079300018</v>
      </c>
      <c r="F52" s="29">
        <v>3241.00021904</v>
      </c>
      <c r="G52" s="29">
        <v>1716.6213677900005</v>
      </c>
      <c r="H52" s="29">
        <v>1783.4503831199986</v>
      </c>
      <c r="I52" s="29">
        <f t="shared" si="30"/>
        <v>6741.0719699499987</v>
      </c>
      <c r="J52" s="29">
        <f t="shared" si="8"/>
        <v>11877.573877880001</v>
      </c>
      <c r="K52" s="29">
        <v>2576.0240004200004</v>
      </c>
      <c r="L52" s="29">
        <v>1731.2100255300002</v>
      </c>
      <c r="M52" s="29">
        <v>1358.0748850100001</v>
      </c>
      <c r="N52" s="29">
        <f t="shared" si="31"/>
        <v>5665.3089109600005</v>
      </c>
      <c r="O52" s="29">
        <v>2271.2386500499993</v>
      </c>
      <c r="P52" s="29">
        <v>1651.3748067299996</v>
      </c>
      <c r="Q52" s="29">
        <v>1134.4975628799994</v>
      </c>
      <c r="R52" s="29">
        <f t="shared" si="32"/>
        <v>5057.1110196599984</v>
      </c>
      <c r="S52" s="29">
        <f t="shared" si="33"/>
        <v>10722.419930619999</v>
      </c>
      <c r="T52" s="29">
        <f t="shared" si="34"/>
        <v>22599.993808499999</v>
      </c>
      <c r="U52" s="27">
        <f t="shared" si="6"/>
        <v>22599.993808499999</v>
      </c>
      <c r="V52" s="27">
        <f t="shared" si="7"/>
        <v>0</v>
      </c>
    </row>
    <row r="53" spans="1:37" x14ac:dyDescent="0.3">
      <c r="A53" s="33" t="s">
        <v>41</v>
      </c>
      <c r="B53" s="29">
        <v>850.56411163000007</v>
      </c>
      <c r="C53" s="29">
        <v>507.50485581999988</v>
      </c>
      <c r="D53" s="29">
        <v>669.77091499000005</v>
      </c>
      <c r="E53" s="29">
        <f t="shared" si="29"/>
        <v>2027.8398824400001</v>
      </c>
      <c r="F53" s="29">
        <v>1158.4859822100002</v>
      </c>
      <c r="G53" s="29">
        <v>781.79731181999978</v>
      </c>
      <c r="H53" s="29">
        <v>710.81059757999969</v>
      </c>
      <c r="I53" s="29">
        <f t="shared" si="30"/>
        <v>2651.0938916099994</v>
      </c>
      <c r="J53" s="29">
        <f t="shared" si="8"/>
        <v>4678.9337740499996</v>
      </c>
      <c r="K53" s="29">
        <v>959.00467519000017</v>
      </c>
      <c r="L53" s="29">
        <v>649.61917675999996</v>
      </c>
      <c r="M53" s="29">
        <v>582.1917646899999</v>
      </c>
      <c r="N53" s="29">
        <f t="shared" si="31"/>
        <v>2190.8156166400004</v>
      </c>
      <c r="O53" s="29">
        <v>870.68149724000023</v>
      </c>
      <c r="P53" s="29">
        <v>746.95274955000014</v>
      </c>
      <c r="Q53" s="29">
        <v>709.40542380000022</v>
      </c>
      <c r="R53" s="29">
        <f t="shared" si="32"/>
        <v>2327.0396705900007</v>
      </c>
      <c r="S53" s="29">
        <f t="shared" si="33"/>
        <v>4517.8552872300006</v>
      </c>
      <c r="T53" s="29">
        <f t="shared" si="34"/>
        <v>9196.7890612800002</v>
      </c>
      <c r="U53" s="27">
        <f t="shared" si="6"/>
        <v>9196.789061280002</v>
      </c>
      <c r="V53" s="27">
        <f t="shared" si="7"/>
        <v>0</v>
      </c>
    </row>
    <row r="54" spans="1:37" ht="16.5" x14ac:dyDescent="0.3">
      <c r="A54" s="33" t="s">
        <v>42</v>
      </c>
      <c r="B54" s="29">
        <v>3025.2098974640021</v>
      </c>
      <c r="C54" s="29">
        <v>1010.3028206699998</v>
      </c>
      <c r="D54" s="29">
        <v>1238.3611453100002</v>
      </c>
      <c r="E54" s="29">
        <f t="shared" si="29"/>
        <v>5273.8738634440024</v>
      </c>
      <c r="F54" s="29">
        <v>3186.4240600500007</v>
      </c>
      <c r="G54" s="29">
        <v>1281.7751706899999</v>
      </c>
      <c r="H54" s="29">
        <v>1388.2721673499996</v>
      </c>
      <c r="I54" s="29">
        <f t="shared" si="30"/>
        <v>5856.4713980899996</v>
      </c>
      <c r="J54" s="29">
        <f t="shared" si="8"/>
        <v>11130.345261534003</v>
      </c>
      <c r="K54" s="29">
        <v>3056.9542122100011</v>
      </c>
      <c r="L54" s="29">
        <v>1496.9648436999996</v>
      </c>
      <c r="M54" s="29">
        <v>1181.5737243099998</v>
      </c>
      <c r="N54" s="29">
        <f t="shared" si="31"/>
        <v>5735.49278022</v>
      </c>
      <c r="O54" s="29">
        <v>2439.0588993699998</v>
      </c>
      <c r="P54" s="29">
        <v>1386.0747294299999</v>
      </c>
      <c r="Q54" s="29">
        <v>1327.299967989999</v>
      </c>
      <c r="R54" s="29">
        <f t="shared" si="32"/>
        <v>5152.4335967899988</v>
      </c>
      <c r="S54" s="29">
        <f t="shared" si="33"/>
        <v>10887.926377009999</v>
      </c>
      <c r="T54" s="29">
        <f t="shared" si="34"/>
        <v>22018.271638544</v>
      </c>
      <c r="U54" s="27">
        <f t="shared" si="6"/>
        <v>22018.271638544004</v>
      </c>
      <c r="V54" s="27">
        <f t="shared" si="7"/>
        <v>0</v>
      </c>
    </row>
    <row r="55" spans="1:37" x14ac:dyDescent="0.3">
      <c r="A55" s="33" t="s">
        <v>43</v>
      </c>
      <c r="B55" s="29">
        <v>866.3864218000009</v>
      </c>
      <c r="C55" s="29">
        <v>403.86886130000011</v>
      </c>
      <c r="D55" s="29">
        <v>590.87680726999986</v>
      </c>
      <c r="E55" s="29">
        <f t="shared" si="29"/>
        <v>1861.1320903700007</v>
      </c>
      <c r="F55" s="29">
        <v>940.06274605999965</v>
      </c>
      <c r="G55" s="29">
        <v>651.51784260999989</v>
      </c>
      <c r="H55" s="29">
        <v>637.02543471000013</v>
      </c>
      <c r="I55" s="29">
        <f t="shared" si="30"/>
        <v>2228.6060233799999</v>
      </c>
      <c r="J55" s="29">
        <f t="shared" si="8"/>
        <v>4089.7381137500006</v>
      </c>
      <c r="K55" s="29">
        <v>810.32262263000007</v>
      </c>
      <c r="L55" s="29">
        <v>559.7131781999999</v>
      </c>
      <c r="M55" s="29">
        <v>383.65429444999995</v>
      </c>
      <c r="N55" s="29">
        <f t="shared" si="31"/>
        <v>1753.6900952799999</v>
      </c>
      <c r="O55" s="29">
        <v>662.41552270000068</v>
      </c>
      <c r="P55" s="29">
        <v>540.42774442000007</v>
      </c>
      <c r="Q55" s="29">
        <v>441.34081764000024</v>
      </c>
      <c r="R55" s="29">
        <f t="shared" si="32"/>
        <v>1644.184084760001</v>
      </c>
      <c r="S55" s="29">
        <f t="shared" si="33"/>
        <v>3397.8741800400012</v>
      </c>
      <c r="T55" s="29">
        <f t="shared" si="34"/>
        <v>7487.6122937900018</v>
      </c>
      <c r="U55" s="27">
        <f t="shared" si="6"/>
        <v>7487.6122937900009</v>
      </c>
      <c r="V55" s="27">
        <f t="shared" si="7"/>
        <v>0</v>
      </c>
    </row>
    <row r="56" spans="1:37" ht="16.5" x14ac:dyDescent="0.3">
      <c r="A56" s="33" t="s">
        <v>44</v>
      </c>
      <c r="B56" s="29">
        <v>351.09564722000005</v>
      </c>
      <c r="C56" s="29">
        <v>143.29041953999999</v>
      </c>
      <c r="D56" s="29">
        <v>143.84473625000004</v>
      </c>
      <c r="E56" s="29">
        <f t="shared" si="29"/>
        <v>638.23080301000005</v>
      </c>
      <c r="F56" s="29">
        <v>949.30329245999997</v>
      </c>
      <c r="G56" s="29">
        <v>387.35129303000008</v>
      </c>
      <c r="H56" s="29">
        <v>140.17951533999999</v>
      </c>
      <c r="I56" s="29">
        <f t="shared" si="30"/>
        <v>1476.8341008300001</v>
      </c>
      <c r="J56" s="29">
        <f t="shared" si="8"/>
        <v>2115.0649038400002</v>
      </c>
      <c r="K56" s="29">
        <v>329.73004588000003</v>
      </c>
      <c r="L56" s="29">
        <v>356.4204987</v>
      </c>
      <c r="M56" s="29">
        <v>196.3082123099999</v>
      </c>
      <c r="N56" s="29">
        <f t="shared" si="31"/>
        <v>882.45875689000002</v>
      </c>
      <c r="O56" s="29">
        <v>338.81287705999978</v>
      </c>
      <c r="P56" s="29">
        <v>391.30263183000005</v>
      </c>
      <c r="Q56" s="29">
        <v>184.83707407000014</v>
      </c>
      <c r="R56" s="29">
        <f t="shared" si="32"/>
        <v>914.95258295999997</v>
      </c>
      <c r="S56" s="29">
        <f t="shared" si="33"/>
        <v>1797.4113398499999</v>
      </c>
      <c r="T56" s="29">
        <f t="shared" si="34"/>
        <v>3912.47624369</v>
      </c>
      <c r="U56" s="27">
        <f t="shared" si="6"/>
        <v>3912.4762436899996</v>
      </c>
      <c r="V56" s="27">
        <f t="shared" si="7"/>
        <v>0</v>
      </c>
    </row>
    <row r="57" spans="1:37" ht="16.5" x14ac:dyDescent="0.3">
      <c r="A57" s="33" t="s">
        <v>178</v>
      </c>
      <c r="B57" s="29">
        <v>1630.2486396599979</v>
      </c>
      <c r="C57" s="29">
        <v>949.3252648700003</v>
      </c>
      <c r="D57" s="29">
        <v>990.26830877000009</v>
      </c>
      <c r="E57" s="29">
        <f t="shared" si="29"/>
        <v>3569.8422132999985</v>
      </c>
      <c r="F57" s="29">
        <v>2576.4516905199989</v>
      </c>
      <c r="G57" s="29">
        <v>1995.3726688300001</v>
      </c>
      <c r="H57" s="29">
        <v>668.38356017000035</v>
      </c>
      <c r="I57" s="29">
        <f t="shared" si="30"/>
        <v>5240.2079195199995</v>
      </c>
      <c r="J57" s="29">
        <f t="shared" si="8"/>
        <v>8810.0501328199971</v>
      </c>
      <c r="K57" s="29">
        <v>1990.6734630400022</v>
      </c>
      <c r="L57" s="29">
        <v>1846.5328001300011</v>
      </c>
      <c r="M57" s="29">
        <v>914.04813434999926</v>
      </c>
      <c r="N57" s="29">
        <f t="shared" si="31"/>
        <v>4751.2543975200024</v>
      </c>
      <c r="O57" s="29">
        <v>1760.2758799100031</v>
      </c>
      <c r="P57" s="29">
        <v>1857.8547696200012</v>
      </c>
      <c r="Q57" s="29">
        <v>1018.5642258600004</v>
      </c>
      <c r="R57" s="29">
        <f t="shared" si="32"/>
        <v>4636.6948753900042</v>
      </c>
      <c r="S57" s="29">
        <f t="shared" si="33"/>
        <v>9387.9492729100057</v>
      </c>
      <c r="T57" s="29">
        <f t="shared" si="34"/>
        <v>18197.999405730003</v>
      </c>
      <c r="U57" s="27">
        <f t="shared" si="6"/>
        <v>18197.999405730006</v>
      </c>
      <c r="V57" s="27">
        <f t="shared" si="7"/>
        <v>0</v>
      </c>
    </row>
    <row r="58" spans="1:37" ht="16.5" x14ac:dyDescent="0.3">
      <c r="A58" s="33" t="s">
        <v>179</v>
      </c>
      <c r="B58" s="29">
        <v>327.44058486999995</v>
      </c>
      <c r="C58" s="29">
        <v>147.34038729000002</v>
      </c>
      <c r="D58" s="29">
        <v>239.27555915999991</v>
      </c>
      <c r="E58" s="29">
        <f t="shared" si="29"/>
        <v>714.05653131999986</v>
      </c>
      <c r="F58" s="29">
        <v>430.63274281999895</v>
      </c>
      <c r="G58" s="29">
        <v>293.66064655000002</v>
      </c>
      <c r="H58" s="29">
        <v>368.72278804999985</v>
      </c>
      <c r="I58" s="29">
        <f t="shared" si="30"/>
        <v>1093.0161774199987</v>
      </c>
      <c r="J58" s="29">
        <f t="shared" si="8"/>
        <v>1807.0727087399987</v>
      </c>
      <c r="K58" s="29">
        <v>369.47310586000003</v>
      </c>
      <c r="L58" s="29">
        <v>221.93677114999983</v>
      </c>
      <c r="M58" s="29">
        <v>207.38970890000013</v>
      </c>
      <c r="N58" s="29">
        <f t="shared" si="31"/>
        <v>798.79958590999991</v>
      </c>
      <c r="O58" s="29">
        <v>287.11729347999994</v>
      </c>
      <c r="P58" s="29">
        <v>211.14921038000003</v>
      </c>
      <c r="Q58" s="29">
        <v>222.96905062000002</v>
      </c>
      <c r="R58" s="29">
        <f t="shared" si="32"/>
        <v>721.23555448000002</v>
      </c>
      <c r="S58" s="29">
        <f t="shared" si="33"/>
        <v>1520.0351403899999</v>
      </c>
      <c r="T58" s="29">
        <f t="shared" si="34"/>
        <v>3327.1078491299986</v>
      </c>
      <c r="U58" s="27">
        <f t="shared" si="6"/>
        <v>3327.1078491299991</v>
      </c>
      <c r="V58" s="27">
        <f t="shared" si="7"/>
        <v>0</v>
      </c>
    </row>
    <row r="59" spans="1:37" x14ac:dyDescent="0.3">
      <c r="U59" s="27">
        <f t="shared" si="6"/>
        <v>0</v>
      </c>
      <c r="V59" s="27">
        <f t="shared" si="7"/>
        <v>0</v>
      </c>
    </row>
    <row r="60" spans="1:37" s="37" customFormat="1" x14ac:dyDescent="0.3">
      <c r="A60" s="37" t="s">
        <v>47</v>
      </c>
      <c r="B60" s="26">
        <f>SUM(B61:B66)</f>
        <v>12915.555037269996</v>
      </c>
      <c r="C60" s="26">
        <f t="shared" ref="C60:T60" si="35">SUM(C61:C66)</f>
        <v>5854.0753630099989</v>
      </c>
      <c r="D60" s="26">
        <f t="shared" si="35"/>
        <v>7200.7040109100044</v>
      </c>
      <c r="E60" s="26">
        <f t="shared" si="35"/>
        <v>25970.334411190001</v>
      </c>
      <c r="F60" s="26">
        <f t="shared" si="35"/>
        <v>16308.426362420005</v>
      </c>
      <c r="G60" s="26">
        <f t="shared" si="35"/>
        <v>9455.5277196499992</v>
      </c>
      <c r="H60" s="26">
        <f t="shared" si="35"/>
        <v>8147.2551847200029</v>
      </c>
      <c r="I60" s="26">
        <f t="shared" si="35"/>
        <v>33911.209266790007</v>
      </c>
      <c r="J60" s="26">
        <f t="shared" si="35"/>
        <v>59881.54367798</v>
      </c>
      <c r="K60" s="26">
        <f t="shared" si="35"/>
        <v>12671.338477480002</v>
      </c>
      <c r="L60" s="26">
        <f t="shared" si="35"/>
        <v>9893.912210176999</v>
      </c>
      <c r="M60" s="26">
        <f t="shared" si="35"/>
        <v>7209.9161317499975</v>
      </c>
      <c r="N60" s="26">
        <f t="shared" si="35"/>
        <v>29775.166819407001</v>
      </c>
      <c r="O60" s="26">
        <f t="shared" si="35"/>
        <v>12063.513783210012</v>
      </c>
      <c r="P60" s="26">
        <f t="shared" si="35"/>
        <v>9782.8487567899974</v>
      </c>
      <c r="Q60" s="26">
        <f t="shared" si="35"/>
        <v>7335.2479486599932</v>
      </c>
      <c r="R60" s="26">
        <f t="shared" si="35"/>
        <v>29181.610488660004</v>
      </c>
      <c r="S60" s="26">
        <f t="shared" si="35"/>
        <v>58956.777308067001</v>
      </c>
      <c r="T60" s="26">
        <f t="shared" si="35"/>
        <v>118838.32098604701</v>
      </c>
      <c r="U60" s="27">
        <f t="shared" si="6"/>
        <v>118838.32098604701</v>
      </c>
      <c r="V60" s="27">
        <f t="shared" si="7"/>
        <v>0</v>
      </c>
      <c r="W60" s="26"/>
      <c r="X60" s="26"/>
      <c r="Y60" s="26"/>
      <c r="Z60" s="26"/>
      <c r="AA60" s="26"/>
      <c r="AB60" s="26"/>
      <c r="AC60" s="26"/>
      <c r="AD60" s="26"/>
      <c r="AE60" s="26"/>
      <c r="AF60" s="26"/>
      <c r="AG60" s="26"/>
      <c r="AH60" s="26"/>
      <c r="AI60" s="26"/>
      <c r="AJ60" s="26"/>
      <c r="AK60" s="26"/>
    </row>
    <row r="61" spans="1:37" x14ac:dyDescent="0.3">
      <c r="A61" s="33" t="s">
        <v>48</v>
      </c>
      <c r="B61" s="29">
        <v>2752.6387194199951</v>
      </c>
      <c r="C61" s="29">
        <v>1381.5239652800001</v>
      </c>
      <c r="D61" s="29">
        <v>1535.3646306300011</v>
      </c>
      <c r="E61" s="29">
        <f t="shared" ref="E61:E66" si="36">+B61+C61+D61</f>
        <v>5669.5273153299968</v>
      </c>
      <c r="F61" s="29">
        <v>3165.4163897400008</v>
      </c>
      <c r="G61" s="29">
        <v>1945.1792936299996</v>
      </c>
      <c r="H61" s="29">
        <v>2002.5186477799998</v>
      </c>
      <c r="I61" s="29">
        <f t="shared" ref="I61:I66" si="37">+F61+G61+H61</f>
        <v>7113.11433115</v>
      </c>
      <c r="J61" s="29">
        <f t="shared" si="8"/>
        <v>12782.641646479997</v>
      </c>
      <c r="K61" s="29">
        <v>2445.3767992700018</v>
      </c>
      <c r="L61" s="29">
        <v>1969.3226806300017</v>
      </c>
      <c r="M61" s="29">
        <v>1716.2809653099991</v>
      </c>
      <c r="N61" s="29">
        <f t="shared" ref="N61:N66" si="38">+K61+L61+M61</f>
        <v>6130.9804452100034</v>
      </c>
      <c r="O61" s="29">
        <v>2384.3079940699972</v>
      </c>
      <c r="P61" s="29">
        <v>2041.08231705</v>
      </c>
      <c r="Q61" s="29">
        <v>1595.7133033599991</v>
      </c>
      <c r="R61" s="29">
        <f t="shared" ref="R61:R66" si="39">+O61+P61+Q61</f>
        <v>6021.1036144799964</v>
      </c>
      <c r="S61" s="29">
        <f t="shared" ref="S61:S66" si="40">+N61+R61</f>
        <v>12152.08405969</v>
      </c>
      <c r="T61" s="29">
        <f t="shared" ref="T61:T66" si="41">+J61+S61</f>
        <v>24934.725706169997</v>
      </c>
      <c r="U61" s="27">
        <f t="shared" si="6"/>
        <v>24934.725706169997</v>
      </c>
      <c r="V61" s="27">
        <f t="shared" si="7"/>
        <v>0</v>
      </c>
    </row>
    <row r="62" spans="1:37" x14ac:dyDescent="0.3">
      <c r="A62" s="33" t="s">
        <v>49</v>
      </c>
      <c r="B62" s="29">
        <v>3777.0516862200011</v>
      </c>
      <c r="C62" s="29">
        <v>1530.7248641799993</v>
      </c>
      <c r="D62" s="29">
        <v>2088.3018184500006</v>
      </c>
      <c r="E62" s="29">
        <f t="shared" si="36"/>
        <v>7396.0783688500005</v>
      </c>
      <c r="F62" s="29">
        <v>4702.0793820000035</v>
      </c>
      <c r="G62" s="29">
        <v>2623.6443888499998</v>
      </c>
      <c r="H62" s="29">
        <v>2265.9656482900009</v>
      </c>
      <c r="I62" s="29">
        <f t="shared" si="37"/>
        <v>9591.6894191400042</v>
      </c>
      <c r="J62" s="29">
        <f t="shared" si="8"/>
        <v>16987.767787990004</v>
      </c>
      <c r="K62" s="29">
        <v>3732.0422319400009</v>
      </c>
      <c r="L62" s="29">
        <v>2649.7902222499997</v>
      </c>
      <c r="M62" s="29">
        <v>2090.147576639999</v>
      </c>
      <c r="N62" s="29">
        <f t="shared" si="38"/>
        <v>8471.98003083</v>
      </c>
      <c r="O62" s="29">
        <v>3780.1667567400082</v>
      </c>
      <c r="P62" s="29">
        <v>3036.7073022399995</v>
      </c>
      <c r="Q62" s="29">
        <v>2039.1039343299983</v>
      </c>
      <c r="R62" s="29">
        <f t="shared" si="39"/>
        <v>8855.9779933100053</v>
      </c>
      <c r="S62" s="29">
        <f t="shared" si="40"/>
        <v>17327.958024140004</v>
      </c>
      <c r="T62" s="29">
        <f t="shared" si="41"/>
        <v>34315.725812130011</v>
      </c>
      <c r="U62" s="27">
        <f t="shared" si="6"/>
        <v>34315.725812130011</v>
      </c>
      <c r="V62" s="27">
        <f t="shared" si="7"/>
        <v>0</v>
      </c>
    </row>
    <row r="63" spans="1:37" x14ac:dyDescent="0.3">
      <c r="A63" s="33" t="s">
        <v>50</v>
      </c>
      <c r="B63" s="29">
        <v>4365.3232836600018</v>
      </c>
      <c r="C63" s="29">
        <v>1978.67553888</v>
      </c>
      <c r="D63" s="29">
        <v>2421.133156840001</v>
      </c>
      <c r="E63" s="29">
        <f t="shared" si="36"/>
        <v>8765.131979380003</v>
      </c>
      <c r="F63" s="29">
        <v>5879.6246656000021</v>
      </c>
      <c r="G63" s="29">
        <v>3519.7150780699999</v>
      </c>
      <c r="H63" s="29">
        <v>2461.0353475600014</v>
      </c>
      <c r="I63" s="29">
        <f t="shared" si="37"/>
        <v>11860.375091230002</v>
      </c>
      <c r="J63" s="29">
        <f t="shared" si="8"/>
        <v>20625.507070610005</v>
      </c>
      <c r="K63" s="29">
        <v>4459.3836551199993</v>
      </c>
      <c r="L63" s="29">
        <v>3677.182102716999</v>
      </c>
      <c r="M63" s="29">
        <v>2272.4986227000004</v>
      </c>
      <c r="N63" s="29">
        <f t="shared" si="38"/>
        <v>10409.064380536998</v>
      </c>
      <c r="O63" s="29">
        <v>3916.384148650006</v>
      </c>
      <c r="P63" s="29">
        <v>3355.7592855199991</v>
      </c>
      <c r="Q63" s="29">
        <v>2513.3304426799964</v>
      </c>
      <c r="R63" s="29">
        <f t="shared" si="39"/>
        <v>9785.473876850001</v>
      </c>
      <c r="S63" s="29">
        <f t="shared" si="40"/>
        <v>20194.538257387001</v>
      </c>
      <c r="T63" s="29">
        <f t="shared" si="41"/>
        <v>40820.04532799701</v>
      </c>
      <c r="U63" s="27">
        <f t="shared" si="6"/>
        <v>40820.04532799701</v>
      </c>
      <c r="V63" s="27">
        <f t="shared" si="7"/>
        <v>0</v>
      </c>
    </row>
    <row r="64" spans="1:37" ht="16.5" x14ac:dyDescent="0.3">
      <c r="A64" s="33" t="s">
        <v>180</v>
      </c>
      <c r="B64" s="29">
        <v>150.8789020800001</v>
      </c>
      <c r="C64" s="29">
        <v>86.489387090000037</v>
      </c>
      <c r="D64" s="29">
        <v>97.432491179999971</v>
      </c>
      <c r="E64" s="29">
        <f t="shared" si="36"/>
        <v>334.80078035000008</v>
      </c>
      <c r="F64" s="29">
        <v>192.22252619</v>
      </c>
      <c r="G64" s="29">
        <v>164.33345893000001</v>
      </c>
      <c r="H64" s="29">
        <v>182.71467232000006</v>
      </c>
      <c r="I64" s="29">
        <f t="shared" si="37"/>
        <v>539.27065744000004</v>
      </c>
      <c r="J64" s="29">
        <f t="shared" si="8"/>
        <v>874.07143779000012</v>
      </c>
      <c r="K64" s="29">
        <v>226.41653273</v>
      </c>
      <c r="L64" s="29">
        <v>131.18255962000001</v>
      </c>
      <c r="M64" s="29">
        <v>112.81664593000001</v>
      </c>
      <c r="N64" s="29">
        <f t="shared" si="38"/>
        <v>470.41573827999997</v>
      </c>
      <c r="O64" s="29">
        <v>148.00947242000038</v>
      </c>
      <c r="P64" s="29">
        <v>105.31049279999999</v>
      </c>
      <c r="Q64" s="29">
        <v>108.60461725999998</v>
      </c>
      <c r="R64" s="29">
        <f t="shared" si="39"/>
        <v>361.92458248000037</v>
      </c>
      <c r="S64" s="29">
        <f t="shared" si="40"/>
        <v>832.3403207600004</v>
      </c>
      <c r="T64" s="29">
        <f t="shared" si="41"/>
        <v>1706.4117585500005</v>
      </c>
      <c r="U64" s="27">
        <f t="shared" si="6"/>
        <v>1706.4117585500005</v>
      </c>
      <c r="V64" s="27">
        <f t="shared" si="7"/>
        <v>0</v>
      </c>
    </row>
    <row r="65" spans="1:37" ht="16.5" x14ac:dyDescent="0.3">
      <c r="A65" s="33" t="s">
        <v>181</v>
      </c>
      <c r="B65" s="29">
        <v>1150.7213568599982</v>
      </c>
      <c r="C65" s="29">
        <v>470.13983943999972</v>
      </c>
      <c r="D65" s="29">
        <v>510.40386815000028</v>
      </c>
      <c r="E65" s="29">
        <f t="shared" si="36"/>
        <v>2131.2650644499981</v>
      </c>
      <c r="F65" s="29">
        <v>1488.560717679997</v>
      </c>
      <c r="G65" s="29">
        <v>696.71815698</v>
      </c>
      <c r="H65" s="29">
        <v>624.17664363999995</v>
      </c>
      <c r="I65" s="29">
        <f t="shared" si="37"/>
        <v>2809.455518299997</v>
      </c>
      <c r="J65" s="29">
        <f t="shared" si="8"/>
        <v>4940.7205827499947</v>
      </c>
      <c r="K65" s="29">
        <v>1097.0687806899996</v>
      </c>
      <c r="L65" s="29">
        <v>730.20209371000021</v>
      </c>
      <c r="M65" s="29">
        <v>559.55862988999991</v>
      </c>
      <c r="N65" s="29">
        <f t="shared" si="38"/>
        <v>2386.8295042899995</v>
      </c>
      <c r="O65" s="29">
        <v>1122.3921378499992</v>
      </c>
      <c r="P65" s="29">
        <v>707.65899422999985</v>
      </c>
      <c r="Q65" s="29">
        <v>547.68058896999878</v>
      </c>
      <c r="R65" s="29">
        <f t="shared" si="39"/>
        <v>2377.7317210499978</v>
      </c>
      <c r="S65" s="29">
        <f t="shared" si="40"/>
        <v>4764.5612253399977</v>
      </c>
      <c r="T65" s="29">
        <f t="shared" si="41"/>
        <v>9705.2818080899924</v>
      </c>
      <c r="U65" s="27">
        <f t="shared" si="6"/>
        <v>9705.2818080899942</v>
      </c>
      <c r="V65" s="27">
        <f t="shared" si="7"/>
        <v>0</v>
      </c>
    </row>
    <row r="66" spans="1:37" ht="16.5" x14ac:dyDescent="0.3">
      <c r="A66" s="33" t="s">
        <v>182</v>
      </c>
      <c r="B66" s="29">
        <v>718.94108903000085</v>
      </c>
      <c r="C66" s="29">
        <v>406.52176813999972</v>
      </c>
      <c r="D66" s="29">
        <v>548.06804565999994</v>
      </c>
      <c r="E66" s="29">
        <f t="shared" si="36"/>
        <v>1673.5309028300003</v>
      </c>
      <c r="F66" s="29">
        <v>880.52268121000054</v>
      </c>
      <c r="G66" s="29">
        <v>505.93734318999981</v>
      </c>
      <c r="H66" s="29">
        <v>610.84422512999981</v>
      </c>
      <c r="I66" s="29">
        <f t="shared" si="37"/>
        <v>1997.3042495300001</v>
      </c>
      <c r="J66" s="29">
        <f t="shared" si="8"/>
        <v>3670.8351523600004</v>
      </c>
      <c r="K66" s="29">
        <v>711.05047773000001</v>
      </c>
      <c r="L66" s="29">
        <v>736.23255124999991</v>
      </c>
      <c r="M66" s="29">
        <v>458.61369127999956</v>
      </c>
      <c r="N66" s="29">
        <f t="shared" si="38"/>
        <v>1905.8967202599995</v>
      </c>
      <c r="O66" s="29">
        <v>712.25327348000008</v>
      </c>
      <c r="P66" s="29">
        <v>536.33036494999953</v>
      </c>
      <c r="Q66" s="29">
        <v>530.81506206000097</v>
      </c>
      <c r="R66" s="29">
        <f t="shared" si="39"/>
        <v>1779.3987004900005</v>
      </c>
      <c r="S66" s="29">
        <f t="shared" si="40"/>
        <v>3685.2954207499997</v>
      </c>
      <c r="T66" s="29">
        <f t="shared" si="41"/>
        <v>7356.1305731100001</v>
      </c>
      <c r="U66" s="27">
        <f t="shared" si="6"/>
        <v>7356.1305731100001</v>
      </c>
      <c r="V66" s="27">
        <f t="shared" si="7"/>
        <v>0</v>
      </c>
    </row>
    <row r="67" spans="1:37" x14ac:dyDescent="0.3">
      <c r="U67" s="27">
        <f t="shared" si="6"/>
        <v>0</v>
      </c>
      <c r="V67" s="27">
        <f t="shared" si="7"/>
        <v>0</v>
      </c>
    </row>
    <row r="68" spans="1:37" s="37" customFormat="1" x14ac:dyDescent="0.3">
      <c r="A68" s="37" t="s">
        <v>54</v>
      </c>
      <c r="B68" s="26">
        <f>SUM(B69:B74)</f>
        <v>1345.8448015000008</v>
      </c>
      <c r="C68" s="26">
        <f t="shared" ref="C68:T68" si="42">SUM(C69:C74)</f>
        <v>521.9913912999998</v>
      </c>
      <c r="D68" s="26">
        <f t="shared" si="42"/>
        <v>738.00930391999998</v>
      </c>
      <c r="E68" s="26">
        <f t="shared" si="42"/>
        <v>2605.8454967200005</v>
      </c>
      <c r="F68" s="26">
        <f t="shared" si="42"/>
        <v>1495.5532881099994</v>
      </c>
      <c r="G68" s="26">
        <f t="shared" si="42"/>
        <v>896.60364396000011</v>
      </c>
      <c r="H68" s="26">
        <f t="shared" si="42"/>
        <v>910.08571845999995</v>
      </c>
      <c r="I68" s="26">
        <f t="shared" si="42"/>
        <v>3302.2426505299995</v>
      </c>
      <c r="J68" s="26">
        <f t="shared" si="42"/>
        <v>5908.0881472499996</v>
      </c>
      <c r="K68" s="26">
        <f t="shared" si="42"/>
        <v>1265.5264416999996</v>
      </c>
      <c r="L68" s="26">
        <f t="shared" si="42"/>
        <v>792.28299905999984</v>
      </c>
      <c r="M68" s="26">
        <f t="shared" si="42"/>
        <v>649.65445605999957</v>
      </c>
      <c r="N68" s="26">
        <f t="shared" si="42"/>
        <v>2707.4638968199993</v>
      </c>
      <c r="O68" s="26">
        <f t="shared" si="42"/>
        <v>1009.7423395800009</v>
      </c>
      <c r="P68" s="26">
        <f t="shared" si="42"/>
        <v>743.35568969999986</v>
      </c>
      <c r="Q68" s="26">
        <f t="shared" si="42"/>
        <v>677.42692819000035</v>
      </c>
      <c r="R68" s="26">
        <f t="shared" si="42"/>
        <v>2430.524957470001</v>
      </c>
      <c r="S68" s="26">
        <f t="shared" si="42"/>
        <v>5137.9888542900007</v>
      </c>
      <c r="T68" s="26">
        <f t="shared" si="42"/>
        <v>11046.077001540001</v>
      </c>
      <c r="U68" s="27">
        <f t="shared" si="6"/>
        <v>11046.077001540001</v>
      </c>
      <c r="V68" s="27">
        <f t="shared" si="7"/>
        <v>0</v>
      </c>
      <c r="W68" s="26"/>
      <c r="X68" s="26"/>
      <c r="Y68" s="26"/>
      <c r="Z68" s="26"/>
      <c r="AA68" s="26"/>
      <c r="AB68" s="26"/>
      <c r="AC68" s="26"/>
      <c r="AD68" s="26"/>
      <c r="AE68" s="26"/>
      <c r="AF68" s="26"/>
      <c r="AG68" s="26"/>
      <c r="AH68" s="26"/>
      <c r="AI68" s="26"/>
      <c r="AJ68" s="26"/>
      <c r="AK68" s="26"/>
    </row>
    <row r="69" spans="1:37" x14ac:dyDescent="0.3">
      <c r="A69" s="33" t="s">
        <v>55</v>
      </c>
      <c r="B69" s="29">
        <v>93.692989879999999</v>
      </c>
      <c r="C69" s="29">
        <v>28.174461629999996</v>
      </c>
      <c r="D69" s="29">
        <v>40.908784870000005</v>
      </c>
      <c r="E69" s="29">
        <f t="shared" ref="E69:E74" si="43">+B69+C69+D69</f>
        <v>162.77623638</v>
      </c>
      <c r="F69" s="29">
        <v>91.048946199999989</v>
      </c>
      <c r="G69" s="29">
        <v>56.147856389999987</v>
      </c>
      <c r="H69" s="29">
        <v>46.243576220000001</v>
      </c>
      <c r="I69" s="29">
        <f t="shared" ref="I69:I74" si="44">+F69+G69+H69</f>
        <v>193.44037880999997</v>
      </c>
      <c r="J69" s="29">
        <f t="shared" si="8"/>
        <v>356.21661518999997</v>
      </c>
      <c r="K69" s="29">
        <v>62.963768450000003</v>
      </c>
      <c r="L69" s="29">
        <v>34.322162169999999</v>
      </c>
      <c r="M69" s="29">
        <v>47.254852899999989</v>
      </c>
      <c r="N69" s="29">
        <f t="shared" ref="N69:N74" si="45">+K69+L69+M69</f>
        <v>144.54078351999999</v>
      </c>
      <c r="O69" s="29">
        <v>47.015500159999981</v>
      </c>
      <c r="P69" s="29">
        <v>35.844348239999995</v>
      </c>
      <c r="Q69" s="29">
        <v>31.940234950000004</v>
      </c>
      <c r="R69" s="29">
        <f t="shared" ref="R69:R74" si="46">+O69+P69+Q69</f>
        <v>114.80008334999998</v>
      </c>
      <c r="S69" s="29">
        <f t="shared" ref="S69:S129" si="47">+N69+R69</f>
        <v>259.34086686999996</v>
      </c>
      <c r="T69" s="29">
        <f>+J69+S69</f>
        <v>615.55748205999998</v>
      </c>
      <c r="U69" s="27">
        <f t="shared" si="6"/>
        <v>615.55748205999998</v>
      </c>
      <c r="V69" s="27">
        <f t="shared" si="7"/>
        <v>0</v>
      </c>
    </row>
    <row r="70" spans="1:37" x14ac:dyDescent="0.3">
      <c r="A70" s="33" t="s">
        <v>56</v>
      </c>
      <c r="B70" s="29">
        <v>97.298293010000009</v>
      </c>
      <c r="C70" s="29">
        <v>68.196314099999995</v>
      </c>
      <c r="D70" s="29">
        <v>103.95628478</v>
      </c>
      <c r="E70" s="29">
        <f t="shared" si="43"/>
        <v>269.45089188999998</v>
      </c>
      <c r="F70" s="29">
        <v>137.22430656</v>
      </c>
      <c r="G70" s="29">
        <v>84.282816280000006</v>
      </c>
      <c r="H70" s="29">
        <v>100.07785720000001</v>
      </c>
      <c r="I70" s="29">
        <f t="shared" si="44"/>
        <v>321.58498004</v>
      </c>
      <c r="J70" s="29">
        <f t="shared" si="8"/>
        <v>591.03587192999998</v>
      </c>
      <c r="K70" s="29">
        <v>112.33518437999993</v>
      </c>
      <c r="L70" s="29">
        <v>74.00739627999998</v>
      </c>
      <c r="M70" s="29">
        <v>71.802917359999981</v>
      </c>
      <c r="N70" s="29">
        <f t="shared" si="45"/>
        <v>258.14549801999988</v>
      </c>
      <c r="O70" s="29">
        <v>96.911409690000113</v>
      </c>
      <c r="P70" s="29">
        <v>96.125847259999986</v>
      </c>
      <c r="Q70" s="29">
        <v>78.93341246</v>
      </c>
      <c r="R70" s="29">
        <f t="shared" si="46"/>
        <v>271.97066941000008</v>
      </c>
      <c r="S70" s="29">
        <f t="shared" si="47"/>
        <v>530.1161674299999</v>
      </c>
      <c r="T70" s="29">
        <f>+J70+S70</f>
        <v>1121.1520393599999</v>
      </c>
      <c r="U70" s="27">
        <f t="shared" si="6"/>
        <v>1121.1520393599999</v>
      </c>
      <c r="V70" s="27">
        <f t="shared" si="7"/>
        <v>0</v>
      </c>
    </row>
    <row r="71" spans="1:37" x14ac:dyDescent="0.3">
      <c r="A71" s="33" t="s">
        <v>57</v>
      </c>
      <c r="B71" s="29">
        <v>356.06864186000075</v>
      </c>
      <c r="C71" s="29">
        <v>138.5785975</v>
      </c>
      <c r="D71" s="29">
        <v>217.84035972000004</v>
      </c>
      <c r="E71" s="29">
        <f t="shared" si="43"/>
        <v>712.48759908000079</v>
      </c>
      <c r="F71" s="29">
        <v>426.02664745000038</v>
      </c>
      <c r="G71" s="29">
        <v>264.69549159999997</v>
      </c>
      <c r="H71" s="29">
        <v>261.54605664000007</v>
      </c>
      <c r="I71" s="29">
        <f t="shared" si="44"/>
        <v>952.26819569000043</v>
      </c>
      <c r="J71" s="29">
        <f t="shared" si="8"/>
        <v>1664.7557947700011</v>
      </c>
      <c r="K71" s="29">
        <v>380.86508148000007</v>
      </c>
      <c r="L71" s="29">
        <v>255.47394064999997</v>
      </c>
      <c r="M71" s="29">
        <v>155.23596381999999</v>
      </c>
      <c r="N71" s="29">
        <f t="shared" si="45"/>
        <v>791.57498595000015</v>
      </c>
      <c r="O71" s="29">
        <v>315.84471769999976</v>
      </c>
      <c r="P71" s="29">
        <v>234.91523135000003</v>
      </c>
      <c r="Q71" s="29">
        <v>167.35547994999999</v>
      </c>
      <c r="R71" s="29">
        <f t="shared" si="46"/>
        <v>718.11542899999984</v>
      </c>
      <c r="S71" s="29">
        <f t="shared" si="47"/>
        <v>1509.6904149500001</v>
      </c>
      <c r="T71" s="29">
        <f>+J71+S71</f>
        <v>3174.4462097200012</v>
      </c>
      <c r="U71" s="27">
        <f t="shared" si="6"/>
        <v>3174.4462097200008</v>
      </c>
      <c r="V71" s="27">
        <f t="shared" si="7"/>
        <v>0</v>
      </c>
    </row>
    <row r="72" spans="1:37" x14ac:dyDescent="0.3">
      <c r="A72" s="33" t="s">
        <v>183</v>
      </c>
      <c r="B72" s="56">
        <v>656.34978192000005</v>
      </c>
      <c r="C72" s="56">
        <v>254.45285199999975</v>
      </c>
      <c r="D72" s="56">
        <v>323.12379408999993</v>
      </c>
      <c r="E72" s="56">
        <f t="shared" si="43"/>
        <v>1233.9264280099997</v>
      </c>
      <c r="F72" s="56">
        <v>752.24224601999902</v>
      </c>
      <c r="G72" s="56">
        <v>428.9788232300001</v>
      </c>
      <c r="H72" s="56">
        <v>392.78035638999989</v>
      </c>
      <c r="I72" s="56">
        <f t="shared" si="44"/>
        <v>1574.0014256399991</v>
      </c>
      <c r="J72" s="56">
        <f t="shared" si="8"/>
        <v>2807.9278536499987</v>
      </c>
      <c r="K72" s="56">
        <v>565.66380071999981</v>
      </c>
      <c r="L72" s="56">
        <v>384.43606312999981</v>
      </c>
      <c r="M72" s="56">
        <v>271.3505018999997</v>
      </c>
      <c r="N72" s="56">
        <f t="shared" si="45"/>
        <v>1221.4503657499993</v>
      </c>
      <c r="O72" s="56">
        <v>498.36972408000094</v>
      </c>
      <c r="P72" s="56">
        <v>330.31381838999982</v>
      </c>
      <c r="Q72" s="56">
        <v>357.08673662000035</v>
      </c>
      <c r="R72" s="56">
        <f t="shared" si="46"/>
        <v>1185.7702790900012</v>
      </c>
      <c r="S72" s="56">
        <f t="shared" si="47"/>
        <v>2407.2206448400002</v>
      </c>
      <c r="T72" s="56">
        <f>+J72+S72</f>
        <v>5215.1484984899989</v>
      </c>
      <c r="U72" s="27">
        <f t="shared" ref="U72:U135" si="48">+B72+C72+D72+F72+G72+H72+K72+L72+M72+O72+P72+Q72</f>
        <v>5215.1484984899989</v>
      </c>
      <c r="V72" s="27">
        <f t="shared" ref="V72:V135" si="49">+U72-T72</f>
        <v>0</v>
      </c>
    </row>
    <row r="73" spans="1:37" x14ac:dyDescent="0.3">
      <c r="A73" s="33" t="s">
        <v>184</v>
      </c>
      <c r="B73" s="56"/>
      <c r="C73" s="56"/>
      <c r="D73" s="56"/>
      <c r="E73" s="56"/>
      <c r="F73" s="56"/>
      <c r="G73" s="56"/>
      <c r="H73" s="56"/>
      <c r="I73" s="56"/>
      <c r="J73" s="56">
        <f t="shared" si="8"/>
        <v>0</v>
      </c>
      <c r="K73" s="56"/>
      <c r="L73" s="56"/>
      <c r="M73" s="56"/>
      <c r="N73" s="56"/>
      <c r="O73" s="56"/>
      <c r="P73" s="56"/>
      <c r="Q73" s="56"/>
      <c r="R73" s="56"/>
      <c r="S73" s="56"/>
      <c r="T73" s="56"/>
      <c r="U73" s="27">
        <f t="shared" si="48"/>
        <v>0</v>
      </c>
      <c r="V73" s="27">
        <f t="shared" si="49"/>
        <v>0</v>
      </c>
    </row>
    <row r="74" spans="1:37" x14ac:dyDescent="0.3">
      <c r="A74" s="33" t="s">
        <v>59</v>
      </c>
      <c r="B74" s="29">
        <v>142.43509483000005</v>
      </c>
      <c r="C74" s="29">
        <v>32.589166069999997</v>
      </c>
      <c r="D74" s="29">
        <v>52.180080460000006</v>
      </c>
      <c r="E74" s="29">
        <f t="shared" si="43"/>
        <v>227.20434136000006</v>
      </c>
      <c r="F74" s="29">
        <v>89.011141880000011</v>
      </c>
      <c r="G74" s="29">
        <v>62.498656459999992</v>
      </c>
      <c r="H74" s="29">
        <v>109.43787201000001</v>
      </c>
      <c r="I74" s="29">
        <f t="shared" si="44"/>
        <v>260.94767035000001</v>
      </c>
      <c r="J74" s="29">
        <f t="shared" si="8"/>
        <v>488.15201171000007</v>
      </c>
      <c r="K74" s="29">
        <v>143.69860666999995</v>
      </c>
      <c r="L74" s="29">
        <v>44.043436829999997</v>
      </c>
      <c r="M74" s="29">
        <v>104.01022008000001</v>
      </c>
      <c r="N74" s="29">
        <f t="shared" si="45"/>
        <v>291.75226357999998</v>
      </c>
      <c r="O74" s="29">
        <v>51.600987950000054</v>
      </c>
      <c r="P74" s="29">
        <v>46.156444460000024</v>
      </c>
      <c r="Q74" s="29">
        <v>42.111064209999995</v>
      </c>
      <c r="R74" s="29">
        <f t="shared" si="46"/>
        <v>139.86849662000009</v>
      </c>
      <c r="S74" s="29">
        <f t="shared" si="47"/>
        <v>431.62076020000006</v>
      </c>
      <c r="T74" s="29">
        <f>+J74+S74</f>
        <v>919.77277191000007</v>
      </c>
      <c r="U74" s="27">
        <f t="shared" si="48"/>
        <v>919.77277191000007</v>
      </c>
      <c r="V74" s="27">
        <f t="shared" si="49"/>
        <v>0</v>
      </c>
    </row>
    <row r="75" spans="1:37" x14ac:dyDescent="0.3">
      <c r="U75" s="27">
        <f t="shared" si="48"/>
        <v>0</v>
      </c>
      <c r="V75" s="27">
        <f t="shared" si="49"/>
        <v>0</v>
      </c>
    </row>
    <row r="76" spans="1:37" s="37" customFormat="1" x14ac:dyDescent="0.3">
      <c r="A76" s="37" t="s">
        <v>60</v>
      </c>
      <c r="B76" s="26">
        <f>SUM(B77:B82)</f>
        <v>2454.324889909999</v>
      </c>
      <c r="C76" s="26">
        <f t="shared" ref="C76:T76" si="50">SUM(C77:C82)</f>
        <v>1037.0992008100002</v>
      </c>
      <c r="D76" s="26">
        <f t="shared" si="50"/>
        <v>1506.66641099</v>
      </c>
      <c r="E76" s="26">
        <f t="shared" si="50"/>
        <v>4998.0905017099985</v>
      </c>
      <c r="F76" s="26">
        <f t="shared" si="50"/>
        <v>2524.1028132400002</v>
      </c>
      <c r="G76" s="26">
        <f t="shared" si="50"/>
        <v>1503.6636528600002</v>
      </c>
      <c r="H76" s="26">
        <f t="shared" si="50"/>
        <v>1893.627663</v>
      </c>
      <c r="I76" s="26">
        <f t="shared" si="50"/>
        <v>5921.394129100001</v>
      </c>
      <c r="J76" s="26">
        <f t="shared" si="50"/>
        <v>10919.484630809999</v>
      </c>
      <c r="K76" s="26">
        <f t="shared" si="50"/>
        <v>2233.25257186</v>
      </c>
      <c r="L76" s="26">
        <f t="shared" si="50"/>
        <v>1463.4543750300002</v>
      </c>
      <c r="M76" s="26">
        <f t="shared" si="50"/>
        <v>1207.7876852100003</v>
      </c>
      <c r="N76" s="26">
        <f t="shared" si="50"/>
        <v>4904.4946321000007</v>
      </c>
      <c r="O76" s="26">
        <f t="shared" si="50"/>
        <v>1985.5501007399987</v>
      </c>
      <c r="P76" s="26">
        <f t="shared" si="50"/>
        <v>1479.7467224599998</v>
      </c>
      <c r="Q76" s="26">
        <f t="shared" si="50"/>
        <v>1531.2149499600005</v>
      </c>
      <c r="R76" s="26">
        <f t="shared" si="50"/>
        <v>4996.5117731599985</v>
      </c>
      <c r="S76" s="26">
        <f t="shared" si="50"/>
        <v>9901.0064052599992</v>
      </c>
      <c r="T76" s="26">
        <f t="shared" si="50"/>
        <v>20820.491036069998</v>
      </c>
      <c r="U76" s="27">
        <f t="shared" si="48"/>
        <v>20820.491036070001</v>
      </c>
      <c r="V76" s="27">
        <f t="shared" si="49"/>
        <v>0</v>
      </c>
      <c r="W76" s="26"/>
      <c r="X76" s="26"/>
      <c r="Y76" s="26"/>
      <c r="Z76" s="26"/>
      <c r="AA76" s="26"/>
      <c r="AB76" s="26"/>
      <c r="AC76" s="26"/>
      <c r="AD76" s="26"/>
      <c r="AE76" s="26"/>
      <c r="AF76" s="26"/>
      <c r="AG76" s="26"/>
      <c r="AH76" s="26"/>
      <c r="AI76" s="26"/>
      <c r="AJ76" s="26"/>
      <c r="AK76" s="26"/>
    </row>
    <row r="77" spans="1:37" x14ac:dyDescent="0.3">
      <c r="A77" s="33" t="s">
        <v>61</v>
      </c>
      <c r="B77" s="29">
        <v>726.0691431099998</v>
      </c>
      <c r="C77" s="29">
        <v>414.16736683000005</v>
      </c>
      <c r="D77" s="29">
        <v>659.32906224999999</v>
      </c>
      <c r="E77" s="29">
        <f t="shared" ref="E77:E82" si="51">+B77+C77+D77</f>
        <v>1799.5655721899998</v>
      </c>
      <c r="F77" s="29">
        <v>1031.1049176500001</v>
      </c>
      <c r="G77" s="29">
        <v>498.90663149</v>
      </c>
      <c r="H77" s="29">
        <v>711.55461864000006</v>
      </c>
      <c r="I77" s="29">
        <f t="shared" ref="I77:I82" si="52">+F77+G77+H77</f>
        <v>2241.5661677800003</v>
      </c>
      <c r="J77" s="29">
        <f t="shared" ref="J77:J129" si="53">+E77+I77</f>
        <v>4041.1317399700001</v>
      </c>
      <c r="K77" s="29">
        <v>826.21711934000018</v>
      </c>
      <c r="L77" s="29">
        <v>512.05702866000013</v>
      </c>
      <c r="M77" s="29">
        <v>411.87572779000033</v>
      </c>
      <c r="N77" s="29">
        <f t="shared" ref="N77:N82" si="54">+K77+L77+M77</f>
        <v>1750.1498757900008</v>
      </c>
      <c r="O77" s="29">
        <v>693.25798172999998</v>
      </c>
      <c r="P77" s="29">
        <v>574.15082923999989</v>
      </c>
      <c r="Q77" s="29">
        <v>508.30266673000028</v>
      </c>
      <c r="R77" s="29">
        <f t="shared" ref="R77:R82" si="55">+O77+P77+Q77</f>
        <v>1775.7114777000002</v>
      </c>
      <c r="S77" s="29">
        <f t="shared" si="47"/>
        <v>3525.861353490001</v>
      </c>
      <c r="T77" s="29">
        <f t="shared" ref="T77:T82" si="56">+J77+S77</f>
        <v>7566.9930934600015</v>
      </c>
      <c r="U77" s="27">
        <f t="shared" si="48"/>
        <v>7566.9930934600015</v>
      </c>
      <c r="V77" s="27">
        <f t="shared" si="49"/>
        <v>0</v>
      </c>
    </row>
    <row r="78" spans="1:37" x14ac:dyDescent="0.3">
      <c r="A78" s="33" t="s">
        <v>62</v>
      </c>
      <c r="B78" s="29">
        <v>187.51823544000027</v>
      </c>
      <c r="C78" s="29">
        <v>92.520309870000006</v>
      </c>
      <c r="D78" s="29">
        <v>124.13226918000001</v>
      </c>
      <c r="E78" s="29">
        <f t="shared" si="51"/>
        <v>404.17081449000023</v>
      </c>
      <c r="F78" s="29">
        <v>182.97478611000011</v>
      </c>
      <c r="G78" s="29">
        <v>128.11655814000002</v>
      </c>
      <c r="H78" s="29">
        <v>136.62209956000007</v>
      </c>
      <c r="I78" s="29">
        <f t="shared" si="52"/>
        <v>447.71344381000017</v>
      </c>
      <c r="J78" s="29">
        <f t="shared" si="53"/>
        <v>851.8842583000004</v>
      </c>
      <c r="K78" s="29">
        <v>168.42114241000004</v>
      </c>
      <c r="L78" s="29">
        <v>104.00740109000002</v>
      </c>
      <c r="M78" s="29">
        <v>116.17317961999997</v>
      </c>
      <c r="N78" s="29">
        <f t="shared" si="54"/>
        <v>388.60172312000003</v>
      </c>
      <c r="O78" s="29">
        <v>156.35926724000007</v>
      </c>
      <c r="P78" s="29">
        <v>135.01424272999995</v>
      </c>
      <c r="Q78" s="29">
        <v>116.24949868000002</v>
      </c>
      <c r="R78" s="29">
        <f t="shared" si="55"/>
        <v>407.62300864999997</v>
      </c>
      <c r="S78" s="29">
        <f t="shared" si="47"/>
        <v>796.22473177000006</v>
      </c>
      <c r="T78" s="29">
        <f t="shared" si="56"/>
        <v>1648.1089900700003</v>
      </c>
      <c r="U78" s="27">
        <f t="shared" si="48"/>
        <v>1648.1089900700003</v>
      </c>
      <c r="V78" s="27">
        <f t="shared" si="49"/>
        <v>0</v>
      </c>
    </row>
    <row r="79" spans="1:37" x14ac:dyDescent="0.3">
      <c r="A79" s="33" t="s">
        <v>63</v>
      </c>
      <c r="B79" s="29">
        <v>922.4179317899991</v>
      </c>
      <c r="C79" s="29">
        <v>307.32703818000005</v>
      </c>
      <c r="D79" s="29">
        <v>442.93149920999997</v>
      </c>
      <c r="E79" s="29">
        <f t="shared" si="51"/>
        <v>1672.676469179999</v>
      </c>
      <c r="F79" s="29">
        <v>749.66907388999971</v>
      </c>
      <c r="G79" s="29">
        <v>462.55077048999993</v>
      </c>
      <c r="H79" s="29">
        <v>598.77271968000014</v>
      </c>
      <c r="I79" s="29">
        <f t="shared" si="52"/>
        <v>1810.9925640599997</v>
      </c>
      <c r="J79" s="29">
        <f t="shared" si="53"/>
        <v>3483.6690332399985</v>
      </c>
      <c r="K79" s="29">
        <v>758.68155744999967</v>
      </c>
      <c r="L79" s="29">
        <v>514.48380810000003</v>
      </c>
      <c r="M79" s="29">
        <v>401.57070168000001</v>
      </c>
      <c r="N79" s="29">
        <f t="shared" si="54"/>
        <v>1674.7360672299997</v>
      </c>
      <c r="O79" s="29">
        <v>721.51384661999896</v>
      </c>
      <c r="P79" s="29">
        <v>448.9379226399999</v>
      </c>
      <c r="Q79" s="29">
        <v>453.65563010000011</v>
      </c>
      <c r="R79" s="29">
        <f t="shared" si="55"/>
        <v>1624.1073993599989</v>
      </c>
      <c r="S79" s="29">
        <f t="shared" si="47"/>
        <v>3298.8434665899986</v>
      </c>
      <c r="T79" s="29">
        <f t="shared" si="56"/>
        <v>6782.5124998299971</v>
      </c>
      <c r="U79" s="27">
        <f t="shared" si="48"/>
        <v>6782.5124998299971</v>
      </c>
      <c r="V79" s="27">
        <f t="shared" si="49"/>
        <v>0</v>
      </c>
    </row>
    <row r="80" spans="1:37" x14ac:dyDescent="0.3">
      <c r="A80" s="33" t="s">
        <v>64</v>
      </c>
      <c r="B80" s="29">
        <v>130.59638548999988</v>
      </c>
      <c r="C80" s="29">
        <v>46.850785509999987</v>
      </c>
      <c r="D80" s="29">
        <v>59.014363099999997</v>
      </c>
      <c r="E80" s="29">
        <f t="shared" si="51"/>
        <v>236.46153409999985</v>
      </c>
      <c r="F80" s="29">
        <v>106.13504909000001</v>
      </c>
      <c r="G80" s="29">
        <v>68.338118460000004</v>
      </c>
      <c r="H80" s="29">
        <v>121.52995230999996</v>
      </c>
      <c r="I80" s="29">
        <f t="shared" si="52"/>
        <v>296.00311985999997</v>
      </c>
      <c r="J80" s="29">
        <f t="shared" si="53"/>
        <v>532.46465395999985</v>
      </c>
      <c r="K80" s="29">
        <v>102.51249066</v>
      </c>
      <c r="L80" s="29">
        <v>77.082252620000006</v>
      </c>
      <c r="M80" s="29">
        <v>53.418275149999999</v>
      </c>
      <c r="N80" s="29">
        <f t="shared" si="54"/>
        <v>233.01301842999999</v>
      </c>
      <c r="O80" s="29">
        <v>97.628072090000117</v>
      </c>
      <c r="P80" s="29">
        <v>87.28892221000001</v>
      </c>
      <c r="Q80" s="29">
        <v>67.733958260000009</v>
      </c>
      <c r="R80" s="29">
        <f t="shared" si="55"/>
        <v>252.65095256000012</v>
      </c>
      <c r="S80" s="29">
        <f t="shared" si="47"/>
        <v>485.66397099000011</v>
      </c>
      <c r="T80" s="29">
        <f t="shared" si="56"/>
        <v>1018.1286249499999</v>
      </c>
      <c r="U80" s="27">
        <f t="shared" si="48"/>
        <v>1018.12862495</v>
      </c>
      <c r="V80" s="27">
        <f t="shared" si="49"/>
        <v>0</v>
      </c>
    </row>
    <row r="81" spans="1:37" x14ac:dyDescent="0.3">
      <c r="A81" s="33" t="s">
        <v>65</v>
      </c>
      <c r="B81" s="29">
        <v>210.53245707999997</v>
      </c>
      <c r="C81" s="29">
        <v>97.444432970000008</v>
      </c>
      <c r="D81" s="29">
        <v>102.18054171999999</v>
      </c>
      <c r="E81" s="29">
        <f t="shared" si="51"/>
        <v>410.15743176999996</v>
      </c>
      <c r="F81" s="29">
        <v>167.74634319</v>
      </c>
      <c r="G81" s="29">
        <v>179.4792027</v>
      </c>
      <c r="H81" s="29">
        <v>114.49435836999997</v>
      </c>
      <c r="I81" s="29">
        <f t="shared" si="52"/>
        <v>461.71990426000002</v>
      </c>
      <c r="J81" s="29">
        <f t="shared" si="53"/>
        <v>871.87733602999992</v>
      </c>
      <c r="K81" s="29">
        <v>145.64486208</v>
      </c>
      <c r="L81" s="29">
        <v>110.04995530999999</v>
      </c>
      <c r="M81" s="29">
        <v>88.42555873000002</v>
      </c>
      <c r="N81" s="29">
        <f t="shared" si="54"/>
        <v>344.12037612</v>
      </c>
      <c r="O81" s="29">
        <v>112.14582913999993</v>
      </c>
      <c r="P81" s="29">
        <v>106.62402044999999</v>
      </c>
      <c r="Q81" s="29">
        <v>138.31230124999999</v>
      </c>
      <c r="R81" s="29">
        <f t="shared" si="55"/>
        <v>357.08215083999994</v>
      </c>
      <c r="S81" s="29">
        <f t="shared" si="47"/>
        <v>701.20252695999989</v>
      </c>
      <c r="T81" s="29">
        <f t="shared" si="56"/>
        <v>1573.0798629899998</v>
      </c>
      <c r="U81" s="27">
        <f t="shared" si="48"/>
        <v>1573.0798629899998</v>
      </c>
      <c r="V81" s="27">
        <f t="shared" si="49"/>
        <v>0</v>
      </c>
    </row>
    <row r="82" spans="1:37" x14ac:dyDescent="0.3">
      <c r="A82" s="33" t="s">
        <v>66</v>
      </c>
      <c r="B82" s="29">
        <v>277.19073700000013</v>
      </c>
      <c r="C82" s="29">
        <v>78.789267450000011</v>
      </c>
      <c r="D82" s="29">
        <v>119.07867553</v>
      </c>
      <c r="E82" s="29">
        <f t="shared" si="51"/>
        <v>475.05867998000014</v>
      </c>
      <c r="F82" s="29">
        <v>286.47264331000014</v>
      </c>
      <c r="G82" s="29">
        <v>166.27237157999997</v>
      </c>
      <c r="H82" s="29">
        <v>210.65391443999997</v>
      </c>
      <c r="I82" s="29">
        <f t="shared" si="52"/>
        <v>663.3989293300001</v>
      </c>
      <c r="J82" s="29">
        <f t="shared" si="53"/>
        <v>1138.4576093100002</v>
      </c>
      <c r="K82" s="29">
        <v>231.77539991999996</v>
      </c>
      <c r="L82" s="29">
        <v>145.77392924999998</v>
      </c>
      <c r="M82" s="29">
        <v>136.32424224000005</v>
      </c>
      <c r="N82" s="29">
        <f t="shared" si="54"/>
        <v>513.87357141000007</v>
      </c>
      <c r="O82" s="29">
        <v>204.64510391999971</v>
      </c>
      <c r="P82" s="29">
        <v>127.73078518999996</v>
      </c>
      <c r="Q82" s="29">
        <v>246.96089494</v>
      </c>
      <c r="R82" s="29">
        <f t="shared" si="55"/>
        <v>579.33678404999966</v>
      </c>
      <c r="S82" s="29">
        <f t="shared" si="47"/>
        <v>1093.2103554599998</v>
      </c>
      <c r="T82" s="29">
        <f t="shared" si="56"/>
        <v>2231.6679647700003</v>
      </c>
      <c r="U82" s="27">
        <f t="shared" si="48"/>
        <v>2231.6679647699998</v>
      </c>
      <c r="V82" s="27">
        <f t="shared" si="49"/>
        <v>0</v>
      </c>
    </row>
    <row r="83" spans="1:37" x14ac:dyDescent="0.3">
      <c r="U83" s="27">
        <f t="shared" si="48"/>
        <v>0</v>
      </c>
      <c r="V83" s="27">
        <f t="shared" si="49"/>
        <v>0</v>
      </c>
    </row>
    <row r="84" spans="1:37" s="37" customFormat="1" x14ac:dyDescent="0.3">
      <c r="A84" s="37" t="s">
        <v>67</v>
      </c>
      <c r="B84" s="26">
        <f>SUM(B85:B89)</f>
        <v>2082.0668262299996</v>
      </c>
      <c r="C84" s="26">
        <f t="shared" ref="C84:T84" si="57">SUM(C85:C89)</f>
        <v>1044.4282464099999</v>
      </c>
      <c r="D84" s="26">
        <f t="shared" si="57"/>
        <v>1233.6245779999999</v>
      </c>
      <c r="E84" s="26">
        <f t="shared" si="57"/>
        <v>4360.1196506399992</v>
      </c>
      <c r="F84" s="26">
        <f t="shared" si="57"/>
        <v>2548.9075170029964</v>
      </c>
      <c r="G84" s="26">
        <f t="shared" si="57"/>
        <v>1303.7577939669995</v>
      </c>
      <c r="H84" s="26">
        <f t="shared" si="57"/>
        <v>1680.8201348900002</v>
      </c>
      <c r="I84" s="26">
        <f t="shared" si="57"/>
        <v>5533.4854458599966</v>
      </c>
      <c r="J84" s="26">
        <f t="shared" si="57"/>
        <v>9893.6050964999959</v>
      </c>
      <c r="K84" s="26">
        <f t="shared" si="57"/>
        <v>1957.4073697500014</v>
      </c>
      <c r="L84" s="26">
        <f t="shared" si="57"/>
        <v>1420.11582997</v>
      </c>
      <c r="M84" s="26">
        <f t="shared" si="57"/>
        <v>1276.8512242599995</v>
      </c>
      <c r="N84" s="26">
        <f t="shared" si="57"/>
        <v>4654.3744239800008</v>
      </c>
      <c r="O84" s="26">
        <f t="shared" si="57"/>
        <v>2039.9815353699973</v>
      </c>
      <c r="P84" s="26">
        <f t="shared" si="57"/>
        <v>1410.6126821299999</v>
      </c>
      <c r="Q84" s="26">
        <f t="shared" si="57"/>
        <v>1329.8985690499994</v>
      </c>
      <c r="R84" s="26">
        <f t="shared" si="57"/>
        <v>4780.4927865499976</v>
      </c>
      <c r="S84" s="26">
        <f t="shared" si="57"/>
        <v>9434.8672105299975</v>
      </c>
      <c r="T84" s="26">
        <f t="shared" si="57"/>
        <v>19328.472307029995</v>
      </c>
      <c r="U84" s="27">
        <f t="shared" si="48"/>
        <v>19328.472307029988</v>
      </c>
      <c r="V84" s="27">
        <f t="shared" si="49"/>
        <v>0</v>
      </c>
      <c r="W84" s="26"/>
      <c r="X84" s="26"/>
      <c r="Y84" s="26"/>
      <c r="Z84" s="26"/>
      <c r="AA84" s="26"/>
      <c r="AB84" s="26"/>
      <c r="AC84" s="26"/>
      <c r="AD84" s="26"/>
      <c r="AE84" s="26"/>
      <c r="AF84" s="26"/>
      <c r="AG84" s="26"/>
      <c r="AH84" s="26"/>
      <c r="AI84" s="26"/>
      <c r="AJ84" s="26"/>
      <c r="AK84" s="26"/>
    </row>
    <row r="85" spans="1:37" x14ac:dyDescent="0.3">
      <c r="A85" s="33" t="s">
        <v>68</v>
      </c>
      <c r="B85" s="29">
        <v>345.92667383000025</v>
      </c>
      <c r="C85" s="29">
        <v>206.84346410000001</v>
      </c>
      <c r="D85" s="29">
        <v>179.12493083999996</v>
      </c>
      <c r="E85" s="29">
        <f t="shared" ref="E85:E89" si="58">+B85+C85+D85</f>
        <v>731.89506877000019</v>
      </c>
      <c r="F85" s="29">
        <v>419.7839151799995</v>
      </c>
      <c r="G85" s="29">
        <v>212.92711557999999</v>
      </c>
      <c r="H85" s="29">
        <v>217.62386694999998</v>
      </c>
      <c r="I85" s="29">
        <f t="shared" ref="I85:I89" si="59">+F85+G85+H85</f>
        <v>850.3348977099995</v>
      </c>
      <c r="J85" s="29">
        <f t="shared" si="53"/>
        <v>1582.2299664799998</v>
      </c>
      <c r="K85" s="29">
        <v>330.39702554000002</v>
      </c>
      <c r="L85" s="29">
        <v>263.36036264000001</v>
      </c>
      <c r="M85" s="29">
        <v>174.21216387999993</v>
      </c>
      <c r="N85" s="29">
        <f t="shared" ref="N85:N89" si="60">+K85+L85+M85</f>
        <v>767.96955205999996</v>
      </c>
      <c r="O85" s="29">
        <v>260.61017578999997</v>
      </c>
      <c r="P85" s="29">
        <v>204.16721986000005</v>
      </c>
      <c r="Q85" s="29">
        <v>164.02124895000009</v>
      </c>
      <c r="R85" s="29">
        <f t="shared" ref="R85:R89" si="61">+O85+P85+Q85</f>
        <v>628.7986446000001</v>
      </c>
      <c r="S85" s="29">
        <f t="shared" si="47"/>
        <v>1396.7681966600001</v>
      </c>
      <c r="T85" s="29">
        <f t="shared" ref="T85:T89" si="62">+J85+S85</f>
        <v>2978.9981631399996</v>
      </c>
      <c r="U85" s="27">
        <f t="shared" si="48"/>
        <v>2978.9981631399996</v>
      </c>
      <c r="V85" s="27">
        <f t="shared" si="49"/>
        <v>0</v>
      </c>
    </row>
    <row r="86" spans="1:37" x14ac:dyDescent="0.3">
      <c r="A86" s="33" t="s">
        <v>69</v>
      </c>
      <c r="B86" s="29">
        <v>143.43536464000002</v>
      </c>
      <c r="C86" s="29">
        <v>66.316722920000004</v>
      </c>
      <c r="D86" s="29">
        <v>108.84399706000001</v>
      </c>
      <c r="E86" s="29">
        <f t="shared" si="58"/>
        <v>318.59608462</v>
      </c>
      <c r="F86" s="29">
        <v>152.22238335</v>
      </c>
      <c r="G86" s="29">
        <v>74.773959969999993</v>
      </c>
      <c r="H86" s="29">
        <v>136.45497928999998</v>
      </c>
      <c r="I86" s="29">
        <f t="shared" si="59"/>
        <v>363.45132260999998</v>
      </c>
      <c r="J86" s="29">
        <f t="shared" si="53"/>
        <v>682.04740722999998</v>
      </c>
      <c r="K86" s="29">
        <v>109.78408243000005</v>
      </c>
      <c r="L86" s="29">
        <v>92.564196550000005</v>
      </c>
      <c r="M86" s="29">
        <v>77.471261859999984</v>
      </c>
      <c r="N86" s="29">
        <f t="shared" si="60"/>
        <v>279.81954084000006</v>
      </c>
      <c r="O86" s="29">
        <v>83.890743299999954</v>
      </c>
      <c r="P86" s="29">
        <v>82.521387559999951</v>
      </c>
      <c r="Q86" s="29">
        <v>95.163798580000019</v>
      </c>
      <c r="R86" s="29">
        <f t="shared" si="61"/>
        <v>261.57592943999992</v>
      </c>
      <c r="S86" s="29">
        <f t="shared" si="47"/>
        <v>541.39547027999993</v>
      </c>
      <c r="T86" s="29">
        <f t="shared" si="62"/>
        <v>1223.44287751</v>
      </c>
      <c r="U86" s="27">
        <f t="shared" si="48"/>
        <v>1223.44287751</v>
      </c>
      <c r="V86" s="27">
        <f t="shared" si="49"/>
        <v>0</v>
      </c>
    </row>
    <row r="87" spans="1:37" x14ac:dyDescent="0.3">
      <c r="A87" s="33" t="s">
        <v>70</v>
      </c>
      <c r="B87" s="29">
        <v>217.57285056999987</v>
      </c>
      <c r="C87" s="29">
        <v>109.14270203999999</v>
      </c>
      <c r="D87" s="29">
        <v>147.64970986</v>
      </c>
      <c r="E87" s="29">
        <f t="shared" si="58"/>
        <v>474.36526246999983</v>
      </c>
      <c r="F87" s="29">
        <v>245.10149066000002</v>
      </c>
      <c r="G87" s="29">
        <v>140.70517269999999</v>
      </c>
      <c r="H87" s="29">
        <v>174.89615648999998</v>
      </c>
      <c r="I87" s="29">
        <f t="shared" si="59"/>
        <v>560.70281984999997</v>
      </c>
      <c r="J87" s="29">
        <f t="shared" si="53"/>
        <v>1035.0680823199998</v>
      </c>
      <c r="K87" s="29">
        <v>171.77280526999994</v>
      </c>
      <c r="L87" s="29">
        <v>142.81971667999997</v>
      </c>
      <c r="M87" s="29">
        <v>157.92134151999997</v>
      </c>
      <c r="N87" s="29">
        <f t="shared" si="60"/>
        <v>472.51386346999982</v>
      </c>
      <c r="O87" s="29">
        <v>189.78523640000026</v>
      </c>
      <c r="P87" s="29">
        <v>139.7585081</v>
      </c>
      <c r="Q87" s="29">
        <v>146.12455184000012</v>
      </c>
      <c r="R87" s="29">
        <f t="shared" si="61"/>
        <v>475.66829634000032</v>
      </c>
      <c r="S87" s="29">
        <f t="shared" si="47"/>
        <v>948.18215981000014</v>
      </c>
      <c r="T87" s="29">
        <f t="shared" si="62"/>
        <v>1983.2502421300001</v>
      </c>
      <c r="U87" s="27">
        <f t="shared" si="48"/>
        <v>1983.2502421300003</v>
      </c>
      <c r="V87" s="27">
        <f t="shared" si="49"/>
        <v>0</v>
      </c>
    </row>
    <row r="88" spans="1:37" ht="16.5" x14ac:dyDescent="0.3">
      <c r="A88" s="33" t="s">
        <v>185</v>
      </c>
      <c r="B88" s="29">
        <v>199.58207033999986</v>
      </c>
      <c r="C88" s="29">
        <v>110.44524505</v>
      </c>
      <c r="D88" s="29">
        <v>129.93503854000005</v>
      </c>
      <c r="E88" s="29">
        <f t="shared" si="58"/>
        <v>439.96235392999989</v>
      </c>
      <c r="F88" s="29">
        <v>230.28070846299988</v>
      </c>
      <c r="G88" s="29">
        <v>156.13098285699999</v>
      </c>
      <c r="H88" s="29">
        <v>233.71860161000001</v>
      </c>
      <c r="I88" s="29">
        <f t="shared" si="59"/>
        <v>620.13029292999988</v>
      </c>
      <c r="J88" s="29">
        <f t="shared" si="53"/>
        <v>1060.0926468599998</v>
      </c>
      <c r="K88" s="29">
        <v>171.16614303999998</v>
      </c>
      <c r="L88" s="29">
        <v>140.12696627000005</v>
      </c>
      <c r="M88" s="29">
        <v>122.78787335</v>
      </c>
      <c r="N88" s="29">
        <f t="shared" si="60"/>
        <v>434.08098266000002</v>
      </c>
      <c r="O88" s="29">
        <v>229.12284776999985</v>
      </c>
      <c r="P88" s="29">
        <v>133.64886079000001</v>
      </c>
      <c r="Q88" s="29">
        <v>136.90614516000002</v>
      </c>
      <c r="R88" s="29">
        <f t="shared" si="61"/>
        <v>499.67785371999992</v>
      </c>
      <c r="S88" s="29">
        <f t="shared" si="47"/>
        <v>933.75883637999993</v>
      </c>
      <c r="T88" s="29">
        <f t="shared" si="62"/>
        <v>1993.8514832399997</v>
      </c>
      <c r="U88" s="27">
        <f t="shared" si="48"/>
        <v>1993.8514832399997</v>
      </c>
      <c r="V88" s="27">
        <f t="shared" si="49"/>
        <v>0</v>
      </c>
    </row>
    <row r="89" spans="1:37" ht="16.5" x14ac:dyDescent="0.3">
      <c r="A89" s="33" t="s">
        <v>186</v>
      </c>
      <c r="B89" s="56">
        <v>1175.5498668499995</v>
      </c>
      <c r="C89" s="56">
        <v>551.68011229999991</v>
      </c>
      <c r="D89" s="56">
        <v>668.07090170000004</v>
      </c>
      <c r="E89" s="56">
        <f t="shared" si="58"/>
        <v>2395.3008808499994</v>
      </c>
      <c r="F89" s="56">
        <v>1501.5190193499968</v>
      </c>
      <c r="G89" s="56">
        <v>719.22056285999963</v>
      </c>
      <c r="H89" s="56">
        <v>918.12653055000044</v>
      </c>
      <c r="I89" s="56">
        <f t="shared" si="59"/>
        <v>3138.8661127599971</v>
      </c>
      <c r="J89" s="56">
        <f t="shared" si="53"/>
        <v>5534.166993609997</v>
      </c>
      <c r="K89" s="56">
        <v>1174.2873134700014</v>
      </c>
      <c r="L89" s="56">
        <v>781.24458782999989</v>
      </c>
      <c r="M89" s="56">
        <v>744.45858364999947</v>
      </c>
      <c r="N89" s="56">
        <f t="shared" si="60"/>
        <v>2699.9904849500008</v>
      </c>
      <c r="O89" s="56">
        <v>1276.5725321099974</v>
      </c>
      <c r="P89" s="56">
        <v>850.51670582000008</v>
      </c>
      <c r="Q89" s="56">
        <v>787.68282451999926</v>
      </c>
      <c r="R89" s="56">
        <f t="shared" si="61"/>
        <v>2914.7720624499971</v>
      </c>
      <c r="S89" s="56">
        <f t="shared" si="47"/>
        <v>5614.7625473999979</v>
      </c>
      <c r="T89" s="56">
        <f t="shared" si="62"/>
        <v>11148.929541009995</v>
      </c>
      <c r="U89" s="27">
        <f t="shared" si="48"/>
        <v>11148.929541009995</v>
      </c>
      <c r="V89" s="27">
        <f t="shared" si="49"/>
        <v>0</v>
      </c>
    </row>
    <row r="90" spans="1:37" x14ac:dyDescent="0.3">
      <c r="A90" s="33" t="s">
        <v>187</v>
      </c>
      <c r="B90" s="56"/>
      <c r="C90" s="56"/>
      <c r="D90" s="56"/>
      <c r="E90" s="56"/>
      <c r="F90" s="56"/>
      <c r="G90" s="56"/>
      <c r="H90" s="56"/>
      <c r="I90" s="56"/>
      <c r="J90" s="56"/>
      <c r="K90" s="56"/>
      <c r="L90" s="56"/>
      <c r="M90" s="56"/>
      <c r="N90" s="56"/>
      <c r="O90" s="56"/>
      <c r="P90" s="56"/>
      <c r="Q90" s="56"/>
      <c r="R90" s="56"/>
      <c r="S90" s="56"/>
      <c r="T90" s="56"/>
      <c r="U90" s="27">
        <f t="shared" si="48"/>
        <v>0</v>
      </c>
      <c r="V90" s="27">
        <f t="shared" si="49"/>
        <v>0</v>
      </c>
    </row>
    <row r="91" spans="1:37" x14ac:dyDescent="0.3">
      <c r="U91" s="27">
        <f t="shared" si="48"/>
        <v>0</v>
      </c>
      <c r="V91" s="27">
        <f t="shared" si="49"/>
        <v>0</v>
      </c>
    </row>
    <row r="92" spans="1:37" s="37" customFormat="1" x14ac:dyDescent="0.3">
      <c r="A92" s="37" t="s">
        <v>73</v>
      </c>
      <c r="B92" s="26">
        <f>SUM(B93:B95)</f>
        <v>1886.8102478400021</v>
      </c>
      <c r="C92" s="26">
        <f t="shared" ref="C92:T92" si="63">SUM(C93:C95)</f>
        <v>840.00392437000005</v>
      </c>
      <c r="D92" s="26">
        <f t="shared" si="63"/>
        <v>1122.1830674100001</v>
      </c>
      <c r="E92" s="26">
        <f t="shared" si="63"/>
        <v>3848.9972396200023</v>
      </c>
      <c r="F92" s="26">
        <f t="shared" si="63"/>
        <v>2081.9216445099992</v>
      </c>
      <c r="G92" s="26">
        <f t="shared" si="63"/>
        <v>1363.2717250200001</v>
      </c>
      <c r="H92" s="26">
        <f t="shared" si="63"/>
        <v>1654.9115489199999</v>
      </c>
      <c r="I92" s="26">
        <f t="shared" si="63"/>
        <v>5100.1049184499989</v>
      </c>
      <c r="J92" s="26">
        <f t="shared" si="63"/>
        <v>8949.1021580700017</v>
      </c>
      <c r="K92" s="26">
        <f t="shared" si="63"/>
        <v>1758.1540551699995</v>
      </c>
      <c r="L92" s="26">
        <f t="shared" si="63"/>
        <v>1217.4814999600001</v>
      </c>
      <c r="M92" s="26">
        <f t="shared" si="63"/>
        <v>1229.5340455800003</v>
      </c>
      <c r="N92" s="26">
        <f t="shared" si="63"/>
        <v>4205.1696007099999</v>
      </c>
      <c r="O92" s="26">
        <f t="shared" si="63"/>
        <v>1812.6463968200001</v>
      </c>
      <c r="P92" s="26">
        <f t="shared" si="63"/>
        <v>1277.1443814900001</v>
      </c>
      <c r="Q92" s="26">
        <f t="shared" si="63"/>
        <v>1052.2385347399997</v>
      </c>
      <c r="R92" s="26">
        <f t="shared" si="63"/>
        <v>4142.0293130499995</v>
      </c>
      <c r="S92" s="26">
        <f t="shared" si="63"/>
        <v>8347.1989137599994</v>
      </c>
      <c r="T92" s="26">
        <f t="shared" si="63"/>
        <v>17296.301071829999</v>
      </c>
      <c r="U92" s="27">
        <f t="shared" si="48"/>
        <v>17296.301071830003</v>
      </c>
      <c r="V92" s="27">
        <f t="shared" si="49"/>
        <v>0</v>
      </c>
      <c r="W92" s="26"/>
      <c r="X92" s="26"/>
      <c r="Y92" s="26"/>
      <c r="Z92" s="26"/>
      <c r="AA92" s="26"/>
      <c r="AB92" s="26"/>
      <c r="AC92" s="26"/>
      <c r="AD92" s="26"/>
      <c r="AE92" s="26"/>
      <c r="AF92" s="26"/>
      <c r="AG92" s="26"/>
      <c r="AH92" s="26"/>
      <c r="AI92" s="26"/>
      <c r="AJ92" s="26"/>
      <c r="AK92" s="26"/>
    </row>
    <row r="93" spans="1:37" x14ac:dyDescent="0.3">
      <c r="A93" s="33" t="s">
        <v>188</v>
      </c>
      <c r="B93" s="56">
        <v>1407.6339637400019</v>
      </c>
      <c r="C93" s="56">
        <v>613.97001025999998</v>
      </c>
      <c r="D93" s="56">
        <v>758.40656527000021</v>
      </c>
      <c r="E93" s="56">
        <f t="shared" ref="E93:E153" si="64">+B93+C93+D93</f>
        <v>2780.010539270002</v>
      </c>
      <c r="F93" s="56">
        <v>1585.9732910799987</v>
      </c>
      <c r="G93" s="56">
        <v>930.37663395999994</v>
      </c>
      <c r="H93" s="56">
        <v>1030.5333814299997</v>
      </c>
      <c r="I93" s="56">
        <f t="shared" ref="I93:I153" si="65">+F93+G93+H93</f>
        <v>3546.8833064699984</v>
      </c>
      <c r="J93" s="56">
        <f t="shared" si="53"/>
        <v>6326.89384574</v>
      </c>
      <c r="K93" s="56">
        <v>1256.3077152499995</v>
      </c>
      <c r="L93" s="56">
        <v>840.6565742800002</v>
      </c>
      <c r="M93" s="56">
        <v>891.76478467000038</v>
      </c>
      <c r="N93" s="56">
        <f t="shared" ref="N93:N153" si="66">+K93+L93+M93</f>
        <v>2988.7290742000005</v>
      </c>
      <c r="O93" s="56">
        <v>1366.1793214600004</v>
      </c>
      <c r="P93" s="56">
        <v>856.95054916000004</v>
      </c>
      <c r="Q93" s="56">
        <v>721.29233753999972</v>
      </c>
      <c r="R93" s="56">
        <f t="shared" ref="R93:R153" si="67">+O93+P93+Q93</f>
        <v>2944.4222081600001</v>
      </c>
      <c r="S93" s="56">
        <f t="shared" si="47"/>
        <v>5933.1512823600006</v>
      </c>
      <c r="T93" s="56">
        <f>+J93+S93</f>
        <v>12260.045128100001</v>
      </c>
      <c r="U93" s="27">
        <f t="shared" si="48"/>
        <v>12260.045128099999</v>
      </c>
      <c r="V93" s="27">
        <f t="shared" si="49"/>
        <v>0</v>
      </c>
    </row>
    <row r="94" spans="1:37" x14ac:dyDescent="0.3">
      <c r="A94" s="33" t="s">
        <v>189</v>
      </c>
      <c r="B94" s="56"/>
      <c r="C94" s="56"/>
      <c r="D94" s="56"/>
      <c r="E94" s="56"/>
      <c r="F94" s="56"/>
      <c r="G94" s="56"/>
      <c r="H94" s="56"/>
      <c r="I94" s="56"/>
      <c r="J94" s="56"/>
      <c r="K94" s="56"/>
      <c r="L94" s="56"/>
      <c r="M94" s="56"/>
      <c r="N94" s="56"/>
      <c r="O94" s="56"/>
      <c r="P94" s="56"/>
      <c r="Q94" s="56"/>
      <c r="R94" s="56"/>
      <c r="S94" s="56"/>
      <c r="T94" s="56"/>
      <c r="U94" s="27">
        <f t="shared" si="48"/>
        <v>0</v>
      </c>
      <c r="V94" s="27">
        <f t="shared" si="49"/>
        <v>0</v>
      </c>
    </row>
    <row r="95" spans="1:37" x14ac:dyDescent="0.3">
      <c r="A95" s="33" t="s">
        <v>190</v>
      </c>
      <c r="B95" s="56">
        <v>479.17628410000026</v>
      </c>
      <c r="C95" s="56">
        <v>226.03391411000001</v>
      </c>
      <c r="D95" s="56">
        <v>363.77650213999999</v>
      </c>
      <c r="E95" s="56">
        <f t="shared" si="64"/>
        <v>1068.9867003500003</v>
      </c>
      <c r="F95" s="56">
        <v>495.94835343000068</v>
      </c>
      <c r="G95" s="56">
        <v>432.8950910600002</v>
      </c>
      <c r="H95" s="56">
        <v>624.37816749000012</v>
      </c>
      <c r="I95" s="56">
        <f t="shared" si="65"/>
        <v>1553.2216119800009</v>
      </c>
      <c r="J95" s="56">
        <f t="shared" si="53"/>
        <v>2622.2083123300013</v>
      </c>
      <c r="K95" s="56">
        <v>501.84633991999988</v>
      </c>
      <c r="L95" s="56">
        <v>376.82492567999986</v>
      </c>
      <c r="M95" s="56">
        <v>337.76926090999996</v>
      </c>
      <c r="N95" s="56">
        <f t="shared" si="66"/>
        <v>1216.4405265099997</v>
      </c>
      <c r="O95" s="56">
        <v>446.46707535999968</v>
      </c>
      <c r="P95" s="56">
        <v>420.19383233000002</v>
      </c>
      <c r="Q95" s="56">
        <v>330.94619720000003</v>
      </c>
      <c r="R95" s="56">
        <f t="shared" si="67"/>
        <v>1197.6071048899998</v>
      </c>
      <c r="S95" s="56">
        <f t="shared" si="47"/>
        <v>2414.0476313999998</v>
      </c>
      <c r="T95" s="56">
        <f>+J95+S95</f>
        <v>5036.2559437300006</v>
      </c>
      <c r="U95" s="27">
        <f t="shared" si="48"/>
        <v>5036.2559437300006</v>
      </c>
      <c r="V95" s="27">
        <f t="shared" si="49"/>
        <v>0</v>
      </c>
    </row>
    <row r="96" spans="1:37" x14ac:dyDescent="0.3">
      <c r="A96" s="33" t="s">
        <v>191</v>
      </c>
      <c r="B96" s="56"/>
      <c r="C96" s="56"/>
      <c r="D96" s="56"/>
      <c r="E96" s="56"/>
      <c r="F96" s="56"/>
      <c r="G96" s="56"/>
      <c r="H96" s="56"/>
      <c r="I96" s="56"/>
      <c r="J96" s="56"/>
      <c r="K96" s="56"/>
      <c r="L96" s="56"/>
      <c r="M96" s="56"/>
      <c r="N96" s="56"/>
      <c r="O96" s="56"/>
      <c r="P96" s="56"/>
      <c r="Q96" s="56"/>
      <c r="R96" s="56"/>
      <c r="S96" s="56"/>
      <c r="T96" s="56"/>
      <c r="U96" s="27">
        <f t="shared" si="48"/>
        <v>0</v>
      </c>
      <c r="V96" s="27">
        <f t="shared" si="49"/>
        <v>0</v>
      </c>
    </row>
    <row r="97" spans="1:37" x14ac:dyDescent="0.3">
      <c r="U97" s="27">
        <f t="shared" si="48"/>
        <v>0</v>
      </c>
      <c r="V97" s="27">
        <f t="shared" si="49"/>
        <v>0</v>
      </c>
    </row>
    <row r="98" spans="1:37" s="37" customFormat="1" x14ac:dyDescent="0.3">
      <c r="A98" s="37" t="s">
        <v>76</v>
      </c>
      <c r="B98" s="26">
        <f>SUM(B99:B104)</f>
        <v>10384.669252140007</v>
      </c>
      <c r="C98" s="26">
        <f t="shared" ref="C98:T98" si="68">SUM(C99:C104)</f>
        <v>4959.3660135999999</v>
      </c>
      <c r="D98" s="26">
        <f t="shared" si="68"/>
        <v>5931.0188416400006</v>
      </c>
      <c r="E98" s="26">
        <f t="shared" si="68"/>
        <v>21275.054107380009</v>
      </c>
      <c r="F98" s="26">
        <f t="shared" si="68"/>
        <v>14694.379531780003</v>
      </c>
      <c r="G98" s="26">
        <f t="shared" si="68"/>
        <v>7921.9114221200007</v>
      </c>
      <c r="H98" s="26">
        <f t="shared" si="68"/>
        <v>6801.9686051899989</v>
      </c>
      <c r="I98" s="26">
        <f t="shared" si="68"/>
        <v>29418.259559090002</v>
      </c>
      <c r="J98" s="26">
        <f t="shared" si="68"/>
        <v>50693.313666470014</v>
      </c>
      <c r="K98" s="26">
        <f t="shared" si="68"/>
        <v>10225.870364149996</v>
      </c>
      <c r="L98" s="26">
        <f t="shared" si="68"/>
        <v>9340.3043512799995</v>
      </c>
      <c r="M98" s="26">
        <f t="shared" si="68"/>
        <v>6478.8541985399988</v>
      </c>
      <c r="N98" s="26">
        <f t="shared" si="68"/>
        <v>26045.028913969996</v>
      </c>
      <c r="O98" s="26">
        <f t="shared" si="68"/>
        <v>10129.75823698</v>
      </c>
      <c r="P98" s="26">
        <f t="shared" si="68"/>
        <v>9054.9429649000012</v>
      </c>
      <c r="Q98" s="26">
        <f t="shared" si="68"/>
        <v>5842.6195251499958</v>
      </c>
      <c r="R98" s="26">
        <f t="shared" si="68"/>
        <v>25027.320727029997</v>
      </c>
      <c r="S98" s="26">
        <f t="shared" si="68"/>
        <v>51072.349640999993</v>
      </c>
      <c r="T98" s="26">
        <f t="shared" si="68"/>
        <v>101765.66330747001</v>
      </c>
      <c r="U98" s="27">
        <f t="shared" si="48"/>
        <v>101765.66330746998</v>
      </c>
      <c r="V98" s="27">
        <f t="shared" si="49"/>
        <v>0</v>
      </c>
      <c r="W98" s="26"/>
      <c r="X98" s="26"/>
      <c r="Y98" s="26"/>
      <c r="Z98" s="26"/>
      <c r="AA98" s="26"/>
      <c r="AB98" s="26"/>
      <c r="AC98" s="26"/>
      <c r="AD98" s="26"/>
      <c r="AE98" s="26"/>
      <c r="AF98" s="26"/>
      <c r="AG98" s="26"/>
      <c r="AH98" s="26"/>
      <c r="AI98" s="26"/>
      <c r="AJ98" s="26"/>
      <c r="AK98" s="26"/>
    </row>
    <row r="99" spans="1:37" x14ac:dyDescent="0.3">
      <c r="A99" s="33" t="s">
        <v>77</v>
      </c>
      <c r="B99" s="29">
        <v>465.03252192000008</v>
      </c>
      <c r="C99" s="29">
        <v>273.79023915999994</v>
      </c>
      <c r="D99" s="29">
        <v>274.89859421999995</v>
      </c>
      <c r="E99" s="29">
        <f t="shared" si="64"/>
        <v>1013.7213552999999</v>
      </c>
      <c r="F99" s="29">
        <v>564.90743298000041</v>
      </c>
      <c r="G99" s="29">
        <v>311.18450071000007</v>
      </c>
      <c r="H99" s="29">
        <v>345.42975014000007</v>
      </c>
      <c r="I99" s="29">
        <f t="shared" si="65"/>
        <v>1221.5216838300005</v>
      </c>
      <c r="J99" s="29">
        <f t="shared" si="53"/>
        <v>2235.2430391300004</v>
      </c>
      <c r="K99" s="29">
        <v>521.4349556899997</v>
      </c>
      <c r="L99" s="29">
        <v>354.89632028</v>
      </c>
      <c r="M99" s="29">
        <v>413.13579879999998</v>
      </c>
      <c r="N99" s="29">
        <f t="shared" si="66"/>
        <v>1289.4670747699997</v>
      </c>
      <c r="O99" s="29">
        <v>439.86870581000034</v>
      </c>
      <c r="P99" s="29">
        <v>373.23998106000005</v>
      </c>
      <c r="Q99" s="29">
        <v>351.37682257999978</v>
      </c>
      <c r="R99" s="29">
        <f t="shared" si="67"/>
        <v>1164.4855094500001</v>
      </c>
      <c r="S99" s="29">
        <f t="shared" si="47"/>
        <v>2453.9525842200001</v>
      </c>
      <c r="T99" s="29">
        <f>+J99+S99</f>
        <v>4689.1956233500005</v>
      </c>
      <c r="U99" s="27">
        <f t="shared" si="48"/>
        <v>4689.1956233500005</v>
      </c>
      <c r="V99" s="27">
        <f t="shared" si="49"/>
        <v>0</v>
      </c>
    </row>
    <row r="100" spans="1:37" x14ac:dyDescent="0.3">
      <c r="A100" s="33" t="s">
        <v>192</v>
      </c>
      <c r="B100" s="56">
        <v>2496.0527582900017</v>
      </c>
      <c r="C100" s="56">
        <v>1187.0358526099997</v>
      </c>
      <c r="D100" s="56">
        <v>1588.4584717400003</v>
      </c>
      <c r="E100" s="56">
        <f t="shared" si="64"/>
        <v>5271.5470826400015</v>
      </c>
      <c r="F100" s="56">
        <v>3071.5190060900018</v>
      </c>
      <c r="G100" s="56">
        <v>1638.0847988599999</v>
      </c>
      <c r="H100" s="56">
        <v>1591.4268449599999</v>
      </c>
      <c r="I100" s="56">
        <f t="shared" si="65"/>
        <v>6301.0306499100025</v>
      </c>
      <c r="J100" s="56">
        <f t="shared" si="53"/>
        <v>11572.577732550004</v>
      </c>
      <c r="K100" s="56">
        <v>2539.1846295599998</v>
      </c>
      <c r="L100" s="56">
        <v>1838.23301283</v>
      </c>
      <c r="M100" s="56">
        <v>1727.6673435599996</v>
      </c>
      <c r="N100" s="56">
        <f t="shared" si="66"/>
        <v>6105.0849859499995</v>
      </c>
      <c r="O100" s="56">
        <v>2496.9495178499983</v>
      </c>
      <c r="P100" s="56">
        <v>1801.8184234900007</v>
      </c>
      <c r="Q100" s="56">
        <v>1330.426298509999</v>
      </c>
      <c r="R100" s="56">
        <f t="shared" si="67"/>
        <v>5629.1942398499978</v>
      </c>
      <c r="S100" s="56">
        <f t="shared" si="47"/>
        <v>11734.279225799997</v>
      </c>
      <c r="T100" s="56">
        <f>+J100+S100</f>
        <v>23306.856958349999</v>
      </c>
      <c r="U100" s="27">
        <f t="shared" si="48"/>
        <v>23306.856958350003</v>
      </c>
      <c r="V100" s="27">
        <f t="shared" si="49"/>
        <v>0</v>
      </c>
    </row>
    <row r="101" spans="1:37" x14ac:dyDescent="0.3">
      <c r="A101" s="33" t="s">
        <v>193</v>
      </c>
      <c r="B101" s="56"/>
      <c r="C101" s="56"/>
      <c r="D101" s="56"/>
      <c r="E101" s="56"/>
      <c r="F101" s="56"/>
      <c r="G101" s="56"/>
      <c r="H101" s="56"/>
      <c r="I101" s="56"/>
      <c r="J101" s="56"/>
      <c r="K101" s="56"/>
      <c r="L101" s="56"/>
      <c r="M101" s="56"/>
      <c r="N101" s="56"/>
      <c r="O101" s="56"/>
      <c r="P101" s="56"/>
      <c r="Q101" s="56"/>
      <c r="R101" s="56"/>
      <c r="S101" s="56"/>
      <c r="T101" s="56"/>
      <c r="U101" s="27">
        <f t="shared" si="48"/>
        <v>0</v>
      </c>
      <c r="V101" s="27">
        <f t="shared" si="49"/>
        <v>0</v>
      </c>
    </row>
    <row r="102" spans="1:37" x14ac:dyDescent="0.3">
      <c r="A102" s="33" t="s">
        <v>194</v>
      </c>
      <c r="B102" s="56"/>
      <c r="C102" s="56"/>
      <c r="D102" s="56"/>
      <c r="E102" s="56"/>
      <c r="F102" s="56"/>
      <c r="G102" s="56"/>
      <c r="H102" s="56"/>
      <c r="I102" s="56"/>
      <c r="J102" s="56"/>
      <c r="K102" s="56"/>
      <c r="L102" s="56"/>
      <c r="M102" s="56"/>
      <c r="N102" s="56"/>
      <c r="O102" s="56"/>
      <c r="P102" s="56"/>
      <c r="Q102" s="56"/>
      <c r="R102" s="56"/>
      <c r="S102" s="56"/>
      <c r="T102" s="56"/>
      <c r="U102" s="27">
        <f t="shared" si="48"/>
        <v>0</v>
      </c>
      <c r="V102" s="27">
        <f t="shared" si="49"/>
        <v>0</v>
      </c>
    </row>
    <row r="103" spans="1:37" x14ac:dyDescent="0.3">
      <c r="A103" s="33" t="s">
        <v>79</v>
      </c>
      <c r="B103" s="29">
        <v>2656.4439477300034</v>
      </c>
      <c r="C103" s="29">
        <v>1254.9518800800006</v>
      </c>
      <c r="D103" s="29">
        <v>1705.36450866</v>
      </c>
      <c r="E103" s="29">
        <f t="shared" si="64"/>
        <v>5616.7603364700044</v>
      </c>
      <c r="F103" s="29">
        <v>3498.58066469</v>
      </c>
      <c r="G103" s="29">
        <v>1804.2739307599998</v>
      </c>
      <c r="H103" s="29">
        <v>1798.542695409998</v>
      </c>
      <c r="I103" s="29">
        <f t="shared" si="65"/>
        <v>7101.3972908599972</v>
      </c>
      <c r="J103" s="29">
        <f t="shared" si="53"/>
        <v>12718.157627330002</v>
      </c>
      <c r="K103" s="29">
        <v>2696.566400589998</v>
      </c>
      <c r="L103" s="29">
        <v>2144.6538410599987</v>
      </c>
      <c r="M103" s="29">
        <v>2084.9302798799999</v>
      </c>
      <c r="N103" s="29">
        <f t="shared" si="66"/>
        <v>6926.1505215299967</v>
      </c>
      <c r="O103" s="29">
        <v>2754.0302410599979</v>
      </c>
      <c r="P103" s="29">
        <v>1935.2335360599993</v>
      </c>
      <c r="Q103" s="29">
        <v>1577.2383120799982</v>
      </c>
      <c r="R103" s="29">
        <f t="shared" si="67"/>
        <v>6266.5020891999957</v>
      </c>
      <c r="S103" s="29">
        <f t="shared" si="47"/>
        <v>13192.652610729992</v>
      </c>
      <c r="T103" s="29">
        <f>+J103+S103</f>
        <v>25910.810238059996</v>
      </c>
      <c r="U103" s="27">
        <f t="shared" si="48"/>
        <v>25910.810238059996</v>
      </c>
      <c r="V103" s="27">
        <f t="shared" si="49"/>
        <v>0</v>
      </c>
    </row>
    <row r="104" spans="1:37" ht="16.5" x14ac:dyDescent="0.3">
      <c r="A104" s="38" t="s">
        <v>195</v>
      </c>
      <c r="B104" s="29">
        <v>4767.1400242000018</v>
      </c>
      <c r="C104" s="29">
        <v>2243.5880417499998</v>
      </c>
      <c r="D104" s="29">
        <v>2362.2972670200006</v>
      </c>
      <c r="E104" s="29">
        <f t="shared" si="64"/>
        <v>9373.0253329700026</v>
      </c>
      <c r="F104" s="29">
        <v>7559.3724280200013</v>
      </c>
      <c r="G104" s="29">
        <v>4168.3681917900012</v>
      </c>
      <c r="H104" s="29">
        <v>3066.5693146800004</v>
      </c>
      <c r="I104" s="29">
        <f t="shared" si="65"/>
        <v>14794.309934490004</v>
      </c>
      <c r="J104" s="29">
        <f t="shared" si="53"/>
        <v>24167.335267460006</v>
      </c>
      <c r="K104" s="29">
        <v>4468.6843783099985</v>
      </c>
      <c r="L104" s="29">
        <v>5002.5211771100012</v>
      </c>
      <c r="M104" s="29">
        <v>2253.1207762999998</v>
      </c>
      <c r="N104" s="29">
        <f t="shared" si="66"/>
        <v>11724.32633172</v>
      </c>
      <c r="O104" s="29">
        <v>4438.9097722600027</v>
      </c>
      <c r="P104" s="29">
        <v>4944.6510242900004</v>
      </c>
      <c r="Q104" s="29">
        <v>2583.5780919799995</v>
      </c>
      <c r="R104" s="29">
        <f t="shared" si="67"/>
        <v>11967.138888530002</v>
      </c>
      <c r="S104" s="29">
        <f t="shared" si="47"/>
        <v>23691.46522025</v>
      </c>
      <c r="T104" s="29">
        <f>+J104+S104</f>
        <v>47858.800487710003</v>
      </c>
      <c r="U104" s="27">
        <f t="shared" si="48"/>
        <v>47858.800487710017</v>
      </c>
      <c r="V104" s="27">
        <f t="shared" si="49"/>
        <v>0</v>
      </c>
    </row>
    <row r="105" spans="1:37" x14ac:dyDescent="0.3">
      <c r="U105" s="27">
        <f t="shared" si="48"/>
        <v>0</v>
      </c>
      <c r="V105" s="27">
        <f t="shared" si="49"/>
        <v>0</v>
      </c>
    </row>
    <row r="106" spans="1:37" s="37" customFormat="1" x14ac:dyDescent="0.3">
      <c r="A106" s="37" t="s">
        <v>81</v>
      </c>
      <c r="B106" s="26">
        <f>SUM(B107:B113)</f>
        <v>1575.1140232299997</v>
      </c>
      <c r="C106" s="26">
        <f t="shared" ref="C106:T106" si="69">SUM(C107:C113)</f>
        <v>963.71054085000003</v>
      </c>
      <c r="D106" s="26">
        <f t="shared" si="69"/>
        <v>1201.5793110269999</v>
      </c>
      <c r="E106" s="26">
        <f t="shared" si="69"/>
        <v>3740.4038751069997</v>
      </c>
      <c r="F106" s="26">
        <f t="shared" si="69"/>
        <v>1946.9301958430005</v>
      </c>
      <c r="G106" s="26">
        <f t="shared" si="69"/>
        <v>1444.6480615299997</v>
      </c>
      <c r="H106" s="26">
        <f t="shared" si="69"/>
        <v>1384.1620750499997</v>
      </c>
      <c r="I106" s="26">
        <f t="shared" si="69"/>
        <v>4775.7403324230008</v>
      </c>
      <c r="J106" s="26">
        <f t="shared" si="69"/>
        <v>8516.1442075300001</v>
      </c>
      <c r="K106" s="26">
        <f t="shared" si="69"/>
        <v>1561.7370185299992</v>
      </c>
      <c r="L106" s="26">
        <f t="shared" si="69"/>
        <v>1125.34015258</v>
      </c>
      <c r="M106" s="26">
        <f t="shared" si="69"/>
        <v>1094.5116120600001</v>
      </c>
      <c r="N106" s="26">
        <f t="shared" si="69"/>
        <v>3781.5887831699993</v>
      </c>
      <c r="O106" s="26">
        <f t="shared" si="69"/>
        <v>1457.131304869999</v>
      </c>
      <c r="P106" s="26">
        <f t="shared" si="69"/>
        <v>1053.23774998</v>
      </c>
      <c r="Q106" s="26">
        <f t="shared" si="69"/>
        <v>1146.9201966400003</v>
      </c>
      <c r="R106" s="26">
        <f t="shared" si="69"/>
        <v>3657.2892514899991</v>
      </c>
      <c r="S106" s="26">
        <f t="shared" si="69"/>
        <v>7438.8780346599988</v>
      </c>
      <c r="T106" s="26">
        <f t="shared" si="69"/>
        <v>15955.022242189998</v>
      </c>
      <c r="U106" s="27">
        <f t="shared" si="48"/>
        <v>15955.022242189998</v>
      </c>
      <c r="V106" s="27">
        <f t="shared" si="49"/>
        <v>0</v>
      </c>
      <c r="W106" s="26"/>
      <c r="X106" s="26"/>
      <c r="Y106" s="26"/>
      <c r="Z106" s="26"/>
      <c r="AA106" s="26"/>
      <c r="AB106" s="26"/>
      <c r="AC106" s="26"/>
      <c r="AD106" s="26"/>
      <c r="AE106" s="26"/>
      <c r="AF106" s="26"/>
      <c r="AG106" s="26"/>
      <c r="AH106" s="26"/>
      <c r="AI106" s="26"/>
      <c r="AJ106" s="26"/>
      <c r="AK106" s="26"/>
    </row>
    <row r="107" spans="1:37" x14ac:dyDescent="0.3">
      <c r="A107" s="33" t="s">
        <v>196</v>
      </c>
      <c r="B107" s="56">
        <v>732.00193826999953</v>
      </c>
      <c r="C107" s="56">
        <v>384.11989563999998</v>
      </c>
      <c r="D107" s="56">
        <v>535.22788488699996</v>
      </c>
      <c r="E107" s="56">
        <f t="shared" si="64"/>
        <v>1651.3497187969997</v>
      </c>
      <c r="F107" s="56">
        <v>767.01994654300074</v>
      </c>
      <c r="G107" s="56">
        <v>654.25196737999988</v>
      </c>
      <c r="H107" s="56">
        <v>609.38911707999989</v>
      </c>
      <c r="I107" s="56">
        <f t="shared" si="65"/>
        <v>2030.6610310030005</v>
      </c>
      <c r="J107" s="56">
        <f t="shared" si="53"/>
        <v>3682.0107498000002</v>
      </c>
      <c r="K107" s="56">
        <v>620.22787740999968</v>
      </c>
      <c r="L107" s="56">
        <v>414.09028609000001</v>
      </c>
      <c r="M107" s="56">
        <v>468.27235317999993</v>
      </c>
      <c r="N107" s="56">
        <f t="shared" si="66"/>
        <v>1502.5905166799996</v>
      </c>
      <c r="O107" s="56">
        <v>603.89294285000005</v>
      </c>
      <c r="P107" s="56">
        <v>420.72077751</v>
      </c>
      <c r="Q107" s="56">
        <v>437.34065585000013</v>
      </c>
      <c r="R107" s="56">
        <f t="shared" si="67"/>
        <v>1461.9543762100002</v>
      </c>
      <c r="S107" s="56">
        <f t="shared" si="47"/>
        <v>2964.5448928899996</v>
      </c>
      <c r="T107" s="56">
        <f>+J107+S107</f>
        <v>6646.5556426900002</v>
      </c>
      <c r="U107" s="27">
        <f t="shared" si="48"/>
        <v>6646.5556426899993</v>
      </c>
      <c r="V107" s="27">
        <f t="shared" si="49"/>
        <v>0</v>
      </c>
    </row>
    <row r="108" spans="1:37" ht="16.5" x14ac:dyDescent="0.3">
      <c r="A108" s="33" t="s">
        <v>197</v>
      </c>
      <c r="B108" s="56"/>
      <c r="C108" s="56"/>
      <c r="D108" s="56"/>
      <c r="E108" s="56"/>
      <c r="F108" s="56"/>
      <c r="G108" s="56"/>
      <c r="H108" s="56"/>
      <c r="I108" s="56"/>
      <c r="J108" s="56"/>
      <c r="K108" s="56"/>
      <c r="L108" s="56"/>
      <c r="M108" s="56"/>
      <c r="N108" s="56"/>
      <c r="O108" s="56"/>
      <c r="P108" s="56"/>
      <c r="Q108" s="56"/>
      <c r="R108" s="56"/>
      <c r="S108" s="56"/>
      <c r="T108" s="56"/>
      <c r="U108" s="27">
        <f t="shared" si="48"/>
        <v>0</v>
      </c>
      <c r="V108" s="27">
        <f t="shared" si="49"/>
        <v>0</v>
      </c>
    </row>
    <row r="109" spans="1:37" ht="14.25" customHeight="1" x14ac:dyDescent="0.3">
      <c r="A109" s="33" t="s">
        <v>82</v>
      </c>
      <c r="B109" s="29">
        <v>92.928894579999948</v>
      </c>
      <c r="C109" s="29">
        <v>87.441532039999998</v>
      </c>
      <c r="D109" s="29">
        <v>105.35672006</v>
      </c>
      <c r="E109" s="29">
        <f t="shared" si="64"/>
        <v>285.72714667999992</v>
      </c>
      <c r="F109" s="29">
        <v>158.25498040000008</v>
      </c>
      <c r="G109" s="29">
        <v>94.087975239999977</v>
      </c>
      <c r="H109" s="29">
        <v>124.46004961</v>
      </c>
      <c r="I109" s="29">
        <f t="shared" si="65"/>
        <v>376.80300525000007</v>
      </c>
      <c r="J109" s="29">
        <f t="shared" si="53"/>
        <v>662.53015192999999</v>
      </c>
      <c r="K109" s="29">
        <v>122.35325513000001</v>
      </c>
      <c r="L109" s="29">
        <v>94.648009290000005</v>
      </c>
      <c r="M109" s="29">
        <v>92.273866099999992</v>
      </c>
      <c r="N109" s="29">
        <f t="shared" si="66"/>
        <v>309.27513052</v>
      </c>
      <c r="O109" s="29">
        <v>105.95387066999999</v>
      </c>
      <c r="P109" s="29">
        <v>81.327832959999995</v>
      </c>
      <c r="Q109" s="29">
        <v>88.202526090000006</v>
      </c>
      <c r="R109" s="29">
        <f t="shared" si="67"/>
        <v>275.48422971999997</v>
      </c>
      <c r="S109" s="29">
        <f t="shared" si="47"/>
        <v>584.75936023999998</v>
      </c>
      <c r="T109" s="29">
        <f>+J109+S109</f>
        <v>1247.2895121699999</v>
      </c>
      <c r="U109" s="27">
        <f t="shared" si="48"/>
        <v>1247.2895121699999</v>
      </c>
      <c r="V109" s="27">
        <f t="shared" si="49"/>
        <v>0</v>
      </c>
    </row>
    <row r="110" spans="1:37" ht="16.5" customHeight="1" x14ac:dyDescent="0.3">
      <c r="A110" s="33" t="s">
        <v>198</v>
      </c>
      <c r="B110" s="29">
        <v>346.60663426999997</v>
      </c>
      <c r="C110" s="29">
        <v>236.20026150999996</v>
      </c>
      <c r="D110" s="29">
        <v>223.16435230999997</v>
      </c>
      <c r="E110" s="29">
        <f t="shared" si="64"/>
        <v>805.97124808999979</v>
      </c>
      <c r="F110" s="29">
        <v>526.0679400299997</v>
      </c>
      <c r="G110" s="29">
        <v>365.52738347000002</v>
      </c>
      <c r="H110" s="29">
        <v>258.27603022</v>
      </c>
      <c r="I110" s="29">
        <f t="shared" si="65"/>
        <v>1149.8713537199997</v>
      </c>
      <c r="J110" s="29">
        <f t="shared" si="53"/>
        <v>1955.8426018099995</v>
      </c>
      <c r="K110" s="29">
        <v>435.06674869999978</v>
      </c>
      <c r="L110" s="29">
        <v>284.89693144000006</v>
      </c>
      <c r="M110" s="29">
        <v>219.6039036899999</v>
      </c>
      <c r="N110" s="29">
        <f t="shared" si="66"/>
        <v>939.56758382999976</v>
      </c>
      <c r="O110" s="29">
        <v>375.63244474999885</v>
      </c>
      <c r="P110" s="29">
        <v>281.33873381000006</v>
      </c>
      <c r="Q110" s="29">
        <v>252.72103081000003</v>
      </c>
      <c r="R110" s="29">
        <f t="shared" si="67"/>
        <v>909.69220936999886</v>
      </c>
      <c r="S110" s="29">
        <f t="shared" si="47"/>
        <v>1849.2597931999985</v>
      </c>
      <c r="T110" s="29">
        <f>+J110+S110</f>
        <v>3805.102395009998</v>
      </c>
      <c r="U110" s="27">
        <f t="shared" si="48"/>
        <v>3805.102395009998</v>
      </c>
      <c r="V110" s="27">
        <f t="shared" si="49"/>
        <v>0</v>
      </c>
    </row>
    <row r="111" spans="1:37" x14ac:dyDescent="0.3">
      <c r="A111" s="33" t="s">
        <v>84</v>
      </c>
      <c r="B111" s="29">
        <v>116.25736236999994</v>
      </c>
      <c r="C111" s="29">
        <v>83.511871849999991</v>
      </c>
      <c r="D111" s="29">
        <v>94.783651819999989</v>
      </c>
      <c r="E111" s="29">
        <f t="shared" si="64"/>
        <v>294.55288603999992</v>
      </c>
      <c r="F111" s="29">
        <v>142.12805235000002</v>
      </c>
      <c r="G111" s="29">
        <v>97.947359139999961</v>
      </c>
      <c r="H111" s="29">
        <v>131.00120686</v>
      </c>
      <c r="I111" s="29">
        <f t="shared" si="65"/>
        <v>371.07661834999999</v>
      </c>
      <c r="J111" s="29">
        <f t="shared" si="53"/>
        <v>665.62950438999997</v>
      </c>
      <c r="K111" s="29">
        <v>106.30767383</v>
      </c>
      <c r="L111" s="29">
        <v>108.36593691</v>
      </c>
      <c r="M111" s="29">
        <v>129.10164327000004</v>
      </c>
      <c r="N111" s="29">
        <f t="shared" si="66"/>
        <v>343.77525401000003</v>
      </c>
      <c r="O111" s="29">
        <v>107.23730353999997</v>
      </c>
      <c r="P111" s="29">
        <v>94.535883700000014</v>
      </c>
      <c r="Q111" s="29">
        <v>125.64944466</v>
      </c>
      <c r="R111" s="29">
        <f t="shared" si="67"/>
        <v>327.42263189999994</v>
      </c>
      <c r="S111" s="29">
        <f t="shared" si="47"/>
        <v>671.19788590999997</v>
      </c>
      <c r="T111" s="29">
        <f>+J111+S111</f>
        <v>1336.8273902999999</v>
      </c>
      <c r="U111" s="27">
        <f t="shared" si="48"/>
        <v>1336.8273903000002</v>
      </c>
      <c r="V111" s="27">
        <f t="shared" si="49"/>
        <v>0</v>
      </c>
    </row>
    <row r="112" spans="1:37" x14ac:dyDescent="0.3">
      <c r="A112" s="33" t="s">
        <v>85</v>
      </c>
      <c r="B112" s="29">
        <v>179.78672029000006</v>
      </c>
      <c r="C112" s="29">
        <v>109.52432390999998</v>
      </c>
      <c r="D112" s="29">
        <v>141.36349134999998</v>
      </c>
      <c r="E112" s="29">
        <f t="shared" si="64"/>
        <v>430.67453554999997</v>
      </c>
      <c r="F112" s="29">
        <v>189.16879795999998</v>
      </c>
      <c r="G112" s="29">
        <v>133.57158989999999</v>
      </c>
      <c r="H112" s="29">
        <v>156.41809167</v>
      </c>
      <c r="I112" s="29">
        <f t="shared" si="65"/>
        <v>479.15847952999991</v>
      </c>
      <c r="J112" s="29">
        <f t="shared" si="53"/>
        <v>909.83301507999988</v>
      </c>
      <c r="K112" s="29">
        <v>164.60338977000004</v>
      </c>
      <c r="L112" s="29">
        <v>117.83357887000003</v>
      </c>
      <c r="M112" s="29">
        <v>110.62940104</v>
      </c>
      <c r="N112" s="29">
        <f t="shared" si="66"/>
        <v>393.06636968000004</v>
      </c>
      <c r="O112" s="29">
        <v>154.34338565000004</v>
      </c>
      <c r="P112" s="29">
        <v>83.719182560000007</v>
      </c>
      <c r="Q112" s="29">
        <v>155.53405991</v>
      </c>
      <c r="R112" s="29">
        <f t="shared" si="67"/>
        <v>393.59662812000005</v>
      </c>
      <c r="S112" s="29">
        <f t="shared" si="47"/>
        <v>786.66299780000008</v>
      </c>
      <c r="T112" s="29">
        <f>+J112+S112</f>
        <v>1696.4960128799999</v>
      </c>
      <c r="U112" s="27">
        <f t="shared" si="48"/>
        <v>1696.4960128800003</v>
      </c>
      <c r="V112" s="27">
        <f t="shared" si="49"/>
        <v>0</v>
      </c>
    </row>
    <row r="113" spans="1:37" x14ac:dyDescent="0.3">
      <c r="A113" s="33" t="s">
        <v>86</v>
      </c>
      <c r="B113" s="29">
        <v>107.53247345000018</v>
      </c>
      <c r="C113" s="29">
        <v>62.912655900000004</v>
      </c>
      <c r="D113" s="29">
        <v>101.6832106</v>
      </c>
      <c r="E113" s="29">
        <f t="shared" si="64"/>
        <v>272.12833995000017</v>
      </c>
      <c r="F113" s="29">
        <v>164.29047856</v>
      </c>
      <c r="G113" s="29">
        <v>99.261786400000005</v>
      </c>
      <c r="H113" s="29">
        <v>104.61757960999998</v>
      </c>
      <c r="I113" s="29">
        <f t="shared" si="65"/>
        <v>368.16984457000001</v>
      </c>
      <c r="J113" s="29">
        <f t="shared" si="53"/>
        <v>640.29818452000018</v>
      </c>
      <c r="K113" s="29">
        <v>113.17807369000003</v>
      </c>
      <c r="L113" s="29">
        <v>105.50540998</v>
      </c>
      <c r="M113" s="29">
        <v>74.630444780000005</v>
      </c>
      <c r="N113" s="29">
        <f t="shared" si="66"/>
        <v>293.31392845000005</v>
      </c>
      <c r="O113" s="29">
        <v>110.07135741000013</v>
      </c>
      <c r="P113" s="29">
        <v>91.595339440000004</v>
      </c>
      <c r="Q113" s="29">
        <v>87.472479320000005</v>
      </c>
      <c r="R113" s="29">
        <f t="shared" si="67"/>
        <v>289.13917617000016</v>
      </c>
      <c r="S113" s="29">
        <f t="shared" si="47"/>
        <v>582.4531046200002</v>
      </c>
      <c r="T113" s="29">
        <f>+J113+S113</f>
        <v>1222.7512891400004</v>
      </c>
      <c r="U113" s="27">
        <f t="shared" si="48"/>
        <v>1222.7512891400006</v>
      </c>
      <c r="V113" s="27">
        <f t="shared" si="49"/>
        <v>0</v>
      </c>
    </row>
    <row r="114" spans="1:37" x14ac:dyDescent="0.3">
      <c r="U114" s="27">
        <f t="shared" si="48"/>
        <v>0</v>
      </c>
      <c r="V114" s="27">
        <f t="shared" si="49"/>
        <v>0</v>
      </c>
    </row>
    <row r="115" spans="1:37" s="37" customFormat="1" x14ac:dyDescent="0.3">
      <c r="A115" s="37" t="s">
        <v>88</v>
      </c>
      <c r="B115" s="26">
        <f>SUM(B116:B120)</f>
        <v>1151.6861902599996</v>
      </c>
      <c r="C115" s="26">
        <f t="shared" ref="C115:T115" si="70">SUM(C116:C120)</f>
        <v>586.16746979999994</v>
      </c>
      <c r="D115" s="26">
        <f t="shared" si="70"/>
        <v>715.34948891999989</v>
      </c>
      <c r="E115" s="26">
        <f t="shared" si="70"/>
        <v>2453.2031489799997</v>
      </c>
      <c r="F115" s="26">
        <f t="shared" si="70"/>
        <v>1210.79145771</v>
      </c>
      <c r="G115" s="26">
        <f t="shared" si="70"/>
        <v>822.60846186000015</v>
      </c>
      <c r="H115" s="26">
        <f t="shared" si="70"/>
        <v>877.19579248000002</v>
      </c>
      <c r="I115" s="26">
        <f t="shared" si="70"/>
        <v>2910.5957120500007</v>
      </c>
      <c r="J115" s="26">
        <f t="shared" si="70"/>
        <v>5363.7988610299999</v>
      </c>
      <c r="K115" s="26">
        <f t="shared" si="70"/>
        <v>1059.8588050100002</v>
      </c>
      <c r="L115" s="26">
        <f t="shared" si="70"/>
        <v>815.40029947000016</v>
      </c>
      <c r="M115" s="26">
        <f t="shared" si="70"/>
        <v>728.70545162999974</v>
      </c>
      <c r="N115" s="26">
        <f t="shared" si="70"/>
        <v>2603.9645561100001</v>
      </c>
      <c r="O115" s="26">
        <f t="shared" si="70"/>
        <v>997.43142845999978</v>
      </c>
      <c r="P115" s="26">
        <f t="shared" si="70"/>
        <v>818.27663044999986</v>
      </c>
      <c r="Q115" s="26">
        <f t="shared" si="70"/>
        <v>1039.3840442000003</v>
      </c>
      <c r="R115" s="26">
        <f t="shared" si="70"/>
        <v>2855.0921031099997</v>
      </c>
      <c r="S115" s="26">
        <f t="shared" si="70"/>
        <v>5459.0566592200003</v>
      </c>
      <c r="T115" s="26">
        <f t="shared" si="70"/>
        <v>10822.855520249999</v>
      </c>
      <c r="U115" s="27">
        <f t="shared" si="48"/>
        <v>10822.855520249999</v>
      </c>
      <c r="V115" s="27">
        <f t="shared" si="49"/>
        <v>0</v>
      </c>
      <c r="W115" s="26"/>
      <c r="X115" s="26"/>
      <c r="Y115" s="26"/>
      <c r="Z115" s="26"/>
      <c r="AA115" s="26"/>
      <c r="AB115" s="26"/>
      <c r="AC115" s="26"/>
      <c r="AD115" s="26"/>
      <c r="AE115" s="26"/>
      <c r="AF115" s="26"/>
      <c r="AG115" s="26"/>
      <c r="AH115" s="26"/>
      <c r="AI115" s="26"/>
      <c r="AJ115" s="26"/>
      <c r="AK115" s="26"/>
    </row>
    <row r="116" spans="1:37" x14ac:dyDescent="0.3">
      <c r="A116" s="33" t="s">
        <v>120</v>
      </c>
      <c r="B116" s="29">
        <v>33.705290060000003</v>
      </c>
      <c r="C116" s="29">
        <v>27.137944079999997</v>
      </c>
      <c r="D116" s="29">
        <v>36.811960970000008</v>
      </c>
      <c r="E116" s="29">
        <f t="shared" si="64"/>
        <v>97.655195110000008</v>
      </c>
      <c r="F116" s="29">
        <v>50.48175844</v>
      </c>
      <c r="G116" s="29">
        <v>38.955077269999997</v>
      </c>
      <c r="H116" s="29">
        <v>9.0154218700000008</v>
      </c>
      <c r="I116" s="29">
        <f t="shared" si="65"/>
        <v>98.452257579999994</v>
      </c>
      <c r="J116" s="29">
        <f t="shared" si="53"/>
        <v>196.10745269</v>
      </c>
      <c r="K116" s="29">
        <v>53.832193350000011</v>
      </c>
      <c r="L116" s="29">
        <v>42.10430963000001</v>
      </c>
      <c r="M116" s="29">
        <v>28.157514980000002</v>
      </c>
      <c r="N116" s="29">
        <f t="shared" si="66"/>
        <v>124.09401796000003</v>
      </c>
      <c r="O116" s="29">
        <v>36.954786510000012</v>
      </c>
      <c r="P116" s="29">
        <v>25.42460771</v>
      </c>
      <c r="Q116" s="29">
        <v>60.674269769999967</v>
      </c>
      <c r="R116" s="29">
        <f t="shared" si="67"/>
        <v>123.05366398999998</v>
      </c>
      <c r="S116" s="29">
        <f t="shared" si="47"/>
        <v>247.14768194999999</v>
      </c>
      <c r="T116" s="29">
        <f t="shared" ref="T116:T120" si="71">+J116+S116</f>
        <v>443.25513463999999</v>
      </c>
      <c r="U116" s="27">
        <f t="shared" si="48"/>
        <v>443.25513463999999</v>
      </c>
      <c r="V116" s="27">
        <f t="shared" si="49"/>
        <v>0</v>
      </c>
    </row>
    <row r="117" spans="1:37" x14ac:dyDescent="0.3">
      <c r="A117" s="33" t="s">
        <v>89</v>
      </c>
      <c r="B117" s="29">
        <v>264.65717735000021</v>
      </c>
      <c r="C117" s="29">
        <v>147.91768610999995</v>
      </c>
      <c r="D117" s="29">
        <v>146.56591999999995</v>
      </c>
      <c r="E117" s="29">
        <f t="shared" si="64"/>
        <v>559.14078346000019</v>
      </c>
      <c r="F117" s="29">
        <v>316.22074588000015</v>
      </c>
      <c r="G117" s="29">
        <v>203.32037122000003</v>
      </c>
      <c r="H117" s="29">
        <v>203.24530919999995</v>
      </c>
      <c r="I117" s="29">
        <f t="shared" si="65"/>
        <v>722.78642630000013</v>
      </c>
      <c r="J117" s="29">
        <f t="shared" si="53"/>
        <v>1281.9272097600003</v>
      </c>
      <c r="K117" s="29">
        <v>310.13554569000013</v>
      </c>
      <c r="L117" s="29">
        <v>174.43988829</v>
      </c>
      <c r="M117" s="29">
        <v>178.60437874999997</v>
      </c>
      <c r="N117" s="29">
        <f t="shared" si="66"/>
        <v>663.17981273000009</v>
      </c>
      <c r="O117" s="29">
        <v>267.18684470999949</v>
      </c>
      <c r="P117" s="29">
        <v>203.04481166999994</v>
      </c>
      <c r="Q117" s="29">
        <v>268.54621868000021</v>
      </c>
      <c r="R117" s="29">
        <f t="shared" si="67"/>
        <v>738.77787505999959</v>
      </c>
      <c r="S117" s="29">
        <f t="shared" si="47"/>
        <v>1401.9576877899997</v>
      </c>
      <c r="T117" s="29">
        <f t="shared" si="71"/>
        <v>2683.88489755</v>
      </c>
      <c r="U117" s="27">
        <f t="shared" si="48"/>
        <v>2683.8848975499996</v>
      </c>
      <c r="V117" s="27">
        <f t="shared" si="49"/>
        <v>0</v>
      </c>
    </row>
    <row r="118" spans="1:37" x14ac:dyDescent="0.3">
      <c r="A118" s="33" t="s">
        <v>90</v>
      </c>
      <c r="B118" s="29">
        <v>303.33589695999979</v>
      </c>
      <c r="C118" s="29">
        <v>126.59693467000001</v>
      </c>
      <c r="D118" s="29">
        <v>173.00058014999996</v>
      </c>
      <c r="E118" s="29">
        <f t="shared" si="64"/>
        <v>602.93341177999969</v>
      </c>
      <c r="F118" s="29">
        <v>232.67949051999994</v>
      </c>
      <c r="G118" s="29">
        <v>195.4618504200001</v>
      </c>
      <c r="H118" s="29">
        <v>174.58250741999993</v>
      </c>
      <c r="I118" s="29">
        <f t="shared" si="65"/>
        <v>602.72384836000003</v>
      </c>
      <c r="J118" s="29">
        <f t="shared" si="53"/>
        <v>1205.6572601399998</v>
      </c>
      <c r="K118" s="29">
        <v>223.02399921999998</v>
      </c>
      <c r="L118" s="29">
        <v>176.31029170000002</v>
      </c>
      <c r="M118" s="29">
        <v>185.09102585999995</v>
      </c>
      <c r="N118" s="29">
        <f t="shared" si="66"/>
        <v>584.42531678</v>
      </c>
      <c r="O118" s="29">
        <v>225.65704696999984</v>
      </c>
      <c r="P118" s="29">
        <v>206.14035197000001</v>
      </c>
      <c r="Q118" s="29">
        <v>258.82730318000006</v>
      </c>
      <c r="R118" s="29">
        <f t="shared" si="67"/>
        <v>690.62470211999994</v>
      </c>
      <c r="S118" s="29">
        <f t="shared" si="47"/>
        <v>1275.0500188999999</v>
      </c>
      <c r="T118" s="29">
        <f t="shared" si="71"/>
        <v>2480.7072790399998</v>
      </c>
      <c r="U118" s="27">
        <f t="shared" si="48"/>
        <v>2480.7072790399993</v>
      </c>
      <c r="V118" s="27">
        <f t="shared" si="49"/>
        <v>0</v>
      </c>
    </row>
    <row r="119" spans="1:37" x14ac:dyDescent="0.3">
      <c r="A119" s="33" t="s">
        <v>91</v>
      </c>
      <c r="B119" s="29">
        <v>77.39967396000003</v>
      </c>
      <c r="C119" s="29">
        <v>43.165876220000001</v>
      </c>
      <c r="D119" s="29">
        <v>75.361631610000018</v>
      </c>
      <c r="E119" s="29">
        <f t="shared" si="64"/>
        <v>195.92718179000005</v>
      </c>
      <c r="F119" s="29">
        <v>107.27068763000003</v>
      </c>
      <c r="G119" s="29">
        <v>80.12755181</v>
      </c>
      <c r="H119" s="29">
        <v>93.038790450000008</v>
      </c>
      <c r="I119" s="29">
        <f t="shared" si="65"/>
        <v>280.43702989000002</v>
      </c>
      <c r="J119" s="29">
        <f t="shared" si="53"/>
        <v>476.36421168000004</v>
      </c>
      <c r="K119" s="29">
        <v>56.012498300000011</v>
      </c>
      <c r="L119" s="29">
        <v>70.92316412000001</v>
      </c>
      <c r="M119" s="29">
        <v>87.649262159999978</v>
      </c>
      <c r="N119" s="29">
        <f t="shared" si="66"/>
        <v>214.58492458000001</v>
      </c>
      <c r="O119" s="29">
        <v>71.923551669999895</v>
      </c>
      <c r="P119" s="29">
        <v>61.562953469999989</v>
      </c>
      <c r="Q119" s="29">
        <v>134.39585111999997</v>
      </c>
      <c r="R119" s="29">
        <f t="shared" si="67"/>
        <v>267.88235625999982</v>
      </c>
      <c r="S119" s="29">
        <f t="shared" si="47"/>
        <v>482.46728083999983</v>
      </c>
      <c r="T119" s="29">
        <f t="shared" si="71"/>
        <v>958.83149251999987</v>
      </c>
      <c r="U119" s="27">
        <f t="shared" si="48"/>
        <v>958.8314925200001</v>
      </c>
      <c r="V119" s="27">
        <f t="shared" si="49"/>
        <v>0</v>
      </c>
    </row>
    <row r="120" spans="1:37" x14ac:dyDescent="0.3">
      <c r="A120" s="33" t="s">
        <v>93</v>
      </c>
      <c r="B120" s="29">
        <v>472.58815192999964</v>
      </c>
      <c r="C120" s="29">
        <v>241.34902871999998</v>
      </c>
      <c r="D120" s="29">
        <v>283.60939619000004</v>
      </c>
      <c r="E120" s="29">
        <f t="shared" si="64"/>
        <v>997.54657683999972</v>
      </c>
      <c r="F120" s="29">
        <v>504.13877524000003</v>
      </c>
      <c r="G120" s="29">
        <v>304.74361113999998</v>
      </c>
      <c r="H120" s="29">
        <v>397.31376354000014</v>
      </c>
      <c r="I120" s="29">
        <f t="shared" si="65"/>
        <v>1206.1961499200002</v>
      </c>
      <c r="J120" s="29">
        <f t="shared" si="53"/>
        <v>2203.7427267599996</v>
      </c>
      <c r="K120" s="29">
        <v>416.85456844999993</v>
      </c>
      <c r="L120" s="29">
        <v>351.6226457300001</v>
      </c>
      <c r="M120" s="29">
        <v>249.20326987999988</v>
      </c>
      <c r="N120" s="29">
        <f t="shared" si="66"/>
        <v>1017.6804840599999</v>
      </c>
      <c r="O120" s="29">
        <v>395.70919860000049</v>
      </c>
      <c r="P120" s="29">
        <v>322.10390562999999</v>
      </c>
      <c r="Q120" s="29">
        <v>316.94040145000002</v>
      </c>
      <c r="R120" s="29">
        <f t="shared" si="67"/>
        <v>1034.7535056800004</v>
      </c>
      <c r="S120" s="29">
        <f t="shared" si="47"/>
        <v>2052.4339897400005</v>
      </c>
      <c r="T120" s="29">
        <f t="shared" si="71"/>
        <v>4256.1767165000001</v>
      </c>
      <c r="U120" s="27">
        <f t="shared" si="48"/>
        <v>4256.1767165000001</v>
      </c>
      <c r="V120" s="27">
        <f t="shared" si="49"/>
        <v>0</v>
      </c>
    </row>
    <row r="121" spans="1:37" x14ac:dyDescent="0.3">
      <c r="U121" s="27">
        <f t="shared" si="48"/>
        <v>0</v>
      </c>
      <c r="V121" s="27">
        <f t="shared" si="49"/>
        <v>0</v>
      </c>
    </row>
    <row r="122" spans="1:37" s="37" customFormat="1" x14ac:dyDescent="0.3">
      <c r="A122" s="37" t="s">
        <v>94</v>
      </c>
      <c r="B122" s="26">
        <f>SUM(B123:B129)</f>
        <v>2118.8646112250012</v>
      </c>
      <c r="C122" s="26">
        <f t="shared" ref="C122:T122" si="72">SUM(C123:C129)</f>
        <v>1143.5230752400003</v>
      </c>
      <c r="D122" s="26">
        <f t="shared" si="72"/>
        <v>1486.2310316799999</v>
      </c>
      <c r="E122" s="26">
        <f t="shared" si="72"/>
        <v>4748.6187181450005</v>
      </c>
      <c r="F122" s="26">
        <f t="shared" si="72"/>
        <v>2315.1830587599989</v>
      </c>
      <c r="G122" s="26">
        <f t="shared" si="72"/>
        <v>1294.2799538999998</v>
      </c>
      <c r="H122" s="26">
        <f t="shared" si="72"/>
        <v>1957.0193448800003</v>
      </c>
      <c r="I122" s="26">
        <f t="shared" si="72"/>
        <v>5566.4823575399996</v>
      </c>
      <c r="J122" s="26">
        <f t="shared" si="72"/>
        <v>10315.101075684999</v>
      </c>
      <c r="K122" s="26">
        <f t="shared" si="72"/>
        <v>1991.0322889500007</v>
      </c>
      <c r="L122" s="26">
        <f t="shared" si="72"/>
        <v>1405.6457935400003</v>
      </c>
      <c r="M122" s="26">
        <f t="shared" si="72"/>
        <v>1324.1677641100002</v>
      </c>
      <c r="N122" s="26">
        <f t="shared" si="72"/>
        <v>4720.8458466000011</v>
      </c>
      <c r="O122" s="26">
        <f t="shared" si="72"/>
        <v>1788.5680010199981</v>
      </c>
      <c r="P122" s="26">
        <f t="shared" si="72"/>
        <v>1407.0463612500002</v>
      </c>
      <c r="Q122" s="26">
        <f t="shared" si="72"/>
        <v>1391.1755128699997</v>
      </c>
      <c r="R122" s="26">
        <f t="shared" si="72"/>
        <v>4586.789875139998</v>
      </c>
      <c r="S122" s="26">
        <f t="shared" si="72"/>
        <v>9307.63572174</v>
      </c>
      <c r="T122" s="26">
        <f t="shared" si="72"/>
        <v>19622.736797425001</v>
      </c>
      <c r="U122" s="27">
        <f t="shared" si="48"/>
        <v>19622.736797424994</v>
      </c>
      <c r="V122" s="27">
        <f t="shared" si="49"/>
        <v>0</v>
      </c>
      <c r="W122" s="26"/>
      <c r="X122" s="26"/>
      <c r="Y122" s="26"/>
      <c r="Z122" s="26"/>
      <c r="AA122" s="26"/>
      <c r="AB122" s="26"/>
      <c r="AC122" s="26"/>
      <c r="AD122" s="26"/>
      <c r="AE122" s="26"/>
      <c r="AF122" s="26"/>
      <c r="AG122" s="26"/>
      <c r="AH122" s="26"/>
      <c r="AI122" s="26"/>
      <c r="AJ122" s="26"/>
      <c r="AK122" s="26"/>
    </row>
    <row r="123" spans="1:37" x14ac:dyDescent="0.3">
      <c r="A123" s="33" t="s">
        <v>95</v>
      </c>
      <c r="B123" s="29">
        <v>383.42102227000026</v>
      </c>
      <c r="C123" s="29">
        <v>217.37479922</v>
      </c>
      <c r="D123" s="29">
        <v>264.18121609000013</v>
      </c>
      <c r="E123" s="29">
        <f t="shared" si="64"/>
        <v>864.97703758000034</v>
      </c>
      <c r="F123" s="29">
        <v>459.61398974999963</v>
      </c>
      <c r="G123" s="29">
        <v>252.41122194999994</v>
      </c>
      <c r="H123" s="29">
        <v>335.00475311000002</v>
      </c>
      <c r="I123" s="29">
        <f t="shared" si="65"/>
        <v>1047.0299648099995</v>
      </c>
      <c r="J123" s="29">
        <f t="shared" si="53"/>
        <v>1912.0070023899998</v>
      </c>
      <c r="K123" s="29">
        <v>348.07208701000019</v>
      </c>
      <c r="L123" s="29">
        <v>263.80956459999999</v>
      </c>
      <c r="M123" s="29">
        <v>232.87628768999994</v>
      </c>
      <c r="N123" s="29">
        <f t="shared" si="66"/>
        <v>844.75793930000009</v>
      </c>
      <c r="O123" s="29">
        <v>343.65042875999973</v>
      </c>
      <c r="P123" s="29">
        <v>293.06586383000013</v>
      </c>
      <c r="Q123" s="29">
        <v>282.9247839599999</v>
      </c>
      <c r="R123" s="29">
        <f t="shared" si="67"/>
        <v>919.64107654999975</v>
      </c>
      <c r="S123" s="29">
        <f t="shared" si="47"/>
        <v>1764.3990158499998</v>
      </c>
      <c r="T123" s="29">
        <f>+J123+S123</f>
        <v>3676.4060182399999</v>
      </c>
      <c r="U123" s="27">
        <f t="shared" si="48"/>
        <v>3676.4060182400003</v>
      </c>
      <c r="V123" s="27">
        <f t="shared" si="49"/>
        <v>0</v>
      </c>
    </row>
    <row r="124" spans="1:37" ht="16.5" x14ac:dyDescent="0.3">
      <c r="A124" s="33" t="s">
        <v>199</v>
      </c>
      <c r="B124" s="56">
        <v>93.643167285000061</v>
      </c>
      <c r="C124" s="56">
        <v>72.26133969</v>
      </c>
      <c r="D124" s="56">
        <v>98.428672950000006</v>
      </c>
      <c r="E124" s="56">
        <f t="shared" si="64"/>
        <v>264.33317992500008</v>
      </c>
      <c r="F124" s="56">
        <v>161.14891983999999</v>
      </c>
      <c r="G124" s="56">
        <v>99.546190579999987</v>
      </c>
      <c r="H124" s="56">
        <v>158.55182108000005</v>
      </c>
      <c r="I124" s="56">
        <f t="shared" si="65"/>
        <v>419.24693150000007</v>
      </c>
      <c r="J124" s="56">
        <f t="shared" si="53"/>
        <v>683.58011142500015</v>
      </c>
      <c r="K124" s="56">
        <v>101.03935270000002</v>
      </c>
      <c r="L124" s="56">
        <v>78.739932329999988</v>
      </c>
      <c r="M124" s="56">
        <v>82.971855349999998</v>
      </c>
      <c r="N124" s="56">
        <f t="shared" si="66"/>
        <v>262.75114038000004</v>
      </c>
      <c r="O124" s="56">
        <v>111.13333770999995</v>
      </c>
      <c r="P124" s="56">
        <v>77.317163140000019</v>
      </c>
      <c r="Q124" s="56">
        <v>99.878428159999999</v>
      </c>
      <c r="R124" s="56">
        <f t="shared" si="67"/>
        <v>288.32892900999997</v>
      </c>
      <c r="S124" s="56">
        <f t="shared" si="47"/>
        <v>551.08006939000006</v>
      </c>
      <c r="T124" s="56">
        <f>+J124+S124</f>
        <v>1234.6601808150003</v>
      </c>
      <c r="U124" s="27">
        <f t="shared" si="48"/>
        <v>1234.6601808150003</v>
      </c>
      <c r="V124" s="27">
        <f t="shared" si="49"/>
        <v>0</v>
      </c>
    </row>
    <row r="125" spans="1:37" x14ac:dyDescent="0.3">
      <c r="A125" s="33" t="s">
        <v>200</v>
      </c>
      <c r="B125" s="56"/>
      <c r="C125" s="56"/>
      <c r="D125" s="56"/>
      <c r="E125" s="56"/>
      <c r="F125" s="56"/>
      <c r="G125" s="56"/>
      <c r="H125" s="56"/>
      <c r="I125" s="56"/>
      <c r="J125" s="56"/>
      <c r="K125" s="56"/>
      <c r="L125" s="56"/>
      <c r="M125" s="56"/>
      <c r="N125" s="56"/>
      <c r="O125" s="56"/>
      <c r="P125" s="56"/>
      <c r="Q125" s="56"/>
      <c r="R125" s="56"/>
      <c r="S125" s="56"/>
      <c r="T125" s="56"/>
      <c r="U125" s="27">
        <f t="shared" si="48"/>
        <v>0</v>
      </c>
      <c r="V125" s="27">
        <f t="shared" si="49"/>
        <v>0</v>
      </c>
    </row>
    <row r="126" spans="1:37" ht="16.5" x14ac:dyDescent="0.3">
      <c r="A126" s="33" t="s">
        <v>201</v>
      </c>
      <c r="B126" s="29">
        <v>1111.3522688500004</v>
      </c>
      <c r="C126" s="29">
        <v>578.5328474600002</v>
      </c>
      <c r="D126" s="29">
        <v>813.02083215999983</v>
      </c>
      <c r="E126" s="29">
        <f t="shared" si="64"/>
        <v>2502.9059484700006</v>
      </c>
      <c r="F126" s="29">
        <v>1130.567824669999</v>
      </c>
      <c r="G126" s="29">
        <v>605.56855497999982</v>
      </c>
      <c r="H126" s="29">
        <v>1060.7073381600003</v>
      </c>
      <c r="I126" s="29">
        <f t="shared" si="65"/>
        <v>2796.8437178099994</v>
      </c>
      <c r="J126" s="29">
        <f t="shared" si="53"/>
        <v>5299.7496662800004</v>
      </c>
      <c r="K126" s="29">
        <v>1075.4477375400004</v>
      </c>
      <c r="L126" s="29">
        <v>697.85121011000024</v>
      </c>
      <c r="M126" s="29">
        <v>703.58875172000023</v>
      </c>
      <c r="N126" s="29">
        <f t="shared" si="66"/>
        <v>2476.887699370001</v>
      </c>
      <c r="O126" s="29">
        <v>883.82133260999854</v>
      </c>
      <c r="P126" s="29">
        <v>634.21503491999999</v>
      </c>
      <c r="Q126" s="29">
        <v>692.5029860599999</v>
      </c>
      <c r="R126" s="29">
        <f t="shared" si="67"/>
        <v>2210.5393535899984</v>
      </c>
      <c r="S126" s="29">
        <f t="shared" si="47"/>
        <v>4687.4270529599999</v>
      </c>
      <c r="T126" s="29">
        <f>+J126+S126</f>
        <v>9987.1767192400002</v>
      </c>
      <c r="U126" s="27">
        <f t="shared" si="48"/>
        <v>9987.1767192399984</v>
      </c>
      <c r="V126" s="27">
        <f t="shared" si="49"/>
        <v>0</v>
      </c>
    </row>
    <row r="127" spans="1:37" x14ac:dyDescent="0.3">
      <c r="A127" s="33" t="s">
        <v>202</v>
      </c>
      <c r="B127" s="56">
        <v>275.22670412000014</v>
      </c>
      <c r="C127" s="56">
        <v>139.23102291000001</v>
      </c>
      <c r="D127" s="56">
        <v>155.07518401000004</v>
      </c>
      <c r="E127" s="56">
        <f t="shared" si="64"/>
        <v>569.53291104000016</v>
      </c>
      <c r="F127" s="56">
        <v>319.38788982000017</v>
      </c>
      <c r="G127" s="56">
        <v>190.10471055000005</v>
      </c>
      <c r="H127" s="56">
        <v>201.82071461000007</v>
      </c>
      <c r="I127" s="56">
        <f t="shared" si="65"/>
        <v>711.31331498000031</v>
      </c>
      <c r="J127" s="56">
        <f t="shared" si="53"/>
        <v>1280.8462260200004</v>
      </c>
      <c r="K127" s="56">
        <v>280.56570308000011</v>
      </c>
      <c r="L127" s="56">
        <v>181.23720860000003</v>
      </c>
      <c r="M127" s="56">
        <v>164.37177056000002</v>
      </c>
      <c r="N127" s="56">
        <f t="shared" si="66"/>
        <v>626.17468224000015</v>
      </c>
      <c r="O127" s="56">
        <v>223.97288129000043</v>
      </c>
      <c r="P127" s="56">
        <v>240.81079116000001</v>
      </c>
      <c r="Q127" s="56">
        <v>151.04208720000005</v>
      </c>
      <c r="R127" s="56">
        <f t="shared" si="67"/>
        <v>615.82575965000046</v>
      </c>
      <c r="S127" s="56">
        <f t="shared" si="47"/>
        <v>1242.0004418900007</v>
      </c>
      <c r="T127" s="56">
        <f>+J127+S127</f>
        <v>2522.8466679100011</v>
      </c>
      <c r="U127" s="27">
        <f t="shared" si="48"/>
        <v>2522.8466679100011</v>
      </c>
      <c r="V127" s="27">
        <f t="shared" si="49"/>
        <v>0</v>
      </c>
    </row>
    <row r="128" spans="1:37" x14ac:dyDescent="0.3">
      <c r="A128" s="33" t="s">
        <v>203</v>
      </c>
      <c r="B128" s="56"/>
      <c r="C128" s="56"/>
      <c r="D128" s="56"/>
      <c r="E128" s="56"/>
      <c r="F128" s="56"/>
      <c r="G128" s="56"/>
      <c r="H128" s="56"/>
      <c r="I128" s="56"/>
      <c r="J128" s="56"/>
      <c r="K128" s="56"/>
      <c r="L128" s="56"/>
      <c r="M128" s="56"/>
      <c r="N128" s="56"/>
      <c r="O128" s="56"/>
      <c r="P128" s="56"/>
      <c r="Q128" s="56"/>
      <c r="R128" s="56"/>
      <c r="S128" s="56"/>
      <c r="T128" s="56"/>
      <c r="U128" s="27">
        <f t="shared" si="48"/>
        <v>0</v>
      </c>
      <c r="V128" s="27">
        <f t="shared" si="49"/>
        <v>0</v>
      </c>
    </row>
    <row r="129" spans="1:37" x14ac:dyDescent="0.3">
      <c r="A129" s="33" t="s">
        <v>97</v>
      </c>
      <c r="B129" s="29">
        <v>255.22144870000011</v>
      </c>
      <c r="C129" s="29">
        <v>136.12306596000002</v>
      </c>
      <c r="D129" s="29">
        <v>155.52512646999998</v>
      </c>
      <c r="E129" s="29">
        <f t="shared" si="64"/>
        <v>546.8696411300001</v>
      </c>
      <c r="F129" s="29">
        <v>244.46443468000007</v>
      </c>
      <c r="G129" s="29">
        <v>146.64927584000009</v>
      </c>
      <c r="H129" s="29">
        <v>200.93471792</v>
      </c>
      <c r="I129" s="29">
        <f t="shared" si="65"/>
        <v>592.04842844000018</v>
      </c>
      <c r="J129" s="29">
        <f t="shared" si="53"/>
        <v>1138.9180695700002</v>
      </c>
      <c r="K129" s="29">
        <v>185.90740862000001</v>
      </c>
      <c r="L129" s="29">
        <v>184.00787790000001</v>
      </c>
      <c r="M129" s="29">
        <v>140.35909879000002</v>
      </c>
      <c r="N129" s="29">
        <f t="shared" si="66"/>
        <v>510.27438531000001</v>
      </c>
      <c r="O129" s="29">
        <v>225.99002064999939</v>
      </c>
      <c r="P129" s="29">
        <v>161.63750819999998</v>
      </c>
      <c r="Q129" s="29">
        <v>164.82722749000001</v>
      </c>
      <c r="R129" s="29">
        <f t="shared" si="67"/>
        <v>552.45475633999945</v>
      </c>
      <c r="S129" s="29">
        <f t="shared" si="47"/>
        <v>1062.7291416499995</v>
      </c>
      <c r="T129" s="29">
        <f>+J129+S129</f>
        <v>2201.6472112199999</v>
      </c>
      <c r="U129" s="27">
        <f t="shared" si="48"/>
        <v>2201.6472112199995</v>
      </c>
      <c r="V129" s="27">
        <f t="shared" si="49"/>
        <v>0</v>
      </c>
    </row>
    <row r="130" spans="1:37" x14ac:dyDescent="0.3">
      <c r="U130" s="27">
        <f t="shared" si="48"/>
        <v>0</v>
      </c>
      <c r="V130" s="27">
        <f t="shared" si="49"/>
        <v>0</v>
      </c>
    </row>
    <row r="131" spans="1:37" s="37" customFormat="1" x14ac:dyDescent="0.3">
      <c r="A131" s="37" t="s">
        <v>100</v>
      </c>
      <c r="B131" s="26">
        <f>SUM(B132:B138)</f>
        <v>6258.3549144900026</v>
      </c>
      <c r="C131" s="26">
        <f t="shared" ref="C131:T131" si="73">SUM(C132:C138)</f>
        <v>3139.1934751399995</v>
      </c>
      <c r="D131" s="26">
        <f t="shared" si="73"/>
        <v>2928.3882322700001</v>
      </c>
      <c r="E131" s="26">
        <f t="shared" si="73"/>
        <v>12325.936621900002</v>
      </c>
      <c r="F131" s="26">
        <f t="shared" si="73"/>
        <v>8424.6001160899978</v>
      </c>
      <c r="G131" s="26">
        <f t="shared" si="73"/>
        <v>5179.9142051099989</v>
      </c>
      <c r="H131" s="26">
        <f t="shared" si="73"/>
        <v>3598.9930100499996</v>
      </c>
      <c r="I131" s="26">
        <f t="shared" si="73"/>
        <v>17203.507331249999</v>
      </c>
      <c r="J131" s="26">
        <f t="shared" si="73"/>
        <v>29529.443953149999</v>
      </c>
      <c r="K131" s="26">
        <f t="shared" si="73"/>
        <v>5768.0887028999987</v>
      </c>
      <c r="L131" s="26">
        <f t="shared" si="73"/>
        <v>4840.9338670899997</v>
      </c>
      <c r="M131" s="26">
        <f t="shared" si="73"/>
        <v>3503.246384850001</v>
      </c>
      <c r="N131" s="26">
        <f t="shared" si="73"/>
        <v>14112.268954839998</v>
      </c>
      <c r="O131" s="26">
        <f t="shared" si="73"/>
        <v>5561.4258416700031</v>
      </c>
      <c r="P131" s="26">
        <f t="shared" si="73"/>
        <v>5662.633612579999</v>
      </c>
      <c r="Q131" s="26">
        <f t="shared" si="73"/>
        <v>3287.4845614599994</v>
      </c>
      <c r="R131" s="26">
        <f t="shared" si="73"/>
        <v>14511.544015710002</v>
      </c>
      <c r="S131" s="26">
        <f t="shared" si="73"/>
        <v>28623.81297055</v>
      </c>
      <c r="T131" s="26">
        <f t="shared" si="73"/>
        <v>58153.256923699999</v>
      </c>
      <c r="U131" s="27">
        <f t="shared" si="48"/>
        <v>58153.256923700006</v>
      </c>
      <c r="V131" s="27">
        <f t="shared" si="49"/>
        <v>0</v>
      </c>
      <c r="W131" s="26"/>
      <c r="X131" s="26"/>
      <c r="Y131" s="26"/>
      <c r="Z131" s="26"/>
      <c r="AA131" s="26"/>
      <c r="AB131" s="26"/>
      <c r="AC131" s="26"/>
      <c r="AD131" s="26"/>
      <c r="AE131" s="26"/>
      <c r="AF131" s="26"/>
      <c r="AG131" s="26"/>
      <c r="AH131" s="26"/>
      <c r="AI131" s="26"/>
      <c r="AJ131" s="26"/>
      <c r="AK131" s="26"/>
    </row>
    <row r="132" spans="1:37" x14ac:dyDescent="0.3">
      <c r="A132" s="33" t="s">
        <v>204</v>
      </c>
      <c r="B132" s="56">
        <v>535.80439964999869</v>
      </c>
      <c r="C132" s="56">
        <v>287.71274790000007</v>
      </c>
      <c r="D132" s="56">
        <v>370.40771193000006</v>
      </c>
      <c r="E132" s="56">
        <f t="shared" si="64"/>
        <v>1193.9248594799988</v>
      </c>
      <c r="F132" s="56">
        <v>719.3157512400004</v>
      </c>
      <c r="G132" s="56">
        <v>395.48684448000006</v>
      </c>
      <c r="H132" s="56">
        <v>474.65476986999983</v>
      </c>
      <c r="I132" s="56">
        <f t="shared" si="65"/>
        <v>1589.4573655900003</v>
      </c>
      <c r="J132" s="56">
        <f>+E132+I132</f>
        <v>2783.3822250699991</v>
      </c>
      <c r="K132" s="56">
        <v>495.13644460000035</v>
      </c>
      <c r="L132" s="56">
        <v>440.48554791999993</v>
      </c>
      <c r="M132" s="56">
        <v>425.40803389999991</v>
      </c>
      <c r="N132" s="56">
        <f t="shared" si="66"/>
        <v>1361.0300264200002</v>
      </c>
      <c r="O132" s="56">
        <v>496.12715788999935</v>
      </c>
      <c r="P132" s="56">
        <v>496.49551525999976</v>
      </c>
      <c r="Q132" s="56">
        <v>406.36268486</v>
      </c>
      <c r="R132" s="56">
        <f t="shared" si="67"/>
        <v>1398.9853580099991</v>
      </c>
      <c r="S132" s="56">
        <f t="shared" ref="S132:S172" si="74">+N132+R132</f>
        <v>2760.0153844299994</v>
      </c>
      <c r="T132" s="56">
        <f>+J132+S132</f>
        <v>5543.397609499998</v>
      </c>
      <c r="U132" s="27">
        <f t="shared" si="48"/>
        <v>5543.397609499998</v>
      </c>
      <c r="V132" s="27">
        <f t="shared" si="49"/>
        <v>0</v>
      </c>
    </row>
    <row r="133" spans="1:37" x14ac:dyDescent="0.3">
      <c r="A133" s="33" t="s">
        <v>205</v>
      </c>
      <c r="B133" s="56"/>
      <c r="C133" s="56"/>
      <c r="D133" s="56"/>
      <c r="E133" s="56"/>
      <c r="F133" s="56"/>
      <c r="G133" s="56"/>
      <c r="H133" s="56"/>
      <c r="I133" s="56"/>
      <c r="J133" s="56"/>
      <c r="K133" s="56"/>
      <c r="L133" s="56"/>
      <c r="M133" s="56"/>
      <c r="N133" s="56"/>
      <c r="O133" s="56"/>
      <c r="P133" s="56"/>
      <c r="Q133" s="56"/>
      <c r="R133" s="56"/>
      <c r="S133" s="56"/>
      <c r="T133" s="56"/>
      <c r="U133" s="27">
        <f t="shared" si="48"/>
        <v>0</v>
      </c>
      <c r="V133" s="27">
        <f t="shared" si="49"/>
        <v>0</v>
      </c>
    </row>
    <row r="134" spans="1:37" x14ac:dyDescent="0.3">
      <c r="A134" s="33" t="s">
        <v>206</v>
      </c>
      <c r="B134" s="56">
        <v>324.14154192000001</v>
      </c>
      <c r="C134" s="56">
        <v>87.05047780000001</v>
      </c>
      <c r="D134" s="56">
        <v>162.39710449</v>
      </c>
      <c r="E134" s="56">
        <f t="shared" si="64"/>
        <v>573.58912421000002</v>
      </c>
      <c r="F134" s="56">
        <v>300.9249350300002</v>
      </c>
      <c r="G134" s="56">
        <v>153.26644662999999</v>
      </c>
      <c r="H134" s="56">
        <v>218.94473943</v>
      </c>
      <c r="I134" s="56">
        <f t="shared" si="65"/>
        <v>673.13612109000019</v>
      </c>
      <c r="J134" s="56">
        <f>+E134+I134</f>
        <v>1246.7252453000001</v>
      </c>
      <c r="K134" s="56">
        <v>213.92473380000007</v>
      </c>
      <c r="L134" s="56">
        <v>182.41544071000004</v>
      </c>
      <c r="M134" s="56">
        <v>194.26964378000002</v>
      </c>
      <c r="N134" s="56">
        <f t="shared" si="66"/>
        <v>590.60981829000013</v>
      </c>
      <c r="O134" s="56">
        <v>226.68363522999994</v>
      </c>
      <c r="P134" s="56">
        <v>200.47259105000001</v>
      </c>
      <c r="Q134" s="56">
        <v>187.84829651000018</v>
      </c>
      <c r="R134" s="56">
        <f t="shared" si="67"/>
        <v>615.00452279000012</v>
      </c>
      <c r="S134" s="56">
        <f t="shared" si="74"/>
        <v>1205.6143410800003</v>
      </c>
      <c r="T134" s="56">
        <f>+J134+S134</f>
        <v>2452.3395863800006</v>
      </c>
      <c r="U134" s="27">
        <f t="shared" si="48"/>
        <v>2452.3395863800006</v>
      </c>
      <c r="V134" s="27">
        <f t="shared" si="49"/>
        <v>0</v>
      </c>
    </row>
    <row r="135" spans="1:37" x14ac:dyDescent="0.3">
      <c r="A135" s="33" t="s">
        <v>207</v>
      </c>
      <c r="B135" s="56"/>
      <c r="C135" s="56"/>
      <c r="D135" s="56"/>
      <c r="E135" s="56"/>
      <c r="F135" s="56"/>
      <c r="G135" s="56"/>
      <c r="H135" s="56"/>
      <c r="I135" s="56"/>
      <c r="J135" s="56"/>
      <c r="K135" s="56"/>
      <c r="L135" s="56"/>
      <c r="M135" s="56"/>
      <c r="N135" s="56"/>
      <c r="O135" s="56"/>
      <c r="P135" s="56"/>
      <c r="Q135" s="56"/>
      <c r="R135" s="56"/>
      <c r="S135" s="56"/>
      <c r="T135" s="56"/>
      <c r="U135" s="27">
        <f t="shared" si="48"/>
        <v>0</v>
      </c>
      <c r="V135" s="27">
        <f t="shared" si="49"/>
        <v>0</v>
      </c>
    </row>
    <row r="136" spans="1:37" x14ac:dyDescent="0.3">
      <c r="A136" s="33" t="s">
        <v>103</v>
      </c>
      <c r="B136" s="29">
        <v>109.12081730000006</v>
      </c>
      <c r="C136" s="29">
        <v>58.250205730000012</v>
      </c>
      <c r="D136" s="29">
        <v>107.18253602000004</v>
      </c>
      <c r="E136" s="29">
        <f t="shared" si="64"/>
        <v>274.5535590500001</v>
      </c>
      <c r="F136" s="29">
        <v>127.80411509999998</v>
      </c>
      <c r="G136" s="29">
        <v>102.71117307999999</v>
      </c>
      <c r="H136" s="29">
        <v>165.01932505000005</v>
      </c>
      <c r="I136" s="29">
        <f t="shared" si="65"/>
        <v>395.53461322999999</v>
      </c>
      <c r="J136" s="29">
        <f>+E136+I136</f>
        <v>670.08817228000009</v>
      </c>
      <c r="K136" s="29">
        <v>142.28761394000011</v>
      </c>
      <c r="L136" s="29">
        <v>126.70043514000001</v>
      </c>
      <c r="M136" s="29">
        <v>110.54729930000001</v>
      </c>
      <c r="N136" s="29">
        <f t="shared" si="66"/>
        <v>379.53534838000013</v>
      </c>
      <c r="O136" s="29">
        <v>144.4029461100003</v>
      </c>
      <c r="P136" s="29">
        <v>100.36274965999999</v>
      </c>
      <c r="Q136" s="29">
        <v>97.755037489999964</v>
      </c>
      <c r="R136" s="29">
        <f t="shared" si="67"/>
        <v>342.52073326000027</v>
      </c>
      <c r="S136" s="29">
        <f t="shared" si="74"/>
        <v>722.05608164000046</v>
      </c>
      <c r="T136" s="29">
        <f>+J136+S136</f>
        <v>1392.1442539200007</v>
      </c>
      <c r="U136" s="27">
        <f t="shared" ref="U136:U174" si="75">+B136+C136+D136+F136+G136+H136+K136+L136+M136+O136+P136+Q136</f>
        <v>1392.1442539200004</v>
      </c>
      <c r="V136" s="27">
        <f t="shared" ref="V136:V174" si="76">+U136-T136</f>
        <v>0</v>
      </c>
    </row>
    <row r="137" spans="1:37" x14ac:dyDescent="0.3">
      <c r="A137" s="33" t="s">
        <v>104</v>
      </c>
      <c r="B137" s="29">
        <v>1917.4182080900021</v>
      </c>
      <c r="C137" s="29">
        <v>1017.7741215699996</v>
      </c>
      <c r="D137" s="29">
        <v>1095.9721828699999</v>
      </c>
      <c r="E137" s="29">
        <f t="shared" si="64"/>
        <v>4031.1645125300015</v>
      </c>
      <c r="F137" s="29">
        <v>2516.3999644300002</v>
      </c>
      <c r="G137" s="29">
        <v>1686.4697436099993</v>
      </c>
      <c r="H137" s="29">
        <v>1115.6379982000003</v>
      </c>
      <c r="I137" s="29">
        <f t="shared" si="65"/>
        <v>5318.5077062399996</v>
      </c>
      <c r="J137" s="29">
        <f>+E137+I137</f>
        <v>9349.6722187700016</v>
      </c>
      <c r="K137" s="29">
        <v>1841.2429010699989</v>
      </c>
      <c r="L137" s="29">
        <v>1270.6002020599999</v>
      </c>
      <c r="M137" s="29">
        <v>1271.6835307000006</v>
      </c>
      <c r="N137" s="29">
        <f t="shared" si="66"/>
        <v>4383.5266338299989</v>
      </c>
      <c r="O137" s="29">
        <v>1798.4039314000024</v>
      </c>
      <c r="P137" s="29">
        <v>1390.9774641099998</v>
      </c>
      <c r="Q137" s="29">
        <v>1023.16365412</v>
      </c>
      <c r="R137" s="29">
        <f t="shared" si="67"/>
        <v>4212.5450496300018</v>
      </c>
      <c r="S137" s="29">
        <f t="shared" si="74"/>
        <v>8596.0716834600007</v>
      </c>
      <c r="T137" s="29">
        <f>+J137+S137</f>
        <v>17945.743902230002</v>
      </c>
      <c r="U137" s="27">
        <f t="shared" si="75"/>
        <v>17945.743902229999</v>
      </c>
      <c r="V137" s="27">
        <f t="shared" si="76"/>
        <v>0</v>
      </c>
    </row>
    <row r="138" spans="1:37" ht="16.5" x14ac:dyDescent="0.3">
      <c r="A138" s="33" t="s">
        <v>208</v>
      </c>
      <c r="B138" s="29">
        <v>3371.8699475300018</v>
      </c>
      <c r="C138" s="29">
        <v>1688.4059221399998</v>
      </c>
      <c r="D138" s="29">
        <v>1192.42869696</v>
      </c>
      <c r="E138" s="29">
        <f t="shared" si="64"/>
        <v>6252.7045666300019</v>
      </c>
      <c r="F138" s="29">
        <v>4760.1553502899978</v>
      </c>
      <c r="G138" s="29">
        <v>2841.9799973099998</v>
      </c>
      <c r="H138" s="29">
        <v>1624.7361774999997</v>
      </c>
      <c r="I138" s="29">
        <f t="shared" si="65"/>
        <v>9226.8715250999976</v>
      </c>
      <c r="J138" s="29">
        <f>+E138+I138</f>
        <v>15479.576091729999</v>
      </c>
      <c r="K138" s="29">
        <v>3075.4970094899991</v>
      </c>
      <c r="L138" s="29">
        <v>2820.7322412600001</v>
      </c>
      <c r="M138" s="29">
        <v>1501.3378771700002</v>
      </c>
      <c r="N138" s="29">
        <f t="shared" si="66"/>
        <v>7397.5671279199987</v>
      </c>
      <c r="O138" s="29">
        <v>2895.8081710400006</v>
      </c>
      <c r="P138" s="29">
        <v>3474.3252924999993</v>
      </c>
      <c r="Q138" s="29">
        <v>1572.3548884799993</v>
      </c>
      <c r="R138" s="29">
        <f t="shared" si="67"/>
        <v>7942.4883520199992</v>
      </c>
      <c r="S138" s="29">
        <f t="shared" si="74"/>
        <v>15340.055479939998</v>
      </c>
      <c r="T138" s="29">
        <f>+J138+S138</f>
        <v>30819.631571669997</v>
      </c>
      <c r="U138" s="27">
        <f t="shared" si="75"/>
        <v>30819.631571669997</v>
      </c>
      <c r="V138" s="27">
        <f t="shared" si="76"/>
        <v>0</v>
      </c>
    </row>
    <row r="139" spans="1:37" x14ac:dyDescent="0.3">
      <c r="U139" s="27">
        <f t="shared" si="75"/>
        <v>0</v>
      </c>
      <c r="V139" s="27">
        <f t="shared" si="76"/>
        <v>0</v>
      </c>
    </row>
    <row r="140" spans="1:37" s="37" customFormat="1" x14ac:dyDescent="0.3">
      <c r="A140" s="37" t="s">
        <v>106</v>
      </c>
      <c r="B140" s="26">
        <f>SUM(B141:B145)</f>
        <v>1484.2005864799994</v>
      </c>
      <c r="C140" s="26">
        <f t="shared" ref="C140:T140" si="77">SUM(C141:C145)</f>
        <v>629.69040344999985</v>
      </c>
      <c r="D140" s="26">
        <f t="shared" si="77"/>
        <v>954.73483048000003</v>
      </c>
      <c r="E140" s="26">
        <f t="shared" si="77"/>
        <v>3068.6258204099986</v>
      </c>
      <c r="F140" s="26">
        <f t="shared" si="77"/>
        <v>1628.3511547400001</v>
      </c>
      <c r="G140" s="26">
        <f t="shared" si="77"/>
        <v>1012.4275232500001</v>
      </c>
      <c r="H140" s="26">
        <f t="shared" si="77"/>
        <v>1129.0229332200004</v>
      </c>
      <c r="I140" s="26">
        <f t="shared" si="77"/>
        <v>3769.8016112100004</v>
      </c>
      <c r="J140" s="26">
        <f t="shared" si="77"/>
        <v>6838.427431619999</v>
      </c>
      <c r="K140" s="26">
        <f t="shared" si="77"/>
        <v>1396.1906455299995</v>
      </c>
      <c r="L140" s="26">
        <f t="shared" si="77"/>
        <v>1019.27909413</v>
      </c>
      <c r="M140" s="26">
        <f t="shared" si="77"/>
        <v>963.4250801500001</v>
      </c>
      <c r="N140" s="26">
        <f t="shared" si="77"/>
        <v>3378.8948198099997</v>
      </c>
      <c r="O140" s="26">
        <f t="shared" si="77"/>
        <v>1291.2958815300008</v>
      </c>
      <c r="P140" s="26">
        <f t="shared" si="77"/>
        <v>1128.2572081799995</v>
      </c>
      <c r="Q140" s="26">
        <f t="shared" si="77"/>
        <v>1285.1169783200003</v>
      </c>
      <c r="R140" s="26">
        <f t="shared" si="77"/>
        <v>3704.6700680300005</v>
      </c>
      <c r="S140" s="26">
        <f t="shared" si="77"/>
        <v>7083.5648878400007</v>
      </c>
      <c r="T140" s="26">
        <f t="shared" si="77"/>
        <v>13921.99231946</v>
      </c>
      <c r="U140" s="27">
        <f t="shared" si="75"/>
        <v>13921.992319460001</v>
      </c>
      <c r="V140" s="27">
        <f t="shared" si="76"/>
        <v>0</v>
      </c>
      <c r="W140" s="26"/>
      <c r="X140" s="26"/>
      <c r="Y140" s="26"/>
      <c r="Z140" s="26"/>
      <c r="AA140" s="26"/>
      <c r="AB140" s="26"/>
      <c r="AC140" s="26"/>
      <c r="AD140" s="26"/>
      <c r="AE140" s="26"/>
      <c r="AF140" s="26"/>
      <c r="AG140" s="26"/>
      <c r="AH140" s="26"/>
      <c r="AI140" s="26"/>
      <c r="AJ140" s="26"/>
      <c r="AK140" s="26"/>
    </row>
    <row r="141" spans="1:37" x14ac:dyDescent="0.3">
      <c r="A141" s="33" t="s">
        <v>107</v>
      </c>
      <c r="B141" s="29">
        <v>251.82343997000032</v>
      </c>
      <c r="C141" s="29">
        <v>131.41161756</v>
      </c>
      <c r="D141" s="29">
        <v>165.61423355000005</v>
      </c>
      <c r="E141" s="29">
        <f t="shared" si="64"/>
        <v>548.84929108000028</v>
      </c>
      <c r="F141" s="29">
        <v>322.19319191000005</v>
      </c>
      <c r="G141" s="29">
        <v>200.04078469000001</v>
      </c>
      <c r="H141" s="29">
        <v>245.70910733000011</v>
      </c>
      <c r="I141" s="29">
        <f t="shared" si="65"/>
        <v>767.94308393000006</v>
      </c>
      <c r="J141" s="29">
        <f>+E141+I141</f>
        <v>1316.7923750100003</v>
      </c>
      <c r="K141" s="29">
        <v>259.76548292999985</v>
      </c>
      <c r="L141" s="29">
        <v>205.58336858000007</v>
      </c>
      <c r="M141" s="29">
        <v>174.43650602000005</v>
      </c>
      <c r="N141" s="29">
        <f t="shared" si="66"/>
        <v>639.78535752999994</v>
      </c>
      <c r="O141" s="29">
        <v>224.1340756300001</v>
      </c>
      <c r="P141" s="29">
        <v>211.42040565999986</v>
      </c>
      <c r="Q141" s="29">
        <v>248.13884868000014</v>
      </c>
      <c r="R141" s="29">
        <f t="shared" si="67"/>
        <v>683.69332997000015</v>
      </c>
      <c r="S141" s="29">
        <f t="shared" si="74"/>
        <v>1323.4786875</v>
      </c>
      <c r="T141" s="29">
        <f>+J141+S141</f>
        <v>2640.2710625100003</v>
      </c>
      <c r="U141" s="27">
        <f t="shared" si="75"/>
        <v>2640.2710625100003</v>
      </c>
      <c r="V141" s="27">
        <f t="shared" si="76"/>
        <v>0</v>
      </c>
    </row>
    <row r="142" spans="1:37" x14ac:dyDescent="0.3">
      <c r="A142" s="33" t="s">
        <v>109</v>
      </c>
      <c r="B142" s="29">
        <v>406.49759062999976</v>
      </c>
      <c r="C142" s="29">
        <v>189.65350920999992</v>
      </c>
      <c r="D142" s="29">
        <v>278.56739070999993</v>
      </c>
      <c r="E142" s="29">
        <f t="shared" si="64"/>
        <v>874.71849054999961</v>
      </c>
      <c r="F142" s="29">
        <v>419.14663291000016</v>
      </c>
      <c r="G142" s="29">
        <v>338.07897811000004</v>
      </c>
      <c r="H142" s="29">
        <v>332.09207351000015</v>
      </c>
      <c r="I142" s="29">
        <f t="shared" si="65"/>
        <v>1089.3176845300004</v>
      </c>
      <c r="J142" s="29">
        <f>+E142+I142</f>
        <v>1964.03617508</v>
      </c>
      <c r="K142" s="29">
        <v>407.8448923699998</v>
      </c>
      <c r="L142" s="29">
        <v>292.75209061000004</v>
      </c>
      <c r="M142" s="29">
        <v>322.72041606000005</v>
      </c>
      <c r="N142" s="29">
        <f t="shared" si="66"/>
        <v>1023.3173990399999</v>
      </c>
      <c r="O142" s="29">
        <v>348.86308071000076</v>
      </c>
      <c r="P142" s="29">
        <v>378.17348895999987</v>
      </c>
      <c r="Q142" s="29">
        <v>447.11888745999971</v>
      </c>
      <c r="R142" s="29">
        <f t="shared" si="67"/>
        <v>1174.1554571300003</v>
      </c>
      <c r="S142" s="29">
        <f t="shared" si="74"/>
        <v>2197.4728561700003</v>
      </c>
      <c r="T142" s="29">
        <f>+J142+S142</f>
        <v>4161.5090312500006</v>
      </c>
      <c r="U142" s="27">
        <f t="shared" si="75"/>
        <v>4161.5090312499997</v>
      </c>
      <c r="V142" s="27">
        <f t="shared" si="76"/>
        <v>0</v>
      </c>
    </row>
    <row r="143" spans="1:37" x14ac:dyDescent="0.3">
      <c r="A143" s="33" t="s">
        <v>110</v>
      </c>
      <c r="B143" s="29">
        <v>152.93018056</v>
      </c>
      <c r="C143" s="29">
        <v>73.117827449999993</v>
      </c>
      <c r="D143" s="29">
        <v>163.97273046000001</v>
      </c>
      <c r="E143" s="29">
        <f t="shared" si="64"/>
        <v>390.02073846999997</v>
      </c>
      <c r="F143" s="29">
        <v>182.20163466999998</v>
      </c>
      <c r="G143" s="29">
        <v>132.51484988999999</v>
      </c>
      <c r="H143" s="29">
        <v>179.98516657000002</v>
      </c>
      <c r="I143" s="29">
        <f t="shared" si="65"/>
        <v>494.70165112999996</v>
      </c>
      <c r="J143" s="29">
        <f>+E143+I143</f>
        <v>884.72238959999993</v>
      </c>
      <c r="K143" s="29">
        <v>160.13328179999996</v>
      </c>
      <c r="L143" s="29">
        <v>120.77627024999998</v>
      </c>
      <c r="M143" s="29">
        <v>122.17700959000004</v>
      </c>
      <c r="N143" s="29">
        <f t="shared" si="66"/>
        <v>403.08656164000001</v>
      </c>
      <c r="O143" s="29">
        <v>170.17173907000034</v>
      </c>
      <c r="P143" s="29">
        <v>150.35931308999994</v>
      </c>
      <c r="Q143" s="29">
        <v>167.9898048</v>
      </c>
      <c r="R143" s="29">
        <f t="shared" si="67"/>
        <v>488.52085696000029</v>
      </c>
      <c r="S143" s="29">
        <f t="shared" si="74"/>
        <v>891.6074186000003</v>
      </c>
      <c r="T143" s="29">
        <f>+J143+S143</f>
        <v>1776.3298082000001</v>
      </c>
      <c r="U143" s="27">
        <f t="shared" si="75"/>
        <v>1776.3298082000003</v>
      </c>
      <c r="V143" s="27">
        <f t="shared" si="76"/>
        <v>0</v>
      </c>
    </row>
    <row r="144" spans="1:37" x14ac:dyDescent="0.3">
      <c r="A144" s="33" t="s">
        <v>209</v>
      </c>
      <c r="B144" s="56">
        <v>672.94937531999915</v>
      </c>
      <c r="C144" s="56">
        <v>235.50744922999996</v>
      </c>
      <c r="D144" s="56">
        <v>346.58047575999996</v>
      </c>
      <c r="E144" s="56">
        <f t="shared" si="64"/>
        <v>1255.037300309999</v>
      </c>
      <c r="F144" s="56">
        <v>704.80969524999989</v>
      </c>
      <c r="G144" s="56">
        <v>341.79291056000005</v>
      </c>
      <c r="H144" s="56">
        <v>371.23658581000007</v>
      </c>
      <c r="I144" s="56">
        <f t="shared" si="65"/>
        <v>1417.8391916199998</v>
      </c>
      <c r="J144" s="56">
        <f>+E144+I144</f>
        <v>2672.8764919299988</v>
      </c>
      <c r="K144" s="56">
        <v>568.44698842999992</v>
      </c>
      <c r="L144" s="56">
        <v>400.16736468999994</v>
      </c>
      <c r="M144" s="56">
        <v>344.09114848000002</v>
      </c>
      <c r="N144" s="56">
        <f t="shared" si="66"/>
        <v>1312.7055015999999</v>
      </c>
      <c r="O144" s="56">
        <v>548.12698611999951</v>
      </c>
      <c r="P144" s="56">
        <v>388.30400046999995</v>
      </c>
      <c r="Q144" s="56">
        <v>421.86943738000031</v>
      </c>
      <c r="R144" s="56">
        <f t="shared" si="67"/>
        <v>1358.3004239699999</v>
      </c>
      <c r="S144" s="56">
        <f t="shared" si="74"/>
        <v>2671.0059255699998</v>
      </c>
      <c r="T144" s="56">
        <f>+J144+S144</f>
        <v>5343.8824174999991</v>
      </c>
      <c r="U144" s="27">
        <f t="shared" si="75"/>
        <v>5343.8824174999982</v>
      </c>
      <c r="V144" s="27">
        <f t="shared" si="76"/>
        <v>0</v>
      </c>
    </row>
    <row r="145" spans="1:37" x14ac:dyDescent="0.3">
      <c r="A145" s="33" t="s">
        <v>210</v>
      </c>
      <c r="B145" s="56"/>
      <c r="C145" s="56"/>
      <c r="D145" s="56"/>
      <c r="E145" s="56"/>
      <c r="F145" s="56"/>
      <c r="G145" s="56"/>
      <c r="H145" s="56"/>
      <c r="I145" s="56"/>
      <c r="J145" s="56"/>
      <c r="K145" s="56"/>
      <c r="L145" s="56"/>
      <c r="M145" s="56"/>
      <c r="N145" s="56"/>
      <c r="O145" s="56"/>
      <c r="P145" s="56"/>
      <c r="Q145" s="56"/>
      <c r="R145" s="56"/>
      <c r="S145" s="56"/>
      <c r="T145" s="56"/>
      <c r="U145" s="27">
        <f t="shared" si="75"/>
        <v>0</v>
      </c>
      <c r="V145" s="27">
        <f t="shared" si="76"/>
        <v>0</v>
      </c>
    </row>
    <row r="146" spans="1:37" x14ac:dyDescent="0.3">
      <c r="U146" s="27">
        <f t="shared" si="75"/>
        <v>0</v>
      </c>
      <c r="V146" s="27">
        <f t="shared" si="76"/>
        <v>0</v>
      </c>
    </row>
    <row r="147" spans="1:37" s="37" customFormat="1" x14ac:dyDescent="0.3">
      <c r="A147" s="37" t="s">
        <v>111</v>
      </c>
      <c r="B147" s="26">
        <f>SUM(B148:B153)</f>
        <v>1301.640679649998</v>
      </c>
      <c r="C147" s="26">
        <f t="shared" ref="C147:T147" si="78">SUM(C148:C153)</f>
        <v>682.67921029000001</v>
      </c>
      <c r="D147" s="26">
        <f t="shared" si="78"/>
        <v>778.04723801000011</v>
      </c>
      <c r="E147" s="26">
        <f t="shared" si="78"/>
        <v>2762.3671279499986</v>
      </c>
      <c r="F147" s="26">
        <f t="shared" si="78"/>
        <v>1183.5411141400007</v>
      </c>
      <c r="G147" s="26">
        <f t="shared" si="78"/>
        <v>896.84704096000019</v>
      </c>
      <c r="H147" s="26">
        <f t="shared" si="78"/>
        <v>1038.3159402900001</v>
      </c>
      <c r="I147" s="26">
        <f t="shared" si="78"/>
        <v>3118.7040953900005</v>
      </c>
      <c r="J147" s="26">
        <f t="shared" si="78"/>
        <v>5881.0712233399981</v>
      </c>
      <c r="K147" s="26">
        <f t="shared" si="78"/>
        <v>1147.84610744</v>
      </c>
      <c r="L147" s="26">
        <f t="shared" si="78"/>
        <v>872.02239568999994</v>
      </c>
      <c r="M147" s="26">
        <f t="shared" si="78"/>
        <v>976.24752316999979</v>
      </c>
      <c r="N147" s="26">
        <f t="shared" si="78"/>
        <v>2996.1160263000002</v>
      </c>
      <c r="O147" s="26">
        <f t="shared" si="78"/>
        <v>975.19269232999886</v>
      </c>
      <c r="P147" s="26">
        <f t="shared" si="78"/>
        <v>782.15162224999995</v>
      </c>
      <c r="Q147" s="26">
        <f t="shared" si="78"/>
        <v>746.02572619999989</v>
      </c>
      <c r="R147" s="26">
        <f t="shared" si="78"/>
        <v>2503.3700407799988</v>
      </c>
      <c r="S147" s="26">
        <f t="shared" si="78"/>
        <v>5499.486067079999</v>
      </c>
      <c r="T147" s="26">
        <f t="shared" si="78"/>
        <v>11380.557290419996</v>
      </c>
      <c r="U147" s="27">
        <f t="shared" si="75"/>
        <v>11380.557290419996</v>
      </c>
      <c r="V147" s="27">
        <f t="shared" si="76"/>
        <v>0</v>
      </c>
      <c r="W147" s="26"/>
      <c r="X147" s="26"/>
      <c r="Y147" s="26"/>
      <c r="Z147" s="26"/>
      <c r="AA147" s="26"/>
      <c r="AB147" s="26"/>
      <c r="AC147" s="26"/>
      <c r="AD147" s="26"/>
      <c r="AE147" s="26"/>
      <c r="AF147" s="26"/>
      <c r="AG147" s="26"/>
      <c r="AH147" s="26"/>
      <c r="AI147" s="26"/>
      <c r="AJ147" s="26"/>
      <c r="AK147" s="26"/>
    </row>
    <row r="148" spans="1:37" x14ac:dyDescent="0.3">
      <c r="A148" s="33" t="s">
        <v>211</v>
      </c>
      <c r="B148" s="56">
        <v>619.07743561999803</v>
      </c>
      <c r="C148" s="56">
        <v>289.56728127000002</v>
      </c>
      <c r="D148" s="56">
        <v>315.61238560000015</v>
      </c>
      <c r="E148" s="56">
        <f t="shared" si="64"/>
        <v>1224.2571024899983</v>
      </c>
      <c r="F148" s="56">
        <v>494.5101981100002</v>
      </c>
      <c r="G148" s="56">
        <v>360.5265777300001</v>
      </c>
      <c r="H148" s="56">
        <v>512.83765456999993</v>
      </c>
      <c r="I148" s="56">
        <f t="shared" si="65"/>
        <v>1367.8744304100001</v>
      </c>
      <c r="J148" s="56">
        <f>+E148+I148</f>
        <v>2592.1315328999981</v>
      </c>
      <c r="K148" s="56">
        <v>474.50699104000017</v>
      </c>
      <c r="L148" s="56">
        <v>312.42006835999996</v>
      </c>
      <c r="M148" s="56">
        <v>411.29024636999986</v>
      </c>
      <c r="N148" s="56">
        <f t="shared" si="66"/>
        <v>1198.2173057700002</v>
      </c>
      <c r="O148" s="56">
        <v>370.04295087999895</v>
      </c>
      <c r="P148" s="56">
        <v>320.29412372999991</v>
      </c>
      <c r="Q148" s="56">
        <v>265.91273898999981</v>
      </c>
      <c r="R148" s="56">
        <f t="shared" si="67"/>
        <v>956.24981359999856</v>
      </c>
      <c r="S148" s="56">
        <f t="shared" si="74"/>
        <v>2154.4671193699987</v>
      </c>
      <c r="T148" s="56">
        <f>+J148+S148</f>
        <v>4746.5986522699968</v>
      </c>
      <c r="U148" s="27">
        <f t="shared" si="75"/>
        <v>4746.5986522699977</v>
      </c>
      <c r="V148" s="27">
        <f t="shared" si="76"/>
        <v>0</v>
      </c>
    </row>
    <row r="149" spans="1:37" x14ac:dyDescent="0.3">
      <c r="A149" s="33" t="s">
        <v>212</v>
      </c>
      <c r="B149" s="56"/>
      <c r="C149" s="56"/>
      <c r="D149" s="56"/>
      <c r="E149" s="56"/>
      <c r="F149" s="56"/>
      <c r="G149" s="56"/>
      <c r="H149" s="56"/>
      <c r="I149" s="56"/>
      <c r="J149" s="56"/>
      <c r="K149" s="56"/>
      <c r="L149" s="56"/>
      <c r="M149" s="56"/>
      <c r="N149" s="56"/>
      <c r="O149" s="56"/>
      <c r="P149" s="56"/>
      <c r="Q149" s="56"/>
      <c r="R149" s="56"/>
      <c r="S149" s="56"/>
      <c r="T149" s="56"/>
      <c r="U149" s="27">
        <f t="shared" si="75"/>
        <v>0</v>
      </c>
      <c r="V149" s="27">
        <f t="shared" si="76"/>
        <v>0</v>
      </c>
    </row>
    <row r="150" spans="1:37" x14ac:dyDescent="0.3">
      <c r="A150" s="33" t="s">
        <v>113</v>
      </c>
      <c r="B150" s="29">
        <v>201.53477465999993</v>
      </c>
      <c r="C150" s="29">
        <v>102.31214444</v>
      </c>
      <c r="D150" s="29">
        <v>138.43071476000003</v>
      </c>
      <c r="E150" s="29">
        <f t="shared" si="64"/>
        <v>442.27763385999992</v>
      </c>
      <c r="F150" s="29">
        <v>171.59728834999999</v>
      </c>
      <c r="G150" s="29">
        <v>144.78462873999999</v>
      </c>
      <c r="H150" s="29">
        <v>142.61086823000002</v>
      </c>
      <c r="I150" s="29">
        <f t="shared" si="65"/>
        <v>458.99278532000005</v>
      </c>
      <c r="J150" s="29">
        <f>+E150+I150</f>
        <v>901.27041917999998</v>
      </c>
      <c r="K150" s="29">
        <v>166.81902738999989</v>
      </c>
      <c r="L150" s="29">
        <v>147.42503325000001</v>
      </c>
      <c r="M150" s="29">
        <v>135.00631413999994</v>
      </c>
      <c r="N150" s="29">
        <f t="shared" si="66"/>
        <v>449.2503747799999</v>
      </c>
      <c r="O150" s="29">
        <v>167.60579440000015</v>
      </c>
      <c r="P150" s="29">
        <v>130.76426918000001</v>
      </c>
      <c r="Q150" s="29">
        <v>160.92536585000002</v>
      </c>
      <c r="R150" s="29">
        <f t="shared" si="67"/>
        <v>459.29542943000024</v>
      </c>
      <c r="S150" s="29">
        <f t="shared" si="74"/>
        <v>908.54580421000014</v>
      </c>
      <c r="T150" s="29">
        <f>+J150+S150</f>
        <v>1809.8162233900002</v>
      </c>
      <c r="U150" s="27">
        <f t="shared" si="75"/>
        <v>1809.8162233899998</v>
      </c>
      <c r="V150" s="27">
        <f t="shared" si="76"/>
        <v>0</v>
      </c>
    </row>
    <row r="151" spans="1:37" x14ac:dyDescent="0.3">
      <c r="A151" s="33" t="s">
        <v>213</v>
      </c>
      <c r="B151" s="56">
        <v>278.7815409599998</v>
      </c>
      <c r="C151" s="56">
        <v>172.00129636000005</v>
      </c>
      <c r="D151" s="56">
        <v>179.75541758999998</v>
      </c>
      <c r="E151" s="56">
        <f t="shared" si="64"/>
        <v>630.53825490999986</v>
      </c>
      <c r="F151" s="56">
        <v>292.66229080000033</v>
      </c>
      <c r="G151" s="56">
        <v>210.13059134000002</v>
      </c>
      <c r="H151" s="56">
        <v>228.49244458000007</v>
      </c>
      <c r="I151" s="56">
        <f t="shared" si="65"/>
        <v>731.2853267200004</v>
      </c>
      <c r="J151" s="56">
        <f>+E151+I151</f>
        <v>1361.8235816300003</v>
      </c>
      <c r="K151" s="56">
        <v>252.5443760499999</v>
      </c>
      <c r="L151" s="56">
        <v>220.18707378999994</v>
      </c>
      <c r="M151" s="56">
        <v>233.29320894</v>
      </c>
      <c r="N151" s="56">
        <f t="shared" si="66"/>
        <v>706.02465877999987</v>
      </c>
      <c r="O151" s="56">
        <v>241.33224087000031</v>
      </c>
      <c r="P151" s="56">
        <v>173.68421627999996</v>
      </c>
      <c r="Q151" s="56">
        <v>183.02328122000009</v>
      </c>
      <c r="R151" s="56">
        <f t="shared" si="67"/>
        <v>598.03973837000035</v>
      </c>
      <c r="S151" s="56">
        <f t="shared" si="74"/>
        <v>1304.0643971500003</v>
      </c>
      <c r="T151" s="56">
        <f>+J151+S151</f>
        <v>2665.8879787800006</v>
      </c>
      <c r="U151" s="27">
        <f t="shared" si="75"/>
        <v>2665.8879787800001</v>
      </c>
      <c r="V151" s="27">
        <f t="shared" si="76"/>
        <v>0</v>
      </c>
    </row>
    <row r="152" spans="1:37" x14ac:dyDescent="0.3">
      <c r="A152" s="33" t="s">
        <v>214</v>
      </c>
      <c r="B152" s="56"/>
      <c r="C152" s="56"/>
      <c r="D152" s="56"/>
      <c r="E152" s="56"/>
      <c r="F152" s="56"/>
      <c r="G152" s="56"/>
      <c r="H152" s="56"/>
      <c r="I152" s="56"/>
      <c r="J152" s="56"/>
      <c r="K152" s="56"/>
      <c r="L152" s="56"/>
      <c r="M152" s="56"/>
      <c r="N152" s="56"/>
      <c r="O152" s="56"/>
      <c r="P152" s="56"/>
      <c r="Q152" s="56"/>
      <c r="R152" s="56"/>
      <c r="S152" s="56"/>
      <c r="T152" s="56"/>
      <c r="U152" s="27">
        <f t="shared" si="75"/>
        <v>0</v>
      </c>
      <c r="V152" s="27">
        <f t="shared" si="76"/>
        <v>0</v>
      </c>
    </row>
    <row r="153" spans="1:37" x14ac:dyDescent="0.3">
      <c r="A153" s="33" t="s">
        <v>115</v>
      </c>
      <c r="B153" s="29">
        <v>202.24692841000021</v>
      </c>
      <c r="C153" s="29">
        <v>118.79848822</v>
      </c>
      <c r="D153" s="29">
        <v>144.24872006000001</v>
      </c>
      <c r="E153" s="29">
        <f t="shared" si="64"/>
        <v>465.29413669000019</v>
      </c>
      <c r="F153" s="29">
        <v>224.77133688000001</v>
      </c>
      <c r="G153" s="29">
        <v>181.40524315000005</v>
      </c>
      <c r="H153" s="29">
        <v>154.37497291000003</v>
      </c>
      <c r="I153" s="29">
        <f t="shared" si="65"/>
        <v>560.55155294000008</v>
      </c>
      <c r="J153" s="29">
        <f>+E153+I153</f>
        <v>1025.8456896300004</v>
      </c>
      <c r="K153" s="29">
        <v>253.97571295999998</v>
      </c>
      <c r="L153" s="29">
        <v>191.99022029</v>
      </c>
      <c r="M153" s="29">
        <v>196.65775371999996</v>
      </c>
      <c r="N153" s="29">
        <f t="shared" si="66"/>
        <v>642.62368696999988</v>
      </c>
      <c r="O153" s="29">
        <v>196.21170617999957</v>
      </c>
      <c r="P153" s="29">
        <v>157.40901305999995</v>
      </c>
      <c r="Q153" s="29">
        <v>136.16434014000001</v>
      </c>
      <c r="R153" s="29">
        <f t="shared" si="67"/>
        <v>489.78505937999955</v>
      </c>
      <c r="S153" s="29">
        <f t="shared" si="74"/>
        <v>1132.4087463499995</v>
      </c>
      <c r="T153" s="29">
        <f>+J153+S153</f>
        <v>2158.2544359799999</v>
      </c>
      <c r="U153" s="27">
        <f t="shared" si="75"/>
        <v>2158.2544359799999</v>
      </c>
      <c r="V153" s="27">
        <f t="shared" si="76"/>
        <v>0</v>
      </c>
    </row>
    <row r="154" spans="1:37" x14ac:dyDescent="0.3">
      <c r="U154" s="27">
        <f t="shared" si="75"/>
        <v>0</v>
      </c>
      <c r="V154" s="27">
        <f t="shared" si="76"/>
        <v>0</v>
      </c>
    </row>
    <row r="155" spans="1:37" s="37" customFormat="1" x14ac:dyDescent="0.3">
      <c r="A155" s="39" t="s">
        <v>116</v>
      </c>
      <c r="B155" s="40">
        <f>SUM(B156:B162)</f>
        <v>568.49365092000028</v>
      </c>
      <c r="C155" s="40">
        <f t="shared" ref="C155:T155" si="79">SUM(C156:C162)</f>
        <v>324.12341993000001</v>
      </c>
      <c r="D155" s="40">
        <f t="shared" si="79"/>
        <v>441.46574216699997</v>
      </c>
      <c r="E155" s="40">
        <f t="shared" si="79"/>
        <v>1334.0828130170003</v>
      </c>
      <c r="F155" s="40">
        <f t="shared" si="79"/>
        <v>623.98886138000012</v>
      </c>
      <c r="G155" s="40">
        <f t="shared" si="79"/>
        <v>505.73600742999997</v>
      </c>
      <c r="H155" s="40">
        <f t="shared" si="79"/>
        <v>448.33121334000003</v>
      </c>
      <c r="I155" s="40">
        <f t="shared" si="79"/>
        <v>1578.0560821500003</v>
      </c>
      <c r="J155" s="40">
        <f t="shared" si="79"/>
        <v>2912.1388951670006</v>
      </c>
      <c r="K155" s="40">
        <f t="shared" si="79"/>
        <v>623.66133267000009</v>
      </c>
      <c r="L155" s="40">
        <f t="shared" si="79"/>
        <v>405.11859922000002</v>
      </c>
      <c r="M155" s="40">
        <f t="shared" si="79"/>
        <v>486.06878468000008</v>
      </c>
      <c r="N155" s="40">
        <f t="shared" si="79"/>
        <v>1514.8487165700001</v>
      </c>
      <c r="O155" s="40">
        <f t="shared" si="79"/>
        <v>573.51561745000038</v>
      </c>
      <c r="P155" s="40">
        <f t="shared" si="79"/>
        <v>442.77517160000008</v>
      </c>
      <c r="Q155" s="40">
        <f t="shared" si="79"/>
        <v>598.94009192999999</v>
      </c>
      <c r="R155" s="40">
        <f t="shared" si="79"/>
        <v>1615.2308809800004</v>
      </c>
      <c r="S155" s="40">
        <f t="shared" si="79"/>
        <v>3130.0795975500005</v>
      </c>
      <c r="T155" s="40">
        <f t="shared" si="79"/>
        <v>6042.218492717001</v>
      </c>
      <c r="U155" s="27">
        <f t="shared" si="75"/>
        <v>6042.218492717001</v>
      </c>
      <c r="V155" s="27">
        <f t="shared" si="76"/>
        <v>0</v>
      </c>
      <c r="W155" s="26"/>
      <c r="X155" s="26"/>
      <c r="Y155" s="26"/>
      <c r="Z155" s="26"/>
      <c r="AA155" s="26"/>
      <c r="AB155" s="26"/>
      <c r="AC155" s="26"/>
      <c r="AD155" s="26"/>
      <c r="AE155" s="26"/>
      <c r="AF155" s="26"/>
      <c r="AG155" s="26"/>
      <c r="AH155" s="26"/>
      <c r="AI155" s="26"/>
      <c r="AJ155" s="26"/>
      <c r="AK155" s="26"/>
    </row>
    <row r="156" spans="1:37" x14ac:dyDescent="0.3">
      <c r="A156" s="33" t="s">
        <v>215</v>
      </c>
      <c r="B156" s="56">
        <v>48.433890509999983</v>
      </c>
      <c r="C156" s="56">
        <v>45.174357690000001</v>
      </c>
      <c r="D156" s="56">
        <v>43.717576170000001</v>
      </c>
      <c r="E156" s="56">
        <f t="shared" ref="E156:E161" si="80">+B156+C156+D156</f>
        <v>137.32582436999999</v>
      </c>
      <c r="F156" s="56">
        <v>48.309285959999997</v>
      </c>
      <c r="G156" s="56">
        <v>43.152331590000003</v>
      </c>
      <c r="H156" s="56">
        <v>33.523044429999999</v>
      </c>
      <c r="I156" s="56">
        <f t="shared" ref="I156:I161" si="81">+F156+G156+H156</f>
        <v>124.98466198</v>
      </c>
      <c r="J156" s="56">
        <f>+E156+I156</f>
        <v>262.31048635000002</v>
      </c>
      <c r="K156" s="56">
        <v>53.402714419999995</v>
      </c>
      <c r="L156" s="56">
        <v>34.114993810000001</v>
      </c>
      <c r="M156" s="56">
        <v>25.606748740000011</v>
      </c>
      <c r="N156" s="56">
        <f t="shared" ref="N156:N161" si="82">+K156+L156+M156</f>
        <v>113.12445697000001</v>
      </c>
      <c r="O156" s="56">
        <v>38.059427339999992</v>
      </c>
      <c r="P156" s="56">
        <v>21.599304590000003</v>
      </c>
      <c r="Q156" s="56">
        <v>39.262660329999996</v>
      </c>
      <c r="R156" s="56">
        <f t="shared" ref="R156:R161" si="83">+O156+P156+Q156</f>
        <v>98.92139225999999</v>
      </c>
      <c r="S156" s="56">
        <f t="shared" si="74"/>
        <v>212.04584922999999</v>
      </c>
      <c r="T156" s="56">
        <f>+J156+S156</f>
        <v>474.35633558000001</v>
      </c>
      <c r="U156" s="27">
        <f t="shared" si="75"/>
        <v>474.35633558000006</v>
      </c>
      <c r="V156" s="27">
        <f t="shared" si="76"/>
        <v>0</v>
      </c>
    </row>
    <row r="157" spans="1:37" ht="16.5" x14ac:dyDescent="0.3">
      <c r="A157" s="33" t="s">
        <v>216</v>
      </c>
      <c r="B157" s="56"/>
      <c r="C157" s="56"/>
      <c r="D157" s="56"/>
      <c r="E157" s="56"/>
      <c r="F157" s="56"/>
      <c r="G157" s="56"/>
      <c r="H157" s="56"/>
      <c r="I157" s="56"/>
      <c r="J157" s="56"/>
      <c r="K157" s="56"/>
      <c r="L157" s="56"/>
      <c r="M157" s="56"/>
      <c r="N157" s="56"/>
      <c r="O157" s="56"/>
      <c r="P157" s="56"/>
      <c r="Q157" s="56"/>
      <c r="R157" s="56"/>
      <c r="S157" s="56"/>
      <c r="T157" s="56"/>
      <c r="U157" s="27">
        <f t="shared" si="75"/>
        <v>0</v>
      </c>
      <c r="V157" s="27">
        <f t="shared" si="76"/>
        <v>0</v>
      </c>
    </row>
    <row r="158" spans="1:37" x14ac:dyDescent="0.3">
      <c r="A158" s="33" t="s">
        <v>118</v>
      </c>
      <c r="B158" s="29">
        <v>141.85047940999999</v>
      </c>
      <c r="C158" s="29">
        <v>74.531768530000008</v>
      </c>
      <c r="D158" s="29">
        <v>75.434446059999999</v>
      </c>
      <c r="E158" s="29">
        <f t="shared" si="80"/>
        <v>291.81669399999998</v>
      </c>
      <c r="F158" s="29">
        <v>153.73436025999999</v>
      </c>
      <c r="G158" s="29">
        <v>103.00440974</v>
      </c>
      <c r="H158" s="29">
        <v>88.339938200000006</v>
      </c>
      <c r="I158" s="29">
        <f t="shared" si="81"/>
        <v>345.07870819999999</v>
      </c>
      <c r="J158" s="29">
        <f>+E158+I158</f>
        <v>636.89540220000004</v>
      </c>
      <c r="K158" s="29">
        <v>130.60969140000003</v>
      </c>
      <c r="L158" s="29">
        <v>97.540189499999997</v>
      </c>
      <c r="M158" s="29">
        <v>88.580237059999988</v>
      </c>
      <c r="N158" s="29">
        <f t="shared" si="82"/>
        <v>316.73011796000003</v>
      </c>
      <c r="O158" s="29">
        <v>77.347057030000016</v>
      </c>
      <c r="P158" s="29">
        <v>94.310754090000003</v>
      </c>
      <c r="Q158" s="29">
        <v>124.46427345000001</v>
      </c>
      <c r="R158" s="29">
        <f t="shared" si="83"/>
        <v>296.12208457000003</v>
      </c>
      <c r="S158" s="29">
        <f t="shared" si="74"/>
        <v>612.85220253000011</v>
      </c>
      <c r="T158" s="29">
        <f>+J158+S158</f>
        <v>1249.7476047300001</v>
      </c>
      <c r="U158" s="27">
        <f t="shared" si="75"/>
        <v>1249.7476047300001</v>
      </c>
      <c r="V158" s="27">
        <f t="shared" si="76"/>
        <v>0</v>
      </c>
    </row>
    <row r="159" spans="1:37" x14ac:dyDescent="0.3">
      <c r="A159" s="33" t="s">
        <v>217</v>
      </c>
      <c r="B159" s="56">
        <v>363.80652760000027</v>
      </c>
      <c r="C159" s="56">
        <v>182.60143539999996</v>
      </c>
      <c r="D159" s="56">
        <v>297.32964181699998</v>
      </c>
      <c r="E159" s="56">
        <f t="shared" si="80"/>
        <v>843.73760481700015</v>
      </c>
      <c r="F159" s="56">
        <v>377.58655956000018</v>
      </c>
      <c r="G159" s="56">
        <v>325.19952997000001</v>
      </c>
      <c r="H159" s="56">
        <v>301.30325182000001</v>
      </c>
      <c r="I159" s="56">
        <f t="shared" si="81"/>
        <v>1004.0893413500003</v>
      </c>
      <c r="J159" s="56">
        <f>+E159+I159</f>
        <v>1847.8269461670004</v>
      </c>
      <c r="K159" s="56">
        <v>398.54699454999997</v>
      </c>
      <c r="L159" s="56">
        <v>247.65387683000009</v>
      </c>
      <c r="M159" s="56">
        <v>330.70582343000007</v>
      </c>
      <c r="N159" s="56">
        <f t="shared" si="82"/>
        <v>976.90669481000009</v>
      </c>
      <c r="O159" s="56">
        <v>423.6920819100003</v>
      </c>
      <c r="P159" s="56">
        <v>298.25965908000006</v>
      </c>
      <c r="Q159" s="56">
        <v>391.10266836</v>
      </c>
      <c r="R159" s="56">
        <f t="shared" si="83"/>
        <v>1113.0544093500005</v>
      </c>
      <c r="S159" s="56">
        <f t="shared" si="74"/>
        <v>2089.9611041600006</v>
      </c>
      <c r="T159" s="56">
        <f>+J159+S159</f>
        <v>3937.7880503270007</v>
      </c>
      <c r="U159" s="27">
        <f t="shared" si="75"/>
        <v>3937.7880503270007</v>
      </c>
      <c r="V159" s="27">
        <f t="shared" si="76"/>
        <v>0</v>
      </c>
    </row>
    <row r="160" spans="1:37" x14ac:dyDescent="0.3">
      <c r="A160" s="33" t="s">
        <v>218</v>
      </c>
      <c r="B160" s="56"/>
      <c r="C160" s="56"/>
      <c r="D160" s="56"/>
      <c r="E160" s="56"/>
      <c r="F160" s="56"/>
      <c r="G160" s="56"/>
      <c r="H160" s="56"/>
      <c r="I160" s="56"/>
      <c r="J160" s="56"/>
      <c r="K160" s="56"/>
      <c r="L160" s="56"/>
      <c r="M160" s="56"/>
      <c r="N160" s="56"/>
      <c r="O160" s="56"/>
      <c r="P160" s="56"/>
      <c r="Q160" s="56"/>
      <c r="R160" s="56"/>
      <c r="S160" s="56"/>
      <c r="T160" s="56"/>
      <c r="U160" s="27">
        <f t="shared" si="75"/>
        <v>0</v>
      </c>
      <c r="V160" s="27">
        <f t="shared" si="76"/>
        <v>0</v>
      </c>
    </row>
    <row r="161" spans="1:37" x14ac:dyDescent="0.3">
      <c r="A161" s="33" t="s">
        <v>121</v>
      </c>
      <c r="B161" s="29">
        <v>14.402753399999998</v>
      </c>
      <c r="C161" s="29">
        <v>21.815858309999999</v>
      </c>
      <c r="D161" s="29">
        <v>24.98407812</v>
      </c>
      <c r="E161" s="29">
        <f t="shared" si="80"/>
        <v>61.202689829999997</v>
      </c>
      <c r="F161" s="29">
        <v>44.358655599999999</v>
      </c>
      <c r="G161" s="29">
        <v>34.379736129999998</v>
      </c>
      <c r="H161" s="29">
        <v>25.16497889</v>
      </c>
      <c r="I161" s="29">
        <f t="shared" si="81"/>
        <v>103.90337061999999</v>
      </c>
      <c r="J161" s="29">
        <f>+E161+I161</f>
        <v>165.10606044999997</v>
      </c>
      <c r="K161" s="29">
        <v>41.101932300000001</v>
      </c>
      <c r="L161" s="29">
        <v>25.809539079999993</v>
      </c>
      <c r="M161" s="29">
        <v>41.17597545000001</v>
      </c>
      <c r="N161" s="29">
        <f t="shared" si="82"/>
        <v>108.08744683</v>
      </c>
      <c r="O161" s="29">
        <v>34.417051170000001</v>
      </c>
      <c r="P161" s="29">
        <v>28.605453839999999</v>
      </c>
      <c r="Q161" s="29">
        <v>44.110489790000003</v>
      </c>
      <c r="R161" s="29">
        <f t="shared" si="83"/>
        <v>107.13299480000001</v>
      </c>
      <c r="S161" s="29">
        <f t="shared" si="74"/>
        <v>215.22044163000001</v>
      </c>
      <c r="T161" s="29">
        <f>+J161+S161</f>
        <v>380.32650207999995</v>
      </c>
      <c r="U161" s="27">
        <f t="shared" si="75"/>
        <v>380.32650207999995</v>
      </c>
      <c r="V161" s="27">
        <f t="shared" si="76"/>
        <v>0</v>
      </c>
    </row>
    <row r="162" spans="1:37" ht="16.5" x14ac:dyDescent="0.3">
      <c r="A162" s="33" t="s">
        <v>219</v>
      </c>
      <c r="J162" s="41"/>
      <c r="S162" s="41"/>
      <c r="U162" s="27">
        <f t="shared" si="75"/>
        <v>0</v>
      </c>
      <c r="V162" s="27">
        <f t="shared" si="76"/>
        <v>0</v>
      </c>
    </row>
    <row r="163" spans="1:37" x14ac:dyDescent="0.3">
      <c r="U163" s="27">
        <f t="shared" si="75"/>
        <v>0</v>
      </c>
      <c r="V163" s="27">
        <f t="shared" si="76"/>
        <v>0</v>
      </c>
    </row>
    <row r="164" spans="1:37" s="37" customFormat="1" x14ac:dyDescent="0.3">
      <c r="A164" s="37" t="s">
        <v>123</v>
      </c>
      <c r="B164" s="26">
        <f>+B7+B27+B36+B42+B49+B60+B68+B76+B84+B92+B98+B106+B115+B122+B131+B140+B147+B155</f>
        <v>345227.18091383582</v>
      </c>
      <c r="C164" s="26">
        <f t="shared" ref="C164:T164" si="84">+C7+C27+C36+C42+C49+C60+C68+C76+C84+C92+C98+C106+C115+C122+C131+C140+C147+C155</f>
        <v>153197.62875715294</v>
      </c>
      <c r="D164" s="26">
        <f t="shared" si="84"/>
        <v>167682.81190712604</v>
      </c>
      <c r="E164" s="26">
        <f t="shared" si="84"/>
        <v>666107.62157811457</v>
      </c>
      <c r="F164" s="26">
        <f t="shared" si="84"/>
        <v>410997.89747051103</v>
      </c>
      <c r="G164" s="26">
        <f t="shared" si="84"/>
        <v>234520.53336697002</v>
      </c>
      <c r="H164" s="26">
        <f t="shared" si="84"/>
        <v>193192.95215055396</v>
      </c>
      <c r="I164" s="26">
        <f t="shared" si="84"/>
        <v>838711.38298803486</v>
      </c>
      <c r="J164" s="26">
        <f t="shared" si="84"/>
        <v>1504819.00456615</v>
      </c>
      <c r="K164" s="26">
        <f t="shared" si="84"/>
        <v>325683.69553381001</v>
      </c>
      <c r="L164" s="26">
        <f t="shared" si="84"/>
        <v>242242.17898065702</v>
      </c>
      <c r="M164" s="26">
        <f t="shared" si="84"/>
        <v>171775.62824760002</v>
      </c>
      <c r="N164" s="26">
        <f t="shared" si="84"/>
        <v>739701.50276206678</v>
      </c>
      <c r="O164" s="26">
        <f t="shared" si="84"/>
        <v>316049.94165843498</v>
      </c>
      <c r="P164" s="26">
        <f t="shared" si="84"/>
        <v>246296.02852595001</v>
      </c>
      <c r="Q164" s="26">
        <f t="shared" si="84"/>
        <v>198119.60034200002</v>
      </c>
      <c r="R164" s="26">
        <f t="shared" si="84"/>
        <v>760465.57052638498</v>
      </c>
      <c r="S164" s="26">
        <f t="shared" si="84"/>
        <v>1500167.0732884514</v>
      </c>
      <c r="T164" s="26">
        <f t="shared" si="84"/>
        <v>3004986.0778546017</v>
      </c>
      <c r="U164" s="27">
        <f t="shared" si="75"/>
        <v>3004986.0778546017</v>
      </c>
      <c r="V164" s="27">
        <f t="shared" si="76"/>
        <v>0</v>
      </c>
      <c r="W164" s="26"/>
      <c r="X164" s="26"/>
      <c r="Y164" s="26"/>
      <c r="Z164" s="26"/>
      <c r="AA164" s="26"/>
      <c r="AB164" s="26"/>
      <c r="AC164" s="26"/>
      <c r="AD164" s="26"/>
      <c r="AE164" s="26"/>
      <c r="AF164" s="26"/>
      <c r="AG164" s="26"/>
      <c r="AH164" s="26"/>
      <c r="AI164" s="26"/>
      <c r="AJ164" s="26"/>
      <c r="AK164" s="26"/>
    </row>
    <row r="165" spans="1:37" x14ac:dyDescent="0.3">
      <c r="U165" s="27">
        <f t="shared" si="75"/>
        <v>0</v>
      </c>
      <c r="V165" s="27">
        <f t="shared" si="76"/>
        <v>0</v>
      </c>
    </row>
    <row r="166" spans="1:37" s="37" customFormat="1" x14ac:dyDescent="0.3">
      <c r="A166" s="37" t="s">
        <v>124</v>
      </c>
      <c r="B166" s="26">
        <v>9779.3245648600005</v>
      </c>
      <c r="C166" s="26">
        <v>7448.05907914</v>
      </c>
      <c r="D166" s="26">
        <v>9904.4336475</v>
      </c>
      <c r="E166" s="26">
        <f t="shared" ref="E166" si="85">+B166+C166+D166</f>
        <v>27131.817291500003</v>
      </c>
      <c r="F166" s="26">
        <v>10989.617147200001</v>
      </c>
      <c r="G166" s="26">
        <v>9745.3588746700007</v>
      </c>
      <c r="H166" s="26">
        <v>8931.5906458299996</v>
      </c>
      <c r="I166" s="26">
        <f t="shared" ref="I166" si="86">+F166+G166+H166</f>
        <v>29666.566667700004</v>
      </c>
      <c r="J166" s="26">
        <f>+E166+I166</f>
        <v>56798.383959200008</v>
      </c>
      <c r="K166" s="26">
        <v>13141.500840950001</v>
      </c>
      <c r="L166" s="26">
        <v>8397.8709834300007</v>
      </c>
      <c r="M166" s="26">
        <v>11737.641666510001</v>
      </c>
      <c r="N166" s="26">
        <f t="shared" ref="N166" si="87">+K166+L166+M166</f>
        <v>33277.013490890007</v>
      </c>
      <c r="O166" s="26">
        <v>12972.080619310002</v>
      </c>
      <c r="P166" s="26">
        <v>8867.6223985299985</v>
      </c>
      <c r="Q166" s="26">
        <v>6341.3974169400008</v>
      </c>
      <c r="R166" s="26">
        <f t="shared" ref="R166" si="88">+O166+P166+Q166</f>
        <v>28181.100434780004</v>
      </c>
      <c r="S166" s="26">
        <f t="shared" si="74"/>
        <v>61458.113925670012</v>
      </c>
      <c r="T166" s="26">
        <f>+J166+S166</f>
        <v>118256.49788487001</v>
      </c>
      <c r="U166" s="27">
        <f t="shared" si="75"/>
        <v>118256.49788487</v>
      </c>
      <c r="V166" s="27">
        <f t="shared" si="76"/>
        <v>0</v>
      </c>
      <c r="W166" s="26"/>
      <c r="X166" s="26"/>
      <c r="Y166" s="26"/>
      <c r="Z166" s="26"/>
      <c r="AA166" s="26"/>
      <c r="AB166" s="26"/>
      <c r="AC166" s="26"/>
      <c r="AD166" s="26"/>
      <c r="AE166" s="26"/>
      <c r="AF166" s="26"/>
      <c r="AG166" s="26"/>
      <c r="AH166" s="26"/>
      <c r="AI166" s="26"/>
      <c r="AJ166" s="26"/>
      <c r="AK166" s="26"/>
    </row>
    <row r="167" spans="1:37" x14ac:dyDescent="0.3">
      <c r="U167" s="27">
        <f t="shared" si="75"/>
        <v>0</v>
      </c>
      <c r="V167" s="27">
        <f t="shared" si="76"/>
        <v>0</v>
      </c>
    </row>
    <row r="168" spans="1:37" s="37" customFormat="1" x14ac:dyDescent="0.3">
      <c r="A168" s="37" t="s">
        <v>125</v>
      </c>
      <c r="B168" s="26">
        <v>89.000466162993774</v>
      </c>
      <c r="C168" s="26">
        <v>-96.447201643004789</v>
      </c>
      <c r="D168" s="26">
        <v>81.535025913999519</v>
      </c>
      <c r="E168" s="26">
        <f t="shared" ref="E168" si="89">+B168+C168+D168</f>
        <v>74.088290433988504</v>
      </c>
      <c r="F168" s="26">
        <v>-160.26690306100437</v>
      </c>
      <c r="G168" s="26">
        <v>258.70403250000368</v>
      </c>
      <c r="H168" s="26">
        <v>-38.671431359998621</v>
      </c>
      <c r="I168" s="26">
        <f t="shared" ref="I168" si="90">+F168+G168+H168</f>
        <v>59.765698079000686</v>
      </c>
      <c r="J168" s="26">
        <f>+E168+I168</f>
        <v>133.85398851298919</v>
      </c>
      <c r="K168" s="26">
        <v>202.85892965999872</v>
      </c>
      <c r="L168" s="26">
        <v>-30.182152379998914</v>
      </c>
      <c r="M168" s="26">
        <v>12.007361130000307</v>
      </c>
      <c r="N168" s="26">
        <f t="shared" ref="N168" si="91">+K168+L168+M168</f>
        <v>184.68413841000012</v>
      </c>
      <c r="O168" s="26">
        <v>31.475070169989095</v>
      </c>
      <c r="P168" s="26">
        <v>230.52573575999983</v>
      </c>
      <c r="Q168" s="26">
        <v>-320.51654090999943</v>
      </c>
      <c r="R168" s="26">
        <f t="shared" ref="R168" si="92">+O168+P168+Q168</f>
        <v>-58.515734980010507</v>
      </c>
      <c r="S168" s="26">
        <f t="shared" si="74"/>
        <v>126.16840342998961</v>
      </c>
      <c r="T168" s="26">
        <f>+J168+S168</f>
        <v>260.0223919429788</v>
      </c>
      <c r="U168" s="27">
        <f t="shared" si="75"/>
        <v>260.02239194297886</v>
      </c>
      <c r="V168" s="27">
        <f t="shared" si="76"/>
        <v>0</v>
      </c>
      <c r="W168" s="26"/>
      <c r="X168" s="26"/>
      <c r="Y168" s="26"/>
      <c r="Z168" s="26"/>
      <c r="AA168" s="26"/>
      <c r="AB168" s="26"/>
      <c r="AC168" s="26"/>
      <c r="AD168" s="26"/>
      <c r="AE168" s="26"/>
      <c r="AF168" s="26"/>
      <c r="AG168" s="26"/>
      <c r="AH168" s="26"/>
      <c r="AI168" s="26"/>
      <c r="AJ168" s="26"/>
      <c r="AK168" s="26"/>
    </row>
    <row r="169" spans="1:37" x14ac:dyDescent="0.3">
      <c r="U169" s="27">
        <f t="shared" si="75"/>
        <v>0</v>
      </c>
      <c r="V169" s="27">
        <f t="shared" si="76"/>
        <v>0</v>
      </c>
    </row>
    <row r="170" spans="1:37" s="37" customFormat="1" x14ac:dyDescent="0.3">
      <c r="A170" s="37" t="s">
        <v>126</v>
      </c>
      <c r="B170" s="26">
        <f>+B164+B166+B168</f>
        <v>355095.50594485883</v>
      </c>
      <c r="C170" s="26">
        <f t="shared" ref="C170:T170" si="93">+C164+C166+C168</f>
        <v>160549.24063464993</v>
      </c>
      <c r="D170" s="26">
        <f t="shared" si="93"/>
        <v>177668.78058054004</v>
      </c>
      <c r="E170" s="26">
        <f t="shared" si="93"/>
        <v>693313.5271600486</v>
      </c>
      <c r="F170" s="26">
        <f t="shared" si="93"/>
        <v>421827.24771465</v>
      </c>
      <c r="G170" s="26">
        <f t="shared" si="93"/>
        <v>244524.59627414003</v>
      </c>
      <c r="H170" s="26">
        <f t="shared" si="93"/>
        <v>202085.87136502395</v>
      </c>
      <c r="I170" s="26">
        <f t="shared" si="93"/>
        <v>868437.71535381384</v>
      </c>
      <c r="J170" s="26">
        <f t="shared" si="93"/>
        <v>1561751.2425138629</v>
      </c>
      <c r="K170" s="26">
        <f t="shared" si="93"/>
        <v>339028.05530442001</v>
      </c>
      <c r="L170" s="26">
        <f t="shared" si="93"/>
        <v>250609.86781170702</v>
      </c>
      <c r="M170" s="26">
        <f t="shared" si="93"/>
        <v>183525.27727524002</v>
      </c>
      <c r="N170" s="26">
        <f t="shared" si="93"/>
        <v>773163.20039136684</v>
      </c>
      <c r="O170" s="26">
        <f t="shared" si="93"/>
        <v>329053.49734791502</v>
      </c>
      <c r="P170" s="26">
        <f t="shared" si="93"/>
        <v>255394.17666023999</v>
      </c>
      <c r="Q170" s="26">
        <f t="shared" si="93"/>
        <v>204140.48121803001</v>
      </c>
      <c r="R170" s="26">
        <f t="shared" si="93"/>
        <v>788588.15522618499</v>
      </c>
      <c r="S170" s="26">
        <f t="shared" si="93"/>
        <v>1561751.3556175514</v>
      </c>
      <c r="T170" s="26">
        <f t="shared" si="93"/>
        <v>3123502.5981314145</v>
      </c>
      <c r="U170" s="27">
        <f t="shared" si="75"/>
        <v>3123502.5981314154</v>
      </c>
      <c r="V170" s="27">
        <f t="shared" si="76"/>
        <v>0</v>
      </c>
      <c r="W170" s="26"/>
      <c r="X170" s="26"/>
      <c r="Y170" s="26"/>
      <c r="Z170" s="26"/>
      <c r="AA170" s="26"/>
      <c r="AB170" s="26"/>
      <c r="AC170" s="26"/>
      <c r="AD170" s="26"/>
      <c r="AE170" s="26"/>
      <c r="AF170" s="26"/>
      <c r="AG170" s="26"/>
      <c r="AH170" s="26"/>
      <c r="AI170" s="26"/>
      <c r="AJ170" s="26"/>
      <c r="AK170" s="26"/>
    </row>
    <row r="171" spans="1:37" x14ac:dyDescent="0.3">
      <c r="U171" s="27">
        <f t="shared" si="75"/>
        <v>0</v>
      </c>
      <c r="V171" s="27">
        <f t="shared" si="76"/>
        <v>0</v>
      </c>
    </row>
    <row r="172" spans="1:37" s="37" customFormat="1" x14ac:dyDescent="0.3">
      <c r="A172" s="37" t="s">
        <v>127</v>
      </c>
      <c r="B172" s="26">
        <v>0</v>
      </c>
      <c r="C172" s="26">
        <v>-896.44268126999998</v>
      </c>
      <c r="D172" s="26">
        <v>-2008.80401508</v>
      </c>
      <c r="E172" s="26">
        <f t="shared" ref="E172" si="94">+B172+C172+D172</f>
        <v>-2905.2466963500001</v>
      </c>
      <c r="F172" s="26">
        <v>-1250.45316237</v>
      </c>
      <c r="G172" s="26">
        <v>-1870.10883956</v>
      </c>
      <c r="H172" s="26">
        <v>-1561.58125079</v>
      </c>
      <c r="I172" s="26">
        <f t="shared" ref="I172" si="95">+F172+G172+H172</f>
        <v>-4682.1432527199995</v>
      </c>
      <c r="J172" s="26">
        <f>+E172+I172</f>
        <v>-7587.3899490699996</v>
      </c>
      <c r="K172" s="26">
        <v>-3773.9603912100001</v>
      </c>
      <c r="L172" s="26">
        <v>-497.79391232</v>
      </c>
      <c r="M172" s="26">
        <v>-563.87831749999998</v>
      </c>
      <c r="N172" s="26">
        <f t="shared" ref="N172" si="96">+K172+L172+M172</f>
        <v>-4835.6326210300003</v>
      </c>
      <c r="O172" s="26">
        <v>-211.17647965999998</v>
      </c>
      <c r="P172" s="26">
        <v>-1109.41599759</v>
      </c>
      <c r="Q172" s="26">
        <v>69.558451700000006</v>
      </c>
      <c r="R172" s="26">
        <f t="shared" ref="R172" si="97">+O172+P172+Q172</f>
        <v>-1251.03402555</v>
      </c>
      <c r="S172" s="26">
        <f t="shared" si="74"/>
        <v>-6086.6666465800008</v>
      </c>
      <c r="T172" s="26">
        <f>+J172+S172</f>
        <v>-13674.05659565</v>
      </c>
      <c r="U172" s="27">
        <f t="shared" si="75"/>
        <v>-13674.05659565</v>
      </c>
      <c r="V172" s="27">
        <f t="shared" si="76"/>
        <v>0</v>
      </c>
      <c r="W172" s="26"/>
      <c r="X172" s="26"/>
      <c r="Y172" s="26"/>
      <c r="Z172" s="26"/>
      <c r="AA172" s="26"/>
      <c r="AB172" s="26"/>
      <c r="AC172" s="26"/>
      <c r="AD172" s="26"/>
      <c r="AE172" s="26"/>
      <c r="AF172" s="26"/>
      <c r="AG172" s="26"/>
      <c r="AH172" s="26"/>
      <c r="AI172" s="26"/>
      <c r="AJ172" s="26"/>
      <c r="AK172" s="26"/>
    </row>
    <row r="173" spans="1:37" x14ac:dyDescent="0.3">
      <c r="U173" s="27">
        <f t="shared" si="75"/>
        <v>0</v>
      </c>
      <c r="V173" s="27">
        <f t="shared" si="76"/>
        <v>0</v>
      </c>
    </row>
    <row r="174" spans="1:37" s="37" customFormat="1" x14ac:dyDescent="0.3">
      <c r="A174" s="37" t="s">
        <v>128</v>
      </c>
      <c r="B174" s="42">
        <f>+B170+B172</f>
        <v>355095.50594485883</v>
      </c>
      <c r="C174" s="42">
        <f t="shared" ref="C174:T174" si="98">+C170+C172</f>
        <v>159652.79795337992</v>
      </c>
      <c r="D174" s="42">
        <f t="shared" si="98"/>
        <v>175659.97656546003</v>
      </c>
      <c r="E174" s="42">
        <f t="shared" si="98"/>
        <v>690408.28046369855</v>
      </c>
      <c r="F174" s="42">
        <f t="shared" si="98"/>
        <v>420576.79455227999</v>
      </c>
      <c r="G174" s="42">
        <f t="shared" si="98"/>
        <v>242654.48743458002</v>
      </c>
      <c r="H174" s="42">
        <f t="shared" si="98"/>
        <v>200524.29011423394</v>
      </c>
      <c r="I174" s="42">
        <f t="shared" si="98"/>
        <v>863755.57210109383</v>
      </c>
      <c r="J174" s="42">
        <f t="shared" si="98"/>
        <v>1554163.8525647928</v>
      </c>
      <c r="K174" s="42">
        <f t="shared" si="98"/>
        <v>335254.09491321002</v>
      </c>
      <c r="L174" s="42">
        <f t="shared" si="98"/>
        <v>250112.07389938703</v>
      </c>
      <c r="M174" s="42">
        <f t="shared" si="98"/>
        <v>182961.39895774002</v>
      </c>
      <c r="N174" s="42">
        <f t="shared" si="98"/>
        <v>768327.56777033687</v>
      </c>
      <c r="O174" s="42">
        <f t="shared" si="98"/>
        <v>328842.32086825505</v>
      </c>
      <c r="P174" s="42">
        <f t="shared" si="98"/>
        <v>254284.76066264999</v>
      </c>
      <c r="Q174" s="42">
        <f t="shared" si="98"/>
        <v>204210.03966973</v>
      </c>
      <c r="R174" s="42">
        <f t="shared" si="98"/>
        <v>787337.12120063498</v>
      </c>
      <c r="S174" s="42">
        <f t="shared" si="98"/>
        <v>1555664.6889709714</v>
      </c>
      <c r="T174" s="42">
        <f t="shared" si="98"/>
        <v>3109828.5415357645</v>
      </c>
      <c r="U174" s="27">
        <f t="shared" si="75"/>
        <v>3109828.5415357649</v>
      </c>
      <c r="V174" s="27">
        <f t="shared" si="76"/>
        <v>0</v>
      </c>
      <c r="W174" s="26"/>
      <c r="X174" s="26"/>
      <c r="Y174" s="26"/>
      <c r="Z174" s="26"/>
      <c r="AA174" s="26"/>
      <c r="AB174" s="26"/>
      <c r="AC174" s="26"/>
      <c r="AD174" s="26"/>
      <c r="AE174" s="26"/>
      <c r="AF174" s="26"/>
      <c r="AG174" s="26"/>
      <c r="AH174" s="26"/>
      <c r="AI174" s="26"/>
      <c r="AJ174" s="26"/>
      <c r="AK174" s="26"/>
    </row>
    <row r="175" spans="1:37" s="37" customFormat="1" ht="15" thickBot="1" x14ac:dyDescent="0.35">
      <c r="A175" s="43"/>
      <c r="B175" s="44"/>
      <c r="C175" s="44"/>
      <c r="D175" s="44"/>
      <c r="E175" s="44"/>
      <c r="F175" s="44"/>
      <c r="G175" s="44"/>
      <c r="H175" s="44"/>
      <c r="I175" s="44"/>
      <c r="J175" s="44"/>
      <c r="K175" s="44"/>
      <c r="L175" s="44"/>
      <c r="M175" s="44"/>
      <c r="N175" s="44"/>
      <c r="O175" s="44"/>
      <c r="P175" s="44"/>
      <c r="Q175" s="44"/>
      <c r="R175" s="44"/>
      <c r="S175" s="44"/>
      <c r="T175" s="44"/>
      <c r="U175" s="27"/>
      <c r="V175" s="27"/>
      <c r="W175" s="26"/>
      <c r="X175" s="26"/>
      <c r="Y175" s="26"/>
      <c r="Z175" s="26"/>
      <c r="AA175" s="26"/>
      <c r="AB175" s="26"/>
      <c r="AC175" s="26"/>
      <c r="AD175" s="26"/>
      <c r="AE175" s="26"/>
      <c r="AF175" s="26"/>
      <c r="AG175" s="26"/>
      <c r="AH175" s="26"/>
      <c r="AI175" s="26"/>
      <c r="AJ175" s="26"/>
      <c r="AK175" s="26"/>
    </row>
    <row r="176" spans="1:37" x14ac:dyDescent="0.3">
      <c r="A176" s="45"/>
    </row>
    <row r="177" spans="1:36" s="50" customFormat="1" ht="15" customHeight="1" x14ac:dyDescent="0.3">
      <c r="A177" s="46"/>
      <c r="B177" s="47"/>
      <c r="C177" s="47"/>
      <c r="D177" s="47"/>
      <c r="E177" s="47"/>
      <c r="F177" s="47"/>
      <c r="G177" s="47"/>
      <c r="H177" s="47"/>
      <c r="I177" s="47"/>
      <c r="J177" s="47"/>
      <c r="K177" s="48"/>
      <c r="L177" s="48"/>
      <c r="M177" s="48"/>
      <c r="N177" s="48"/>
      <c r="O177" s="48"/>
      <c r="P177" s="48"/>
      <c r="Q177" s="48"/>
      <c r="R177" s="48"/>
      <c r="S177" s="48"/>
      <c r="T177" s="48"/>
      <c r="U177" s="49"/>
      <c r="V177" s="49"/>
      <c r="W177" s="48"/>
      <c r="X177" s="48"/>
      <c r="Y177" s="48"/>
      <c r="Z177" s="48"/>
      <c r="AA177" s="48"/>
      <c r="AB177" s="48"/>
      <c r="AC177" s="48"/>
      <c r="AD177" s="48"/>
      <c r="AE177" s="48"/>
      <c r="AF177" s="48"/>
      <c r="AG177" s="48"/>
      <c r="AH177" s="48"/>
      <c r="AI177" s="48"/>
      <c r="AJ177" s="48"/>
    </row>
    <row r="178" spans="1:36" s="50" customFormat="1" ht="15" customHeight="1" x14ac:dyDescent="0.3">
      <c r="A178" s="46"/>
      <c r="B178" s="51"/>
      <c r="C178" s="51"/>
      <c r="D178" s="51"/>
      <c r="E178" s="51"/>
      <c r="F178" s="51"/>
      <c r="G178" s="51"/>
      <c r="H178" s="51"/>
      <c r="I178" s="51"/>
      <c r="J178" s="51"/>
      <c r="U178" s="52"/>
      <c r="V178" s="52"/>
    </row>
    <row r="179" spans="1:36" x14ac:dyDescent="0.3">
      <c r="A179" s="53"/>
    </row>
    <row r="180" spans="1:36" x14ac:dyDescent="0.3">
      <c r="A180" s="54"/>
    </row>
    <row r="181" spans="1:36" x14ac:dyDescent="0.3">
      <c r="A181" s="54"/>
    </row>
    <row r="182" spans="1:36" x14ac:dyDescent="0.3">
      <c r="A182" s="54"/>
    </row>
    <row r="183" spans="1:36" x14ac:dyDescent="0.3">
      <c r="A183" s="54"/>
    </row>
    <row r="184" spans="1:36" x14ac:dyDescent="0.3">
      <c r="A184" s="54"/>
    </row>
    <row r="185" spans="1:36" x14ac:dyDescent="0.3">
      <c r="A185" s="54"/>
    </row>
    <row r="186" spans="1:36" x14ac:dyDescent="0.3">
      <c r="A186" s="54"/>
    </row>
    <row r="187" spans="1:36" x14ac:dyDescent="0.3">
      <c r="A187" s="54"/>
    </row>
    <row r="188" spans="1:36" x14ac:dyDescent="0.3">
      <c r="A188" s="54"/>
    </row>
    <row r="189" spans="1:36" x14ac:dyDescent="0.3">
      <c r="A189" s="54"/>
    </row>
    <row r="190" spans="1:36" x14ac:dyDescent="0.3">
      <c r="A190" s="54"/>
    </row>
    <row r="191" spans="1:36" x14ac:dyDescent="0.3">
      <c r="A191" s="54"/>
    </row>
    <row r="192" spans="1:36" ht="14.25" customHeight="1" x14ac:dyDescent="0.3">
      <c r="A192" s="54"/>
      <c r="B192" s="54"/>
      <c r="C192" s="54"/>
      <c r="D192" s="54"/>
      <c r="E192" s="54"/>
      <c r="F192" s="54"/>
      <c r="G192" s="54"/>
      <c r="H192" s="54"/>
      <c r="I192" s="54"/>
      <c r="J192" s="54"/>
      <c r="K192" s="54"/>
      <c r="L192" s="54"/>
      <c r="M192" s="54"/>
      <c r="N192" s="54"/>
      <c r="O192" s="54"/>
      <c r="P192" s="54"/>
      <c r="Q192" s="54"/>
      <c r="R192" s="54"/>
      <c r="S192" s="54"/>
      <c r="T192" s="54"/>
    </row>
    <row r="193" spans="1:1" x14ac:dyDescent="0.3">
      <c r="A193" s="54"/>
    </row>
    <row r="194" spans="1:1" x14ac:dyDescent="0.3">
      <c r="A194" s="54"/>
    </row>
    <row r="195" spans="1:1" x14ac:dyDescent="0.3">
      <c r="A195" s="54"/>
    </row>
    <row r="196" spans="1:1" x14ac:dyDescent="0.3">
      <c r="A196" s="54"/>
    </row>
    <row r="197" spans="1:1" x14ac:dyDescent="0.3">
      <c r="A197" s="54"/>
    </row>
    <row r="198" spans="1:1" x14ac:dyDescent="0.3">
      <c r="A198" s="54"/>
    </row>
  </sheetData>
  <mergeCells count="361">
    <mergeCell ref="D11:D12"/>
    <mergeCell ref="E11:E12"/>
    <mergeCell ref="F11:F12"/>
    <mergeCell ref="G11:G12"/>
    <mergeCell ref="T11:T12"/>
    <mergeCell ref="B22:B23"/>
    <mergeCell ref="C22:C23"/>
    <mergeCell ref="D22:D23"/>
    <mergeCell ref="E22:E23"/>
    <mergeCell ref="F22:F23"/>
    <mergeCell ref="G22:G23"/>
    <mergeCell ref="H22:H23"/>
    <mergeCell ref="I22:I23"/>
    <mergeCell ref="J22:J23"/>
    <mergeCell ref="N11:N12"/>
    <mergeCell ref="O11:O12"/>
    <mergeCell ref="P11:P12"/>
    <mergeCell ref="Q11:Q12"/>
    <mergeCell ref="R11:R12"/>
    <mergeCell ref="S11:S12"/>
    <mergeCell ref="H11:H12"/>
    <mergeCell ref="I11:I12"/>
    <mergeCell ref="J11:J12"/>
    <mergeCell ref="K11:K12"/>
    <mergeCell ref="L11:L12"/>
    <mergeCell ref="M11:M12"/>
    <mergeCell ref="B11:B12"/>
    <mergeCell ref="C11:C12"/>
    <mergeCell ref="Q22:Q23"/>
    <mergeCell ref="R22:R23"/>
    <mergeCell ref="S22:S23"/>
    <mergeCell ref="T22:T23"/>
    <mergeCell ref="B29:B30"/>
    <mergeCell ref="C29:C30"/>
    <mergeCell ref="D29:D30"/>
    <mergeCell ref="E29:E30"/>
    <mergeCell ref="F29:F30"/>
    <mergeCell ref="G29:G30"/>
    <mergeCell ref="K22:K23"/>
    <mergeCell ref="L22:L23"/>
    <mergeCell ref="M22:M23"/>
    <mergeCell ref="N22:N23"/>
    <mergeCell ref="O22:O23"/>
    <mergeCell ref="P22:P23"/>
    <mergeCell ref="T29:T30"/>
    <mergeCell ref="B43:B44"/>
    <mergeCell ref="C43:C44"/>
    <mergeCell ref="D43:D44"/>
    <mergeCell ref="E43:E44"/>
    <mergeCell ref="F43:F44"/>
    <mergeCell ref="G43:G44"/>
    <mergeCell ref="H43:H44"/>
    <mergeCell ref="I43:I44"/>
    <mergeCell ref="J43:J44"/>
    <mergeCell ref="N29:N30"/>
    <mergeCell ref="O29:O30"/>
    <mergeCell ref="P29:P30"/>
    <mergeCell ref="Q29:Q30"/>
    <mergeCell ref="R29:R30"/>
    <mergeCell ref="S29:S30"/>
    <mergeCell ref="H29:H30"/>
    <mergeCell ref="I29:I30"/>
    <mergeCell ref="J29:J30"/>
    <mergeCell ref="K29:K30"/>
    <mergeCell ref="L29:L30"/>
    <mergeCell ref="M29:M30"/>
    <mergeCell ref="Q43:Q44"/>
    <mergeCell ref="R43:R44"/>
    <mergeCell ref="S43:S44"/>
    <mergeCell ref="T43:T44"/>
    <mergeCell ref="B72:B73"/>
    <mergeCell ref="C72:C73"/>
    <mergeCell ref="D72:D73"/>
    <mergeCell ref="E72:E73"/>
    <mergeCell ref="F72:F73"/>
    <mergeCell ref="G72:G73"/>
    <mergeCell ref="K43:K44"/>
    <mergeCell ref="L43:L44"/>
    <mergeCell ref="M43:M44"/>
    <mergeCell ref="N43:N44"/>
    <mergeCell ref="O43:O44"/>
    <mergeCell ref="P43:P44"/>
    <mergeCell ref="T72:T73"/>
    <mergeCell ref="B89:B90"/>
    <mergeCell ref="C89:C90"/>
    <mergeCell ref="D89:D90"/>
    <mergeCell ref="E89:E90"/>
    <mergeCell ref="F89:F90"/>
    <mergeCell ref="G89:G90"/>
    <mergeCell ref="H89:H90"/>
    <mergeCell ref="I89:I90"/>
    <mergeCell ref="J89:J90"/>
    <mergeCell ref="N72:N73"/>
    <mergeCell ref="O72:O73"/>
    <mergeCell ref="P72:P73"/>
    <mergeCell ref="Q72:Q73"/>
    <mergeCell ref="R72:R73"/>
    <mergeCell ref="S72:S73"/>
    <mergeCell ref="H72:H73"/>
    <mergeCell ref="I72:I73"/>
    <mergeCell ref="J72:J73"/>
    <mergeCell ref="K72:K73"/>
    <mergeCell ref="L72:L73"/>
    <mergeCell ref="M72:M73"/>
    <mergeCell ref="Q89:Q90"/>
    <mergeCell ref="R89:R90"/>
    <mergeCell ref="S89:S90"/>
    <mergeCell ref="T89:T90"/>
    <mergeCell ref="B93:B94"/>
    <mergeCell ref="C93:C94"/>
    <mergeCell ref="D93:D94"/>
    <mergeCell ref="E93:E94"/>
    <mergeCell ref="F93:F94"/>
    <mergeCell ref="G93:G94"/>
    <mergeCell ref="K89:K90"/>
    <mergeCell ref="L89:L90"/>
    <mergeCell ref="M89:M90"/>
    <mergeCell ref="N89:N90"/>
    <mergeCell ref="O89:O90"/>
    <mergeCell ref="P89:P90"/>
    <mergeCell ref="T93:T94"/>
    <mergeCell ref="B95:B96"/>
    <mergeCell ref="C95:C96"/>
    <mergeCell ref="D95:D96"/>
    <mergeCell ref="E95:E96"/>
    <mergeCell ref="F95:F96"/>
    <mergeCell ref="G95:G96"/>
    <mergeCell ref="H95:H96"/>
    <mergeCell ref="I95:I96"/>
    <mergeCell ref="J95:J96"/>
    <mergeCell ref="N93:N94"/>
    <mergeCell ref="O93:O94"/>
    <mergeCell ref="P93:P94"/>
    <mergeCell ref="Q93:Q94"/>
    <mergeCell ref="R93:R94"/>
    <mergeCell ref="S93:S94"/>
    <mergeCell ref="H93:H94"/>
    <mergeCell ref="I93:I94"/>
    <mergeCell ref="J93:J94"/>
    <mergeCell ref="K93:K94"/>
    <mergeCell ref="L93:L94"/>
    <mergeCell ref="M93:M94"/>
    <mergeCell ref="Q95:Q96"/>
    <mergeCell ref="R95:R96"/>
    <mergeCell ref="S95:S96"/>
    <mergeCell ref="T95:T96"/>
    <mergeCell ref="B100:B102"/>
    <mergeCell ref="C100:C102"/>
    <mergeCell ref="D100:D102"/>
    <mergeCell ref="E100:E102"/>
    <mergeCell ref="F100:F102"/>
    <mergeCell ref="G100:G102"/>
    <mergeCell ref="K95:K96"/>
    <mergeCell ref="L95:L96"/>
    <mergeCell ref="M95:M96"/>
    <mergeCell ref="N95:N96"/>
    <mergeCell ref="O95:O96"/>
    <mergeCell ref="P95:P96"/>
    <mergeCell ref="T100:T102"/>
    <mergeCell ref="B107:B108"/>
    <mergeCell ref="C107:C108"/>
    <mergeCell ref="D107:D108"/>
    <mergeCell ref="E107:E108"/>
    <mergeCell ref="F107:F108"/>
    <mergeCell ref="G107:G108"/>
    <mergeCell ref="H107:H108"/>
    <mergeCell ref="I107:I108"/>
    <mergeCell ref="J107:J108"/>
    <mergeCell ref="N100:N102"/>
    <mergeCell ref="O100:O102"/>
    <mergeCell ref="P100:P102"/>
    <mergeCell ref="Q100:Q102"/>
    <mergeCell ref="R100:R102"/>
    <mergeCell ref="S100:S102"/>
    <mergeCell ref="H100:H102"/>
    <mergeCell ref="I100:I102"/>
    <mergeCell ref="J100:J102"/>
    <mergeCell ref="K100:K102"/>
    <mergeCell ref="L100:L102"/>
    <mergeCell ref="M100:M102"/>
    <mergeCell ref="Q107:Q108"/>
    <mergeCell ref="R107:R108"/>
    <mergeCell ref="S107:S108"/>
    <mergeCell ref="T107:T108"/>
    <mergeCell ref="B124:B125"/>
    <mergeCell ref="C124:C125"/>
    <mergeCell ref="D124:D125"/>
    <mergeCell ref="E124:E125"/>
    <mergeCell ref="F124:F125"/>
    <mergeCell ref="G124:G125"/>
    <mergeCell ref="K107:K108"/>
    <mergeCell ref="L107:L108"/>
    <mergeCell ref="M107:M108"/>
    <mergeCell ref="N107:N108"/>
    <mergeCell ref="O107:O108"/>
    <mergeCell ref="P107:P108"/>
    <mergeCell ref="T124:T125"/>
    <mergeCell ref="B127:B128"/>
    <mergeCell ref="C127:C128"/>
    <mergeCell ref="D127:D128"/>
    <mergeCell ref="E127:E128"/>
    <mergeCell ref="F127:F128"/>
    <mergeCell ref="G127:G128"/>
    <mergeCell ref="H127:H128"/>
    <mergeCell ref="I127:I128"/>
    <mergeCell ref="J127:J128"/>
    <mergeCell ref="N124:N125"/>
    <mergeCell ref="O124:O125"/>
    <mergeCell ref="P124:P125"/>
    <mergeCell ref="Q124:Q125"/>
    <mergeCell ref="R124:R125"/>
    <mergeCell ref="S124:S125"/>
    <mergeCell ref="H124:H125"/>
    <mergeCell ref="I124:I125"/>
    <mergeCell ref="J124:J125"/>
    <mergeCell ref="K124:K125"/>
    <mergeCell ref="L124:L125"/>
    <mergeCell ref="M124:M125"/>
    <mergeCell ref="Q127:Q128"/>
    <mergeCell ref="R127:R128"/>
    <mergeCell ref="S127:S128"/>
    <mergeCell ref="T127:T128"/>
    <mergeCell ref="B132:B133"/>
    <mergeCell ref="C132:C133"/>
    <mergeCell ref="D132:D133"/>
    <mergeCell ref="E132:E133"/>
    <mergeCell ref="F132:F133"/>
    <mergeCell ref="G132:G133"/>
    <mergeCell ref="K127:K128"/>
    <mergeCell ref="L127:L128"/>
    <mergeCell ref="M127:M128"/>
    <mergeCell ref="N127:N128"/>
    <mergeCell ref="O127:O128"/>
    <mergeCell ref="P127:P128"/>
    <mergeCell ref="T132:T133"/>
    <mergeCell ref="B134:B135"/>
    <mergeCell ref="C134:C135"/>
    <mergeCell ref="D134:D135"/>
    <mergeCell ref="E134:E135"/>
    <mergeCell ref="F134:F135"/>
    <mergeCell ref="G134:G135"/>
    <mergeCell ref="H134:H135"/>
    <mergeCell ref="I134:I135"/>
    <mergeCell ref="J134:J135"/>
    <mergeCell ref="N132:N133"/>
    <mergeCell ref="O132:O133"/>
    <mergeCell ref="P132:P133"/>
    <mergeCell ref="Q132:Q133"/>
    <mergeCell ref="R132:R133"/>
    <mergeCell ref="S132:S133"/>
    <mergeCell ref="H132:H133"/>
    <mergeCell ref="I132:I133"/>
    <mergeCell ref="J132:J133"/>
    <mergeCell ref="K132:K133"/>
    <mergeCell ref="L132:L133"/>
    <mergeCell ref="M132:M133"/>
    <mergeCell ref="Q134:Q135"/>
    <mergeCell ref="R134:R135"/>
    <mergeCell ref="S134:S135"/>
    <mergeCell ref="T134:T135"/>
    <mergeCell ref="B144:B145"/>
    <mergeCell ref="C144:C145"/>
    <mergeCell ref="D144:D145"/>
    <mergeCell ref="E144:E145"/>
    <mergeCell ref="F144:F145"/>
    <mergeCell ref="G144:G145"/>
    <mergeCell ref="K134:K135"/>
    <mergeCell ref="L134:L135"/>
    <mergeCell ref="M134:M135"/>
    <mergeCell ref="N134:N135"/>
    <mergeCell ref="O134:O135"/>
    <mergeCell ref="P134:P135"/>
    <mergeCell ref="T144:T145"/>
    <mergeCell ref="B148:B149"/>
    <mergeCell ref="C148:C149"/>
    <mergeCell ref="D148:D149"/>
    <mergeCell ref="E148:E149"/>
    <mergeCell ref="F148:F149"/>
    <mergeCell ref="G148:G149"/>
    <mergeCell ref="H148:H149"/>
    <mergeCell ref="I148:I149"/>
    <mergeCell ref="J148:J149"/>
    <mergeCell ref="N144:N145"/>
    <mergeCell ref="O144:O145"/>
    <mergeCell ref="P144:P145"/>
    <mergeCell ref="Q144:Q145"/>
    <mergeCell ref="R144:R145"/>
    <mergeCell ref="S144:S145"/>
    <mergeCell ref="H144:H145"/>
    <mergeCell ref="I144:I145"/>
    <mergeCell ref="J144:J145"/>
    <mergeCell ref="K144:K145"/>
    <mergeCell ref="L144:L145"/>
    <mergeCell ref="M144:M145"/>
    <mergeCell ref="Q148:Q149"/>
    <mergeCell ref="R148:R149"/>
    <mergeCell ref="S148:S149"/>
    <mergeCell ref="T148:T149"/>
    <mergeCell ref="B151:B152"/>
    <mergeCell ref="C151:C152"/>
    <mergeCell ref="D151:D152"/>
    <mergeCell ref="E151:E152"/>
    <mergeCell ref="F151:F152"/>
    <mergeCell ref="G151:G152"/>
    <mergeCell ref="K148:K149"/>
    <mergeCell ref="L148:L149"/>
    <mergeCell ref="M148:M149"/>
    <mergeCell ref="N148:N149"/>
    <mergeCell ref="O148:O149"/>
    <mergeCell ref="P148:P149"/>
    <mergeCell ref="T151:T152"/>
    <mergeCell ref="B156:B157"/>
    <mergeCell ref="C156:C157"/>
    <mergeCell ref="D156:D157"/>
    <mergeCell ref="E156:E157"/>
    <mergeCell ref="F156:F157"/>
    <mergeCell ref="G156:G157"/>
    <mergeCell ref="H156:H157"/>
    <mergeCell ref="I156:I157"/>
    <mergeCell ref="J156:J157"/>
    <mergeCell ref="N151:N152"/>
    <mergeCell ref="O151:O152"/>
    <mergeCell ref="P151:P152"/>
    <mergeCell ref="Q151:Q152"/>
    <mergeCell ref="R151:R152"/>
    <mergeCell ref="S151:S152"/>
    <mergeCell ref="H151:H152"/>
    <mergeCell ref="I151:I152"/>
    <mergeCell ref="J151:J152"/>
    <mergeCell ref="K151:K152"/>
    <mergeCell ref="L151:L152"/>
    <mergeCell ref="M151:M152"/>
    <mergeCell ref="Q156:Q157"/>
    <mergeCell ref="R156:R157"/>
    <mergeCell ref="S156:S157"/>
    <mergeCell ref="T156:T157"/>
    <mergeCell ref="B159:B160"/>
    <mergeCell ref="C159:C160"/>
    <mergeCell ref="D159:D160"/>
    <mergeCell ref="E159:E160"/>
    <mergeCell ref="F159:F160"/>
    <mergeCell ref="G159:G160"/>
    <mergeCell ref="K156:K157"/>
    <mergeCell ref="L156:L157"/>
    <mergeCell ref="M156:M157"/>
    <mergeCell ref="N156:N157"/>
    <mergeCell ref="O156:O157"/>
    <mergeCell ref="P156:P157"/>
    <mergeCell ref="T159:T160"/>
    <mergeCell ref="N159:N160"/>
    <mergeCell ref="O159:O160"/>
    <mergeCell ref="P159:P160"/>
    <mergeCell ref="Q159:Q160"/>
    <mergeCell ref="R159:R160"/>
    <mergeCell ref="S159:S160"/>
    <mergeCell ref="H159:H160"/>
    <mergeCell ref="I159:I160"/>
    <mergeCell ref="J159:J160"/>
    <mergeCell ref="K159:K160"/>
    <mergeCell ref="L159:L160"/>
    <mergeCell ref="M159:M160"/>
  </mergeCells>
  <printOptions horizontalCentered="1"/>
  <pageMargins left="0" right="0" top="0.75" bottom="0.74" header="0.3" footer="0.3"/>
  <pageSetup paperSize="14" scale="90" orientation="landscape" r:id="rId1"/>
  <headerFooter alignWithMargins="0">
    <oddFooter>&amp;C&amp;8Page &amp;P of &amp;N</oddFooter>
  </headerFooter>
  <rowBreaks count="5" manualBreakCount="5">
    <brk id="41" max="16383" man="1"/>
    <brk id="75" max="16383" man="1"/>
    <brk id="105" max="16383" man="1"/>
    <brk id="139" max="16383" man="1"/>
    <brk id="178" max="16383" man="1"/>
  </rowBreaks>
  <colBreaks count="1" manualBreakCount="1">
    <brk id="10"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2005_2024</vt:lpstr>
      <vt:lpstr>2025</vt:lpstr>
      <vt:lpstr>'2025'!Print_Area</vt:lpstr>
      <vt:lpstr>'2005_2024'!Print_Titles</vt:lpstr>
      <vt:lpstr>'2025'!Print_Titles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E. Vargas</dc:creator>
  <cp:lastModifiedBy>Josephine E. Vargas</cp:lastModifiedBy>
  <dcterms:created xsi:type="dcterms:W3CDTF">2025-03-31T00:16:41Z</dcterms:created>
  <dcterms:modified xsi:type="dcterms:W3CDTF">2026-04-30T04:59:12Z</dcterms:modified>
</cp:coreProperties>
</file>